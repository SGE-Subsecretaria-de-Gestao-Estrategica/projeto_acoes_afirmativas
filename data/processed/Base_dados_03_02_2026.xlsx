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1.xml" ContentType="application/vnd.openxmlformats-officedocument.spreadsheetml.comments+xml"/>
  <Override PartName="/xl/tables/table12.xml" ContentType="application/vnd.openxmlformats-officedocument.spreadsheetml.table+xml"/>
  <Override PartName="/xl/comments2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Juliana\OneDrive - Ministério do Turismo\Desktop\"/>
    </mc:Choice>
  </mc:AlternateContent>
  <xr:revisionPtr revIDLastSave="0" documentId="13_ncr:1_{359B4DF4-0267-45B0-8BA6-59BFA8001D9F}" xr6:coauthVersionLast="45" xr6:coauthVersionMax="47" xr10:uidLastSave="{00000000-0000-0000-0000-000000000000}"/>
  <bookViews>
    <workbookView xWindow="-110" yWindow="-110" windowWidth="19420" windowHeight="10420" firstSheet="6" activeTab="6" xr2:uid="{EF690109-1259-4BC8-88C6-A3872E1828E8}"/>
  </bookViews>
  <sheets>
    <sheet name="td_específicos" sheetId="24" r:id="rId1"/>
    <sheet name="td_editais" sheetId="23" r:id="rId2"/>
    <sheet name="td_editais_capitais" sheetId="21" r:id="rId3"/>
    <sheet name="td_editais_estados" sheetId="10" r:id="rId4"/>
    <sheet name="agg_cotas_geral" sheetId="17" r:id="rId5"/>
    <sheet name="agg_capitais" sheetId="12" r:id="rId6"/>
    <sheet name="agg_capitais_negras" sheetId="25" r:id="rId7"/>
    <sheet name="agg_capitais_indígenas" sheetId="26" r:id="rId8"/>
    <sheet name="agg_capitais_PCD" sheetId="27" r:id="rId9"/>
    <sheet name="agg_estados" sheetId="11" r:id="rId10"/>
    <sheet name="agg_estados_negras" sheetId="13" r:id="rId11"/>
    <sheet name="agg_estados_indígena" sheetId="14" r:id="rId12"/>
    <sheet name="agg_estados_pcd" sheetId="16" r:id="rId13"/>
    <sheet name="base_dados_09_01_26_completa" sheetId="9" r:id="rId14"/>
    <sheet name="base_dados_09-01-26 - resumida" sheetId="6" r:id="rId15"/>
    <sheet name="CONFERÊNCIA DE CONFORMIDADE" sheetId="8" state="hidden" r:id="rId16"/>
    <sheet name="Tabelas_12_01_2026" sheetId="7" r:id="rId17"/>
  </sheets>
  <definedNames>
    <definedName name="_xlnm._FilterDatabase" localSheetId="5" hidden="1">agg_capitais!$A$41:$E$41</definedName>
    <definedName name="_xlnm._FilterDatabase" localSheetId="7" hidden="1">agg_capitais_indígenas!$A$41:$C$41</definedName>
    <definedName name="_xlnm._FilterDatabase" localSheetId="6" hidden="1">agg_capitais_negras!$A$41:$C$41</definedName>
    <definedName name="_xlnm._FilterDatabase" localSheetId="8" hidden="1">agg_capitais_PCD!$A$41:$C$41</definedName>
    <definedName name="_xlnm._FilterDatabase" localSheetId="13" hidden="1">base_dados_09_01_26_completa!$H$512:$H$512</definedName>
  </definedNames>
  <calcPr calcId="181029"/>
  <pivotCaches>
    <pivotCache cacheId="0" r:id="rId18"/>
    <pivotCache cacheId="1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" i="25" l="1"/>
  <c r="D35" i="27"/>
  <c r="B35" i="27"/>
  <c r="D34" i="27"/>
  <c r="B34" i="27"/>
  <c r="D33" i="27"/>
  <c r="D37" i="27" s="1"/>
  <c r="B33" i="27"/>
  <c r="B37" i="27" s="1"/>
  <c r="Q27" i="27"/>
  <c r="P27" i="27"/>
  <c r="O27" i="27"/>
  <c r="I27" i="27"/>
  <c r="H27" i="27"/>
  <c r="G27" i="27"/>
  <c r="Q26" i="27"/>
  <c r="P26" i="27"/>
  <c r="O26" i="27"/>
  <c r="I26" i="27"/>
  <c r="H26" i="27"/>
  <c r="G26" i="27"/>
  <c r="Q25" i="27"/>
  <c r="P25" i="27"/>
  <c r="O25" i="27"/>
  <c r="I25" i="27"/>
  <c r="H25" i="27"/>
  <c r="G25" i="27"/>
  <c r="Q24" i="27"/>
  <c r="P24" i="27"/>
  <c r="O24" i="27"/>
  <c r="I24" i="27"/>
  <c r="H24" i="27"/>
  <c r="G24" i="27"/>
  <c r="Q23" i="27"/>
  <c r="P23" i="27"/>
  <c r="O23" i="27"/>
  <c r="I23" i="27"/>
  <c r="H23" i="27"/>
  <c r="G23" i="27"/>
  <c r="Q22" i="27"/>
  <c r="P22" i="27"/>
  <c r="O22" i="27"/>
  <c r="I22" i="27"/>
  <c r="H22" i="27"/>
  <c r="G22" i="27"/>
  <c r="Q21" i="27"/>
  <c r="P21" i="27"/>
  <c r="O21" i="27"/>
  <c r="I21" i="27"/>
  <c r="H21" i="27"/>
  <c r="G21" i="27"/>
  <c r="Q20" i="27"/>
  <c r="P20" i="27"/>
  <c r="O20" i="27"/>
  <c r="I20" i="27"/>
  <c r="H20" i="27"/>
  <c r="G20" i="27"/>
  <c r="Q19" i="27"/>
  <c r="P19" i="27"/>
  <c r="O19" i="27"/>
  <c r="I19" i="27"/>
  <c r="H19" i="27"/>
  <c r="G19" i="27"/>
  <c r="Q18" i="27"/>
  <c r="P18" i="27"/>
  <c r="O18" i="27"/>
  <c r="I18" i="27"/>
  <c r="H18" i="27"/>
  <c r="G18" i="27"/>
  <c r="Q17" i="27"/>
  <c r="P17" i="27"/>
  <c r="O17" i="27"/>
  <c r="I17" i="27"/>
  <c r="H17" i="27"/>
  <c r="G17" i="27"/>
  <c r="Q16" i="27"/>
  <c r="P16" i="27"/>
  <c r="O16" i="27"/>
  <c r="I16" i="27"/>
  <c r="H16" i="27"/>
  <c r="G16" i="27"/>
  <c r="Q15" i="27"/>
  <c r="P15" i="27"/>
  <c r="O15" i="27"/>
  <c r="I15" i="27"/>
  <c r="H15" i="27"/>
  <c r="G15" i="27"/>
  <c r="Q14" i="27"/>
  <c r="P14" i="27"/>
  <c r="O14" i="27"/>
  <c r="I14" i="27"/>
  <c r="H14" i="27"/>
  <c r="G14" i="27"/>
  <c r="Q13" i="27"/>
  <c r="P13" i="27"/>
  <c r="O13" i="27"/>
  <c r="I13" i="27"/>
  <c r="H13" i="27"/>
  <c r="G13" i="27"/>
  <c r="Q12" i="27"/>
  <c r="P12" i="27"/>
  <c r="O12" i="27"/>
  <c r="I12" i="27"/>
  <c r="H12" i="27"/>
  <c r="G12" i="27"/>
  <c r="Q11" i="27"/>
  <c r="P11" i="27"/>
  <c r="O11" i="27"/>
  <c r="I11" i="27"/>
  <c r="H11" i="27"/>
  <c r="G11" i="27"/>
  <c r="Q10" i="27"/>
  <c r="P10" i="27"/>
  <c r="O10" i="27"/>
  <c r="I10" i="27"/>
  <c r="H10" i="27"/>
  <c r="G10" i="27"/>
  <c r="Q9" i="27"/>
  <c r="P9" i="27"/>
  <c r="O9" i="27"/>
  <c r="I9" i="27"/>
  <c r="H9" i="27"/>
  <c r="G9" i="27"/>
  <c r="Q8" i="27"/>
  <c r="P8" i="27"/>
  <c r="O8" i="27"/>
  <c r="I8" i="27"/>
  <c r="H8" i="27"/>
  <c r="G8" i="27"/>
  <c r="Q7" i="27"/>
  <c r="P7" i="27"/>
  <c r="O7" i="27"/>
  <c r="I7" i="27"/>
  <c r="H7" i="27"/>
  <c r="G7" i="27"/>
  <c r="Q6" i="27"/>
  <c r="P6" i="27"/>
  <c r="O6" i="27"/>
  <c r="I6" i="27"/>
  <c r="H6" i="27"/>
  <c r="G6" i="27"/>
  <c r="Q5" i="27"/>
  <c r="P5" i="27"/>
  <c r="O5" i="27"/>
  <c r="I5" i="27"/>
  <c r="H5" i="27"/>
  <c r="G5" i="27"/>
  <c r="Q4" i="27"/>
  <c r="P4" i="27"/>
  <c r="O4" i="27"/>
  <c r="I4" i="27"/>
  <c r="H4" i="27"/>
  <c r="G4" i="27"/>
  <c r="Q3" i="27"/>
  <c r="P3" i="27"/>
  <c r="O3" i="27"/>
  <c r="I3" i="27"/>
  <c r="H3" i="27"/>
  <c r="G3" i="27"/>
  <c r="Q2" i="27"/>
  <c r="Q28" i="27" s="1"/>
  <c r="E33" i="27" s="1"/>
  <c r="E37" i="27" s="1"/>
  <c r="P2" i="27"/>
  <c r="P28" i="27" s="1"/>
  <c r="E34" i="27" s="1"/>
  <c r="O2" i="27"/>
  <c r="O28" i="27" s="1"/>
  <c r="E35" i="27" s="1"/>
  <c r="I2" i="27"/>
  <c r="I28" i="27" s="1"/>
  <c r="C33" i="27" s="1"/>
  <c r="C37" i="27" s="1"/>
  <c r="H2" i="27"/>
  <c r="H28" i="27" s="1"/>
  <c r="C34" i="27" s="1"/>
  <c r="G2" i="27"/>
  <c r="G28" i="27" s="1"/>
  <c r="C35" i="27" s="1"/>
  <c r="D35" i="26"/>
  <c r="B35" i="26"/>
  <c r="D34" i="26"/>
  <c r="B34" i="26"/>
  <c r="D33" i="26"/>
  <c r="D37" i="26" s="1"/>
  <c r="B33" i="26"/>
  <c r="B37" i="26" s="1"/>
  <c r="Q27" i="26"/>
  <c r="P27" i="26"/>
  <c r="O27" i="26"/>
  <c r="I27" i="26"/>
  <c r="H27" i="26"/>
  <c r="G27" i="26"/>
  <c r="Q26" i="26"/>
  <c r="P26" i="26"/>
  <c r="O26" i="26"/>
  <c r="I26" i="26"/>
  <c r="H26" i="26"/>
  <c r="G26" i="26"/>
  <c r="Q25" i="26"/>
  <c r="P25" i="26"/>
  <c r="O25" i="26"/>
  <c r="I25" i="26"/>
  <c r="H25" i="26"/>
  <c r="G25" i="26"/>
  <c r="Q24" i="26"/>
  <c r="P24" i="26"/>
  <c r="O24" i="26"/>
  <c r="I24" i="26"/>
  <c r="H24" i="26"/>
  <c r="G24" i="26"/>
  <c r="Q23" i="26"/>
  <c r="P23" i="26"/>
  <c r="O23" i="26"/>
  <c r="I23" i="26"/>
  <c r="H23" i="26"/>
  <c r="G23" i="26"/>
  <c r="Q22" i="26"/>
  <c r="P22" i="26"/>
  <c r="O22" i="26"/>
  <c r="I22" i="26"/>
  <c r="H22" i="26"/>
  <c r="G22" i="26"/>
  <c r="Q21" i="26"/>
  <c r="P21" i="26"/>
  <c r="O21" i="26"/>
  <c r="I21" i="26"/>
  <c r="H21" i="26"/>
  <c r="G21" i="26"/>
  <c r="Q20" i="26"/>
  <c r="P20" i="26"/>
  <c r="O20" i="26"/>
  <c r="I20" i="26"/>
  <c r="H20" i="26"/>
  <c r="G20" i="26"/>
  <c r="Q19" i="26"/>
  <c r="P19" i="26"/>
  <c r="O19" i="26"/>
  <c r="I19" i="26"/>
  <c r="H19" i="26"/>
  <c r="G19" i="26"/>
  <c r="Q18" i="26"/>
  <c r="P18" i="26"/>
  <c r="O18" i="26"/>
  <c r="I18" i="26"/>
  <c r="H18" i="26"/>
  <c r="G18" i="26"/>
  <c r="Q17" i="26"/>
  <c r="P17" i="26"/>
  <c r="O17" i="26"/>
  <c r="I17" i="26"/>
  <c r="H17" i="26"/>
  <c r="G17" i="26"/>
  <c r="Q16" i="26"/>
  <c r="P16" i="26"/>
  <c r="O16" i="26"/>
  <c r="I16" i="26"/>
  <c r="H16" i="26"/>
  <c r="G16" i="26"/>
  <c r="Q15" i="26"/>
  <c r="P15" i="26"/>
  <c r="O15" i="26"/>
  <c r="I15" i="26"/>
  <c r="H15" i="26"/>
  <c r="G15" i="26"/>
  <c r="Q14" i="26"/>
  <c r="P14" i="26"/>
  <c r="O14" i="26"/>
  <c r="I14" i="26"/>
  <c r="H14" i="26"/>
  <c r="G14" i="26"/>
  <c r="Q13" i="26"/>
  <c r="P13" i="26"/>
  <c r="O13" i="26"/>
  <c r="I13" i="26"/>
  <c r="H13" i="26"/>
  <c r="G13" i="26"/>
  <c r="Q12" i="26"/>
  <c r="P12" i="26"/>
  <c r="O12" i="26"/>
  <c r="I12" i="26"/>
  <c r="H12" i="26"/>
  <c r="G12" i="26"/>
  <c r="Q11" i="26"/>
  <c r="P11" i="26"/>
  <c r="O11" i="26"/>
  <c r="I11" i="26"/>
  <c r="H11" i="26"/>
  <c r="G11" i="26"/>
  <c r="Q10" i="26"/>
  <c r="P10" i="26"/>
  <c r="O10" i="26"/>
  <c r="I10" i="26"/>
  <c r="H10" i="26"/>
  <c r="G10" i="26"/>
  <c r="Q9" i="26"/>
  <c r="P9" i="26"/>
  <c r="O9" i="26"/>
  <c r="I9" i="26"/>
  <c r="H9" i="26"/>
  <c r="G9" i="26"/>
  <c r="Q8" i="26"/>
  <c r="P8" i="26"/>
  <c r="O8" i="26"/>
  <c r="I8" i="26"/>
  <c r="H8" i="26"/>
  <c r="G8" i="26"/>
  <c r="Q7" i="26"/>
  <c r="P7" i="26"/>
  <c r="O7" i="26"/>
  <c r="I7" i="26"/>
  <c r="H7" i="26"/>
  <c r="G7" i="26"/>
  <c r="Q6" i="26"/>
  <c r="P6" i="26"/>
  <c r="O6" i="26"/>
  <c r="I6" i="26"/>
  <c r="H6" i="26"/>
  <c r="G6" i="26"/>
  <c r="Q5" i="26"/>
  <c r="P5" i="26"/>
  <c r="O5" i="26"/>
  <c r="I5" i="26"/>
  <c r="H5" i="26"/>
  <c r="G5" i="26"/>
  <c r="Q4" i="26"/>
  <c r="P4" i="26"/>
  <c r="O4" i="26"/>
  <c r="I4" i="26"/>
  <c r="H4" i="26"/>
  <c r="G4" i="26"/>
  <c r="Q3" i="26"/>
  <c r="P3" i="26"/>
  <c r="O3" i="26"/>
  <c r="I3" i="26"/>
  <c r="H3" i="26"/>
  <c r="G3" i="26"/>
  <c r="Q2" i="26"/>
  <c r="Q28" i="26" s="1"/>
  <c r="E33" i="26" s="1"/>
  <c r="E37" i="26" s="1"/>
  <c r="P2" i="26"/>
  <c r="P28" i="26" s="1"/>
  <c r="E34" i="26" s="1"/>
  <c r="O2" i="26"/>
  <c r="O28" i="26" s="1"/>
  <c r="E35" i="26" s="1"/>
  <c r="I2" i="26"/>
  <c r="I28" i="26" s="1"/>
  <c r="C33" i="26" s="1"/>
  <c r="C37" i="26" s="1"/>
  <c r="H2" i="26"/>
  <c r="H28" i="26" s="1"/>
  <c r="C34" i="26" s="1"/>
  <c r="G2" i="26"/>
  <c r="G28" i="26" s="1"/>
  <c r="C35" i="26" s="1"/>
  <c r="D35" i="25"/>
  <c r="B35" i="25"/>
  <c r="D34" i="25"/>
  <c r="B34" i="25"/>
  <c r="D33" i="25"/>
  <c r="B33" i="25"/>
  <c r="Q27" i="25"/>
  <c r="P27" i="25"/>
  <c r="O27" i="25"/>
  <c r="I27" i="25"/>
  <c r="H27" i="25"/>
  <c r="G27" i="25"/>
  <c r="Q26" i="25"/>
  <c r="P26" i="25"/>
  <c r="O26" i="25"/>
  <c r="I26" i="25"/>
  <c r="H26" i="25"/>
  <c r="G26" i="25"/>
  <c r="Q25" i="25"/>
  <c r="P25" i="25"/>
  <c r="O25" i="25"/>
  <c r="I25" i="25"/>
  <c r="H25" i="25"/>
  <c r="G25" i="25"/>
  <c r="Q24" i="25"/>
  <c r="P24" i="25"/>
  <c r="O24" i="25"/>
  <c r="I24" i="25"/>
  <c r="H24" i="25"/>
  <c r="G24" i="25"/>
  <c r="Q23" i="25"/>
  <c r="P23" i="25"/>
  <c r="O23" i="25"/>
  <c r="I23" i="25"/>
  <c r="H23" i="25"/>
  <c r="G23" i="25"/>
  <c r="Q22" i="25"/>
  <c r="P22" i="25"/>
  <c r="O22" i="25"/>
  <c r="I22" i="25"/>
  <c r="H22" i="25"/>
  <c r="G22" i="25"/>
  <c r="Q21" i="25"/>
  <c r="P21" i="25"/>
  <c r="O21" i="25"/>
  <c r="I21" i="25"/>
  <c r="H21" i="25"/>
  <c r="G21" i="25"/>
  <c r="Q20" i="25"/>
  <c r="P20" i="25"/>
  <c r="O20" i="25"/>
  <c r="I20" i="25"/>
  <c r="H20" i="25"/>
  <c r="G20" i="25"/>
  <c r="Q19" i="25"/>
  <c r="P19" i="25"/>
  <c r="O19" i="25"/>
  <c r="I19" i="25"/>
  <c r="H19" i="25"/>
  <c r="G19" i="25"/>
  <c r="Q18" i="25"/>
  <c r="P18" i="25"/>
  <c r="O18" i="25"/>
  <c r="I18" i="25"/>
  <c r="H18" i="25"/>
  <c r="G18" i="25"/>
  <c r="Q17" i="25"/>
  <c r="P17" i="25"/>
  <c r="O17" i="25"/>
  <c r="I17" i="25"/>
  <c r="H17" i="25"/>
  <c r="G17" i="25"/>
  <c r="Q16" i="25"/>
  <c r="P16" i="25"/>
  <c r="O16" i="25"/>
  <c r="I16" i="25"/>
  <c r="H16" i="25"/>
  <c r="G16" i="25"/>
  <c r="Q15" i="25"/>
  <c r="P15" i="25"/>
  <c r="O15" i="25"/>
  <c r="I15" i="25"/>
  <c r="H15" i="25"/>
  <c r="G15" i="25"/>
  <c r="Q14" i="25"/>
  <c r="P14" i="25"/>
  <c r="O14" i="25"/>
  <c r="I14" i="25"/>
  <c r="H14" i="25"/>
  <c r="G14" i="25"/>
  <c r="Q13" i="25"/>
  <c r="P13" i="25"/>
  <c r="O13" i="25"/>
  <c r="I13" i="25"/>
  <c r="H13" i="25"/>
  <c r="G13" i="25"/>
  <c r="Q12" i="25"/>
  <c r="P12" i="25"/>
  <c r="O12" i="25"/>
  <c r="I12" i="25"/>
  <c r="H12" i="25"/>
  <c r="G12" i="25"/>
  <c r="Q11" i="25"/>
  <c r="P11" i="25"/>
  <c r="O11" i="25"/>
  <c r="I11" i="25"/>
  <c r="H11" i="25"/>
  <c r="G11" i="25"/>
  <c r="Q10" i="25"/>
  <c r="P10" i="25"/>
  <c r="O10" i="25"/>
  <c r="I10" i="25"/>
  <c r="H10" i="25"/>
  <c r="G10" i="25"/>
  <c r="Q9" i="25"/>
  <c r="P9" i="25"/>
  <c r="O9" i="25"/>
  <c r="I9" i="25"/>
  <c r="H9" i="25"/>
  <c r="G9" i="25"/>
  <c r="Q8" i="25"/>
  <c r="P8" i="25"/>
  <c r="O8" i="25"/>
  <c r="I8" i="25"/>
  <c r="H8" i="25"/>
  <c r="G8" i="25"/>
  <c r="Q7" i="25"/>
  <c r="P7" i="25"/>
  <c r="O7" i="25"/>
  <c r="I7" i="25"/>
  <c r="H7" i="25"/>
  <c r="G7" i="25"/>
  <c r="Q6" i="25"/>
  <c r="P6" i="25"/>
  <c r="O6" i="25"/>
  <c r="I6" i="25"/>
  <c r="H6" i="25"/>
  <c r="G6" i="25"/>
  <c r="Q5" i="25"/>
  <c r="P5" i="25"/>
  <c r="O5" i="25"/>
  <c r="I5" i="25"/>
  <c r="H5" i="25"/>
  <c r="G5" i="25"/>
  <c r="Q4" i="25"/>
  <c r="P4" i="25"/>
  <c r="O4" i="25"/>
  <c r="I4" i="25"/>
  <c r="H4" i="25"/>
  <c r="G4" i="25"/>
  <c r="Q3" i="25"/>
  <c r="P3" i="25"/>
  <c r="O3" i="25"/>
  <c r="I3" i="25"/>
  <c r="I28" i="25" s="1"/>
  <c r="C33" i="25" s="1"/>
  <c r="H3" i="25"/>
  <c r="G3" i="25"/>
  <c r="Q2" i="25"/>
  <c r="P2" i="25"/>
  <c r="P28" i="25" s="1"/>
  <c r="E34" i="25" s="1"/>
  <c r="O2" i="25"/>
  <c r="O28" i="25" s="1"/>
  <c r="E35" i="25" s="1"/>
  <c r="I2" i="25"/>
  <c r="G2" i="25"/>
  <c r="G28" i="25" s="1"/>
  <c r="C35" i="25" s="1"/>
  <c r="H28" i="25" l="1"/>
  <c r="C34" i="25" s="1"/>
  <c r="B37" i="25"/>
  <c r="Q28" i="25"/>
  <c r="E33" i="25" s="1"/>
  <c r="E37" i="25" s="1"/>
  <c r="D37" i="25"/>
  <c r="C37" i="25"/>
  <c r="E53" i="12"/>
  <c r="E51" i="12"/>
  <c r="E65" i="12"/>
  <c r="E46" i="12"/>
  <c r="E50" i="12"/>
  <c r="E52" i="12"/>
  <c r="E55" i="12"/>
  <c r="E66" i="12"/>
  <c r="E57" i="12"/>
  <c r="E47" i="12"/>
  <c r="E49" i="12"/>
  <c r="E54" i="12"/>
  <c r="E43" i="12"/>
  <c r="E60" i="12"/>
  <c r="E56" i="12"/>
  <c r="E59" i="12"/>
  <c r="E48" i="12"/>
  <c r="E44" i="12"/>
  <c r="E61" i="12"/>
  <c r="E62" i="12"/>
  <c r="E42" i="12"/>
  <c r="E58" i="12"/>
  <c r="E67" i="12"/>
  <c r="E45" i="12"/>
  <c r="E64" i="12"/>
  <c r="E63" i="12"/>
  <c r="F37" i="11"/>
  <c r="E37" i="11"/>
  <c r="G22" i="7" l="1"/>
  <c r="G19" i="7"/>
  <c r="E19" i="7"/>
  <c r="C19" i="7"/>
  <c r="J12" i="7"/>
  <c r="I12" i="7"/>
  <c r="H12" i="7"/>
  <c r="G12" i="7"/>
  <c r="F12" i="7"/>
  <c r="E12" i="7"/>
  <c r="D12" i="7"/>
  <c r="C12" i="7"/>
  <c r="B12" i="7"/>
  <c r="J5" i="7"/>
  <c r="I5" i="7"/>
  <c r="H5" i="7"/>
  <c r="G5" i="7"/>
  <c r="F5" i="7"/>
  <c r="E5" i="7"/>
  <c r="D5" i="7"/>
  <c r="C5" i="7"/>
  <c r="B5" i="7"/>
  <c r="C498" i="6"/>
  <c r="Q29" i="16"/>
  <c r="P29" i="16"/>
  <c r="O29" i="16"/>
  <c r="Q28" i="16"/>
  <c r="P28" i="16"/>
  <c r="O28" i="16"/>
  <c r="H28" i="16"/>
  <c r="F28" i="16"/>
  <c r="D28" i="16"/>
  <c r="Q27" i="16"/>
  <c r="P27" i="16"/>
  <c r="O27" i="16"/>
  <c r="H27" i="16"/>
  <c r="F27" i="16"/>
  <c r="D27" i="16"/>
  <c r="Q26" i="16"/>
  <c r="P26" i="16"/>
  <c r="O26" i="16"/>
  <c r="H26" i="16"/>
  <c r="F26" i="16"/>
  <c r="D26" i="16"/>
  <c r="Q25" i="16"/>
  <c r="P25" i="16"/>
  <c r="O25" i="16"/>
  <c r="H25" i="16"/>
  <c r="F25" i="16"/>
  <c r="D25" i="16"/>
  <c r="Q24" i="16"/>
  <c r="P24" i="16"/>
  <c r="O24" i="16"/>
  <c r="H24" i="16"/>
  <c r="F24" i="16"/>
  <c r="D24" i="16"/>
  <c r="Q23" i="16"/>
  <c r="P23" i="16"/>
  <c r="O23" i="16"/>
  <c r="H23" i="16"/>
  <c r="F23" i="16"/>
  <c r="D23" i="16"/>
  <c r="Q22" i="16"/>
  <c r="P22" i="16"/>
  <c r="O22" i="16"/>
  <c r="H22" i="16"/>
  <c r="F22" i="16"/>
  <c r="D22" i="16"/>
  <c r="Q21" i="16"/>
  <c r="P21" i="16"/>
  <c r="O21" i="16"/>
  <c r="H21" i="16"/>
  <c r="F21" i="16"/>
  <c r="D21" i="16"/>
  <c r="Q20" i="16"/>
  <c r="P20" i="16"/>
  <c r="O20" i="16"/>
  <c r="H20" i="16"/>
  <c r="F20" i="16"/>
  <c r="D20" i="16"/>
  <c r="Q19" i="16"/>
  <c r="P19" i="16"/>
  <c r="O19" i="16"/>
  <c r="H19" i="16"/>
  <c r="F19" i="16"/>
  <c r="D19" i="16"/>
  <c r="Q18" i="16"/>
  <c r="P18" i="16"/>
  <c r="O18" i="16"/>
  <c r="H18" i="16"/>
  <c r="F18" i="16"/>
  <c r="D18" i="16"/>
  <c r="Q17" i="16"/>
  <c r="P17" i="16"/>
  <c r="O17" i="16"/>
  <c r="H17" i="16"/>
  <c r="F17" i="16"/>
  <c r="D17" i="16"/>
  <c r="Q16" i="16"/>
  <c r="P16" i="16"/>
  <c r="O16" i="16"/>
  <c r="H16" i="16"/>
  <c r="F16" i="16"/>
  <c r="D16" i="16"/>
  <c r="Q15" i="16"/>
  <c r="P15" i="16"/>
  <c r="O15" i="16"/>
  <c r="H15" i="16"/>
  <c r="F15" i="16"/>
  <c r="D15" i="16"/>
  <c r="Q14" i="16"/>
  <c r="P14" i="16"/>
  <c r="O14" i="16"/>
  <c r="H14" i="16"/>
  <c r="F14" i="16"/>
  <c r="D14" i="16"/>
  <c r="Q13" i="16"/>
  <c r="P13" i="16"/>
  <c r="O13" i="16"/>
  <c r="H13" i="16"/>
  <c r="F13" i="16"/>
  <c r="D13" i="16"/>
  <c r="Q12" i="16"/>
  <c r="P12" i="16"/>
  <c r="O12" i="16"/>
  <c r="H12" i="16"/>
  <c r="F12" i="16"/>
  <c r="D12" i="16"/>
  <c r="Q11" i="16"/>
  <c r="P11" i="16"/>
  <c r="O11" i="16"/>
  <c r="H11" i="16"/>
  <c r="F11" i="16"/>
  <c r="D11" i="16"/>
  <c r="Q10" i="16"/>
  <c r="P10" i="16"/>
  <c r="O10" i="16"/>
  <c r="H10" i="16"/>
  <c r="F10" i="16"/>
  <c r="D10" i="16"/>
  <c r="Q9" i="16"/>
  <c r="P9" i="16"/>
  <c r="O9" i="16"/>
  <c r="H9" i="16"/>
  <c r="F9" i="16"/>
  <c r="D9" i="16"/>
  <c r="Q8" i="16"/>
  <c r="P8" i="16"/>
  <c r="O8" i="16"/>
  <c r="H8" i="16"/>
  <c r="F8" i="16"/>
  <c r="D8" i="16"/>
  <c r="Q7" i="16"/>
  <c r="P7" i="16"/>
  <c r="O7" i="16"/>
  <c r="H7" i="16"/>
  <c r="F7" i="16"/>
  <c r="D7" i="16"/>
  <c r="Q6" i="16"/>
  <c r="P6" i="16"/>
  <c r="O6" i="16"/>
  <c r="H6" i="16"/>
  <c r="F6" i="16"/>
  <c r="D6" i="16"/>
  <c r="Q5" i="16"/>
  <c r="P5" i="16"/>
  <c r="O5" i="16"/>
  <c r="H5" i="16"/>
  <c r="F5" i="16"/>
  <c r="D5" i="16"/>
  <c r="Q4" i="16"/>
  <c r="P4" i="16"/>
  <c r="O4" i="16"/>
  <c r="H4" i="16"/>
  <c r="F4" i="16"/>
  <c r="D4" i="16"/>
  <c r="Q3" i="16"/>
  <c r="P3" i="16"/>
  <c r="P30" i="16" s="1"/>
  <c r="O3" i="16"/>
  <c r="O30" i="16" s="1"/>
  <c r="H3" i="16"/>
  <c r="F3" i="16"/>
  <c r="D3" i="16"/>
  <c r="H2" i="16"/>
  <c r="H29" i="16" s="1"/>
  <c r="F2" i="16"/>
  <c r="D2" i="16"/>
  <c r="B74" i="14"/>
  <c r="B73" i="14" s="1"/>
  <c r="Q29" i="14"/>
  <c r="P29" i="14"/>
  <c r="O29" i="14"/>
  <c r="Q28" i="14"/>
  <c r="P28" i="14"/>
  <c r="O28" i="14"/>
  <c r="H28" i="14"/>
  <c r="F28" i="14"/>
  <c r="D28" i="14"/>
  <c r="Q27" i="14"/>
  <c r="P27" i="14"/>
  <c r="O27" i="14"/>
  <c r="H27" i="14"/>
  <c r="F27" i="14"/>
  <c r="D27" i="14"/>
  <c r="Q26" i="14"/>
  <c r="P26" i="14"/>
  <c r="O26" i="14"/>
  <c r="H26" i="14"/>
  <c r="F26" i="14"/>
  <c r="D26" i="14"/>
  <c r="Q25" i="14"/>
  <c r="P25" i="14"/>
  <c r="O25" i="14"/>
  <c r="H25" i="14"/>
  <c r="F25" i="14"/>
  <c r="D25" i="14"/>
  <c r="Q24" i="14"/>
  <c r="P24" i="14"/>
  <c r="O24" i="14"/>
  <c r="H24" i="14"/>
  <c r="F24" i="14"/>
  <c r="D24" i="14"/>
  <c r="Q23" i="14"/>
  <c r="P23" i="14"/>
  <c r="O23" i="14"/>
  <c r="H23" i="14"/>
  <c r="F23" i="14"/>
  <c r="D23" i="14"/>
  <c r="Q22" i="14"/>
  <c r="P22" i="14"/>
  <c r="O22" i="14"/>
  <c r="H22" i="14"/>
  <c r="F22" i="14"/>
  <c r="D22" i="14"/>
  <c r="Q21" i="14"/>
  <c r="P21" i="14"/>
  <c r="O21" i="14"/>
  <c r="H21" i="14"/>
  <c r="F21" i="14"/>
  <c r="D21" i="14"/>
  <c r="Q20" i="14"/>
  <c r="P20" i="14"/>
  <c r="O20" i="14"/>
  <c r="H20" i="14"/>
  <c r="F20" i="14"/>
  <c r="D20" i="14"/>
  <c r="Q19" i="14"/>
  <c r="P19" i="14"/>
  <c r="O19" i="14"/>
  <c r="H19" i="14"/>
  <c r="F19" i="14"/>
  <c r="D19" i="14"/>
  <c r="Q18" i="14"/>
  <c r="P18" i="14"/>
  <c r="O18" i="14"/>
  <c r="H18" i="14"/>
  <c r="F18" i="14"/>
  <c r="D18" i="14"/>
  <c r="Q17" i="14"/>
  <c r="P17" i="14"/>
  <c r="O17" i="14"/>
  <c r="H17" i="14"/>
  <c r="F17" i="14"/>
  <c r="D17" i="14"/>
  <c r="Q16" i="14"/>
  <c r="P16" i="14"/>
  <c r="O16" i="14"/>
  <c r="H16" i="14"/>
  <c r="F16" i="14"/>
  <c r="D16" i="14"/>
  <c r="Q15" i="14"/>
  <c r="P15" i="14"/>
  <c r="O15" i="14"/>
  <c r="H15" i="14"/>
  <c r="F15" i="14"/>
  <c r="D15" i="14"/>
  <c r="Q14" i="14"/>
  <c r="P14" i="14"/>
  <c r="O14" i="14"/>
  <c r="H14" i="14"/>
  <c r="F14" i="14"/>
  <c r="D14" i="14"/>
  <c r="Q13" i="14"/>
  <c r="P13" i="14"/>
  <c r="O13" i="14"/>
  <c r="H13" i="14"/>
  <c r="F13" i="14"/>
  <c r="D13" i="14"/>
  <c r="Q12" i="14"/>
  <c r="P12" i="14"/>
  <c r="O12" i="14"/>
  <c r="H12" i="14"/>
  <c r="F12" i="14"/>
  <c r="D12" i="14"/>
  <c r="Q11" i="14"/>
  <c r="P11" i="14"/>
  <c r="O11" i="14"/>
  <c r="H11" i="14"/>
  <c r="F11" i="14"/>
  <c r="D11" i="14"/>
  <c r="Q10" i="14"/>
  <c r="P10" i="14"/>
  <c r="O10" i="14"/>
  <c r="H10" i="14"/>
  <c r="F10" i="14"/>
  <c r="D10" i="14"/>
  <c r="Q9" i="14"/>
  <c r="P9" i="14"/>
  <c r="O9" i="14"/>
  <c r="H9" i="14"/>
  <c r="F9" i="14"/>
  <c r="D9" i="14"/>
  <c r="Q8" i="14"/>
  <c r="P8" i="14"/>
  <c r="O8" i="14"/>
  <c r="H8" i="14"/>
  <c r="F8" i="14"/>
  <c r="D8" i="14"/>
  <c r="Q7" i="14"/>
  <c r="P7" i="14"/>
  <c r="O7" i="14"/>
  <c r="H7" i="14"/>
  <c r="F7" i="14"/>
  <c r="D7" i="14"/>
  <c r="Q6" i="14"/>
  <c r="P6" i="14"/>
  <c r="O6" i="14"/>
  <c r="H6" i="14"/>
  <c r="F6" i="14"/>
  <c r="D6" i="14"/>
  <c r="Q5" i="14"/>
  <c r="P5" i="14"/>
  <c r="O5" i="14"/>
  <c r="H5" i="14"/>
  <c r="F5" i="14"/>
  <c r="D5" i="14"/>
  <c r="Q4" i="14"/>
  <c r="P4" i="14"/>
  <c r="O4" i="14"/>
  <c r="H4" i="14"/>
  <c r="F4" i="14"/>
  <c r="D4" i="14"/>
  <c r="Q3" i="14"/>
  <c r="P3" i="14"/>
  <c r="O3" i="14"/>
  <c r="O30" i="14" s="1"/>
  <c r="H3" i="14"/>
  <c r="F3" i="14"/>
  <c r="D3" i="14"/>
  <c r="H2" i="14"/>
  <c r="F2" i="14"/>
  <c r="D2" i="14"/>
  <c r="G28" i="13"/>
  <c r="D28" i="13"/>
  <c r="G27" i="13"/>
  <c r="D27" i="13"/>
  <c r="G26" i="13"/>
  <c r="D26" i="13"/>
  <c r="G25" i="13"/>
  <c r="D25" i="13"/>
  <c r="G24" i="13"/>
  <c r="D24" i="13"/>
  <c r="G23" i="13"/>
  <c r="D23" i="13"/>
  <c r="G22" i="13"/>
  <c r="D22" i="13"/>
  <c r="G21" i="13"/>
  <c r="D21" i="13"/>
  <c r="G20" i="13"/>
  <c r="D20" i="13"/>
  <c r="G19" i="13"/>
  <c r="D19" i="13"/>
  <c r="G18" i="13"/>
  <c r="D18" i="13"/>
  <c r="G17" i="13"/>
  <c r="D17" i="13"/>
  <c r="G16" i="13"/>
  <c r="D16" i="13"/>
  <c r="G15" i="13"/>
  <c r="D15" i="13"/>
  <c r="G14" i="13"/>
  <c r="D14" i="13"/>
  <c r="G13" i="13"/>
  <c r="D13" i="13"/>
  <c r="G12" i="13"/>
  <c r="D12" i="13"/>
  <c r="G11" i="13"/>
  <c r="D11" i="13"/>
  <c r="G10" i="13"/>
  <c r="D10" i="13"/>
  <c r="G9" i="13"/>
  <c r="D9" i="13"/>
  <c r="G8" i="13"/>
  <c r="D8" i="13"/>
  <c r="G7" i="13"/>
  <c r="D7" i="13"/>
  <c r="G6" i="13"/>
  <c r="D6" i="13"/>
  <c r="G5" i="13"/>
  <c r="D5" i="13"/>
  <c r="G4" i="13"/>
  <c r="D4" i="13"/>
  <c r="G3" i="13"/>
  <c r="D3" i="13"/>
  <c r="G2" i="13"/>
  <c r="D2" i="13"/>
  <c r="D29" i="13" s="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Q29" i="11"/>
  <c r="P29" i="11"/>
  <c r="O29" i="11"/>
  <c r="Q28" i="11"/>
  <c r="P28" i="11"/>
  <c r="O28" i="11"/>
  <c r="H28" i="11"/>
  <c r="F28" i="11"/>
  <c r="D28" i="11"/>
  <c r="Q27" i="11"/>
  <c r="P27" i="11"/>
  <c r="O27" i="11"/>
  <c r="H27" i="11"/>
  <c r="F27" i="11"/>
  <c r="D27" i="11"/>
  <c r="Q26" i="11"/>
  <c r="P26" i="11"/>
  <c r="O26" i="11"/>
  <c r="H26" i="11"/>
  <c r="F26" i="11"/>
  <c r="D26" i="11"/>
  <c r="Q25" i="11"/>
  <c r="P25" i="11"/>
  <c r="O25" i="11"/>
  <c r="H25" i="11"/>
  <c r="F25" i="11"/>
  <c r="D25" i="11"/>
  <c r="Q24" i="11"/>
  <c r="P24" i="11"/>
  <c r="O24" i="11"/>
  <c r="H24" i="11"/>
  <c r="F24" i="11"/>
  <c r="D24" i="11"/>
  <c r="Q23" i="11"/>
  <c r="P23" i="11"/>
  <c r="O23" i="11"/>
  <c r="H23" i="11"/>
  <c r="F23" i="11"/>
  <c r="D23" i="11"/>
  <c r="Q22" i="11"/>
  <c r="P22" i="11"/>
  <c r="O22" i="11"/>
  <c r="H22" i="11"/>
  <c r="F22" i="11"/>
  <c r="D22" i="11"/>
  <c r="Q21" i="11"/>
  <c r="P21" i="11"/>
  <c r="O21" i="11"/>
  <c r="H21" i="11"/>
  <c r="F21" i="11"/>
  <c r="D21" i="11"/>
  <c r="Q20" i="11"/>
  <c r="P20" i="11"/>
  <c r="O20" i="11"/>
  <c r="H20" i="11"/>
  <c r="F20" i="11"/>
  <c r="D20" i="11"/>
  <c r="Q19" i="11"/>
  <c r="P19" i="11"/>
  <c r="O19" i="11"/>
  <c r="H19" i="11"/>
  <c r="F19" i="11"/>
  <c r="D19" i="11"/>
  <c r="Q18" i="11"/>
  <c r="P18" i="11"/>
  <c r="O18" i="11"/>
  <c r="H18" i="11"/>
  <c r="F18" i="11"/>
  <c r="D18" i="11"/>
  <c r="Q17" i="11"/>
  <c r="P17" i="11"/>
  <c r="O17" i="11"/>
  <c r="H17" i="11"/>
  <c r="F17" i="11"/>
  <c r="D17" i="11"/>
  <c r="Q16" i="11"/>
  <c r="P16" i="11"/>
  <c r="O16" i="11"/>
  <c r="H16" i="11"/>
  <c r="F16" i="11"/>
  <c r="D16" i="11"/>
  <c r="Q15" i="11"/>
  <c r="P15" i="11"/>
  <c r="O15" i="11"/>
  <c r="H15" i="11"/>
  <c r="F15" i="11"/>
  <c r="D15" i="11"/>
  <c r="Q14" i="11"/>
  <c r="P14" i="11"/>
  <c r="O14" i="11"/>
  <c r="H14" i="11"/>
  <c r="F14" i="11"/>
  <c r="D14" i="11"/>
  <c r="Q13" i="11"/>
  <c r="P13" i="11"/>
  <c r="O13" i="11"/>
  <c r="H13" i="11"/>
  <c r="F13" i="11"/>
  <c r="D13" i="11"/>
  <c r="Q12" i="11"/>
  <c r="P12" i="11"/>
  <c r="O12" i="11"/>
  <c r="H12" i="11"/>
  <c r="F12" i="11"/>
  <c r="D12" i="11"/>
  <c r="Q11" i="11"/>
  <c r="P11" i="11"/>
  <c r="O11" i="11"/>
  <c r="H11" i="11"/>
  <c r="F11" i="11"/>
  <c r="D11" i="11"/>
  <c r="Q10" i="11"/>
  <c r="P10" i="11"/>
  <c r="O10" i="11"/>
  <c r="H10" i="11"/>
  <c r="F10" i="11"/>
  <c r="D10" i="11"/>
  <c r="Q9" i="11"/>
  <c r="P9" i="11"/>
  <c r="O9" i="11"/>
  <c r="H9" i="11"/>
  <c r="F9" i="11"/>
  <c r="D9" i="11"/>
  <c r="Q8" i="11"/>
  <c r="P8" i="11"/>
  <c r="O8" i="11"/>
  <c r="H8" i="11"/>
  <c r="F8" i="11"/>
  <c r="D8" i="11"/>
  <c r="Q7" i="11"/>
  <c r="P7" i="11"/>
  <c r="O7" i="11"/>
  <c r="H7" i="11"/>
  <c r="F7" i="11"/>
  <c r="D7" i="11"/>
  <c r="Q6" i="11"/>
  <c r="P6" i="11"/>
  <c r="O6" i="11"/>
  <c r="H6" i="11"/>
  <c r="F6" i="11"/>
  <c r="D6" i="11"/>
  <c r="Q5" i="11"/>
  <c r="P5" i="11"/>
  <c r="O5" i="11"/>
  <c r="H5" i="11"/>
  <c r="F5" i="11"/>
  <c r="D5" i="11"/>
  <c r="Q4" i="11"/>
  <c r="P4" i="11"/>
  <c r="O4" i="11"/>
  <c r="H4" i="11"/>
  <c r="F4" i="11"/>
  <c r="D4" i="11"/>
  <c r="Q3" i="11"/>
  <c r="P3" i="11"/>
  <c r="O3" i="11"/>
  <c r="H3" i="11"/>
  <c r="F3" i="11"/>
  <c r="D3" i="11"/>
  <c r="H2" i="11"/>
  <c r="F2" i="11"/>
  <c r="F29" i="11" s="1"/>
  <c r="D2" i="11"/>
  <c r="D35" i="12"/>
  <c r="B35" i="12"/>
  <c r="D34" i="12"/>
  <c r="B34" i="12"/>
  <c r="D33" i="12"/>
  <c r="B33" i="12"/>
  <c r="Q27" i="12"/>
  <c r="P27" i="12"/>
  <c r="O27" i="12"/>
  <c r="I27" i="12"/>
  <c r="H27" i="12"/>
  <c r="G27" i="12"/>
  <c r="Q26" i="12"/>
  <c r="P26" i="12"/>
  <c r="O26" i="12"/>
  <c r="I26" i="12"/>
  <c r="H26" i="12"/>
  <c r="G26" i="12"/>
  <c r="Q25" i="12"/>
  <c r="P25" i="12"/>
  <c r="O25" i="12"/>
  <c r="I25" i="12"/>
  <c r="H25" i="12"/>
  <c r="G25" i="12"/>
  <c r="Q24" i="12"/>
  <c r="P24" i="12"/>
  <c r="O24" i="12"/>
  <c r="I24" i="12"/>
  <c r="H24" i="12"/>
  <c r="G24" i="12"/>
  <c r="Q23" i="12"/>
  <c r="P23" i="12"/>
  <c r="O23" i="12"/>
  <c r="I23" i="12"/>
  <c r="H23" i="12"/>
  <c r="G23" i="12"/>
  <c r="Q22" i="12"/>
  <c r="P22" i="12"/>
  <c r="O22" i="12"/>
  <c r="I22" i="12"/>
  <c r="H22" i="12"/>
  <c r="G22" i="12"/>
  <c r="Q21" i="12"/>
  <c r="P21" i="12"/>
  <c r="O21" i="12"/>
  <c r="I21" i="12"/>
  <c r="H21" i="12"/>
  <c r="G21" i="12"/>
  <c r="Q20" i="12"/>
  <c r="P20" i="12"/>
  <c r="O20" i="12"/>
  <c r="I20" i="12"/>
  <c r="H20" i="12"/>
  <c r="G20" i="12"/>
  <c r="Q19" i="12"/>
  <c r="P19" i="12"/>
  <c r="O19" i="12"/>
  <c r="I19" i="12"/>
  <c r="H19" i="12"/>
  <c r="G19" i="12"/>
  <c r="Q18" i="12"/>
  <c r="P18" i="12"/>
  <c r="O18" i="12"/>
  <c r="I18" i="12"/>
  <c r="H18" i="12"/>
  <c r="G18" i="12"/>
  <c r="Q17" i="12"/>
  <c r="P17" i="12"/>
  <c r="O17" i="12"/>
  <c r="I17" i="12"/>
  <c r="H17" i="12"/>
  <c r="G17" i="12"/>
  <c r="Q16" i="12"/>
  <c r="P16" i="12"/>
  <c r="O16" i="12"/>
  <c r="I16" i="12"/>
  <c r="H16" i="12"/>
  <c r="G16" i="12"/>
  <c r="Q15" i="12"/>
  <c r="P15" i="12"/>
  <c r="O15" i="12"/>
  <c r="I15" i="12"/>
  <c r="H15" i="12"/>
  <c r="G15" i="12"/>
  <c r="Q14" i="12"/>
  <c r="P14" i="12"/>
  <c r="O14" i="12"/>
  <c r="I14" i="12"/>
  <c r="H14" i="12"/>
  <c r="G14" i="12"/>
  <c r="Q13" i="12"/>
  <c r="P13" i="12"/>
  <c r="O13" i="12"/>
  <c r="I13" i="12"/>
  <c r="H13" i="12"/>
  <c r="G13" i="12"/>
  <c r="Q12" i="12"/>
  <c r="P12" i="12"/>
  <c r="O12" i="12"/>
  <c r="I12" i="12"/>
  <c r="H12" i="12"/>
  <c r="G12" i="12"/>
  <c r="Q11" i="12"/>
  <c r="P11" i="12"/>
  <c r="O11" i="12"/>
  <c r="I11" i="12"/>
  <c r="H11" i="12"/>
  <c r="G11" i="12"/>
  <c r="Q10" i="12"/>
  <c r="P10" i="12"/>
  <c r="O10" i="12"/>
  <c r="I10" i="12"/>
  <c r="H10" i="12"/>
  <c r="G10" i="12"/>
  <c r="Q9" i="12"/>
  <c r="P9" i="12"/>
  <c r="O9" i="12"/>
  <c r="I9" i="12"/>
  <c r="H9" i="12"/>
  <c r="G9" i="12"/>
  <c r="Q8" i="12"/>
  <c r="P8" i="12"/>
  <c r="O8" i="12"/>
  <c r="I8" i="12"/>
  <c r="H8" i="12"/>
  <c r="G8" i="12"/>
  <c r="Q7" i="12"/>
  <c r="P7" i="12"/>
  <c r="O7" i="12"/>
  <c r="I7" i="12"/>
  <c r="H7" i="12"/>
  <c r="G7" i="12"/>
  <c r="Q6" i="12"/>
  <c r="P6" i="12"/>
  <c r="O6" i="12"/>
  <c r="I6" i="12"/>
  <c r="H6" i="12"/>
  <c r="G6" i="12"/>
  <c r="Q5" i="12"/>
  <c r="P5" i="12"/>
  <c r="O5" i="12"/>
  <c r="I5" i="12"/>
  <c r="H5" i="12"/>
  <c r="G5" i="12"/>
  <c r="Q4" i="12"/>
  <c r="P4" i="12"/>
  <c r="O4" i="12"/>
  <c r="I4" i="12"/>
  <c r="H4" i="12"/>
  <c r="G4" i="12"/>
  <c r="Q3" i="12"/>
  <c r="P3" i="12"/>
  <c r="O3" i="12"/>
  <c r="I3" i="12"/>
  <c r="H3" i="12"/>
  <c r="G3" i="12"/>
  <c r="Q2" i="12"/>
  <c r="P2" i="12"/>
  <c r="O2" i="12"/>
  <c r="I2" i="12"/>
  <c r="H2" i="12"/>
  <c r="G2" i="12"/>
  <c r="B25" i="10"/>
  <c r="B21" i="10"/>
  <c r="B23" i="21"/>
  <c r="C3" i="17"/>
  <c r="B24" i="10"/>
  <c r="B22" i="21"/>
  <c r="B26" i="21"/>
  <c r="B23" i="10"/>
  <c r="B25" i="21"/>
  <c r="B21" i="21"/>
  <c r="C4" i="17"/>
  <c r="B24" i="21"/>
  <c r="B26" i="10"/>
  <c r="B22" i="10"/>
  <c r="C2" i="17"/>
  <c r="C5" i="17" s="1"/>
  <c r="Q30" i="14" l="1"/>
  <c r="O28" i="12"/>
  <c r="E35" i="12" s="1"/>
  <c r="P28" i="12"/>
  <c r="E34" i="12" s="1"/>
  <c r="B37" i="12"/>
  <c r="O30" i="11"/>
  <c r="G29" i="13"/>
  <c r="P30" i="11"/>
  <c r="D29" i="16"/>
  <c r="F29" i="16"/>
  <c r="Q30" i="16"/>
  <c r="G28" i="12"/>
  <c r="C35" i="12" s="1"/>
  <c r="H29" i="11"/>
  <c r="Q30" i="11"/>
  <c r="B70" i="14"/>
  <c r="H28" i="12"/>
  <c r="C34" i="12" s="1"/>
  <c r="Q28" i="12"/>
  <c r="E33" i="12" s="1"/>
  <c r="E37" i="12" s="1"/>
  <c r="D37" i="12"/>
  <c r="D29" i="11"/>
  <c r="D29" i="14"/>
  <c r="I28" i="12"/>
  <c r="C33" i="12" s="1"/>
  <c r="F29" i="14"/>
  <c r="H29" i="14"/>
  <c r="P30" i="14"/>
  <c r="B72" i="14"/>
  <c r="C74" i="14" s="1"/>
  <c r="B71" i="14"/>
  <c r="B6" i="17"/>
  <c r="B5" i="17" s="1"/>
  <c r="C37" i="12" l="1"/>
  <c r="B2" i="17"/>
  <c r="C6" i="17" s="1"/>
  <c r="B3" i="17"/>
  <c r="B4" i="17"/>
  <c r="E54" i="13"/>
  <c r="E57" i="13"/>
  <c r="E55" i="13"/>
  <c r="E36" i="13"/>
  <c r="E53" i="13"/>
  <c r="E52" i="13"/>
  <c r="E41" i="13"/>
  <c r="E50" i="13"/>
  <c r="E34" i="13"/>
  <c r="E56" i="13"/>
  <c r="E44" i="13"/>
  <c r="E46" i="13"/>
  <c r="E39" i="13"/>
  <c r="E48" i="13"/>
  <c r="E59" i="13"/>
  <c r="E49" i="13"/>
  <c r="E51" i="13"/>
  <c r="E42" i="13"/>
  <c r="E47" i="13"/>
  <c r="E37" i="13"/>
  <c r="E38" i="13"/>
  <c r="E43" i="13"/>
  <c r="E40" i="13"/>
  <c r="E45" i="13"/>
  <c r="E35" i="13"/>
  <c r="E60" i="13"/>
  <c r="E5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  <author/>
  </authors>
  <commentList>
    <comment ref="B2" authorId="0" shapeId="0" xr:uid="{90956878-9942-4A63-9325-E4F164DB0E36}">
      <text>
        <r>
          <rPr>
            <sz val="11"/>
            <color theme="1"/>
            <rFont val="Calibri"/>
            <family val="2"/>
            <scheme val="minor"/>
          </rPr>
          <t>Diferença: data=nan | estados=ACRE_BOLSA_112024.pdf</t>
        </r>
      </text>
    </comment>
    <comment ref="B3" authorId="0" shapeId="0" xr:uid="{C7B1BF45-9B41-416D-9E0D-0684ED740E8A}">
      <text>
        <r>
          <rPr>
            <sz val="11"/>
            <color theme="1"/>
            <rFont val="Calibri"/>
            <family val="2"/>
            <scheme val="minor"/>
          </rPr>
          <t>Diferença: data=nan | estados=ACRE_CULTURAVIVA_012025.pdf</t>
        </r>
      </text>
    </comment>
    <comment ref="B4" authorId="0" shapeId="0" xr:uid="{F5E2054F-296D-4F78-B255-5C5CA0DB76B0}">
      <text>
        <r>
          <rPr>
            <sz val="11"/>
            <color theme="1"/>
            <rFont val="Calibri"/>
            <family val="2"/>
            <scheme val="minor"/>
          </rPr>
          <t>Diferença: data=nan | estados=ACRE_CULTURAVIVA_122024.pdf</t>
        </r>
      </text>
    </comment>
    <comment ref="B5" authorId="0" shapeId="0" xr:uid="{BB2FA50A-3313-4CFF-A6A2-5BD5659041F8}">
      <text>
        <r>
          <rPr>
            <sz val="11"/>
            <color theme="1"/>
            <rFont val="Calibri"/>
            <family val="2"/>
            <scheme val="minor"/>
          </rPr>
          <t>Diferença: data=nan | estados=ACRE_CULTURAVIVA_132024.pdf</t>
        </r>
      </text>
    </comment>
    <comment ref="B6" authorId="0" shapeId="0" xr:uid="{DB9244A2-B7AB-4926-B442-1B0BC7B2E5FA}">
      <text>
        <r>
          <rPr>
            <sz val="11"/>
            <color theme="1"/>
            <rFont val="Calibri"/>
            <family val="2"/>
            <scheme val="minor"/>
          </rPr>
          <t>Diferença: data=nan | estados=ACRE_FOMENTO_062024.pdf</t>
        </r>
      </text>
    </comment>
    <comment ref="B7" authorId="0" shapeId="0" xr:uid="{F6AC49E6-CCBF-42F4-9483-2D3853AAD4F1}">
      <text>
        <r>
          <rPr>
            <sz val="11"/>
            <color theme="1"/>
            <rFont val="Calibri"/>
            <family val="2"/>
            <scheme val="minor"/>
          </rPr>
          <t>Diferença: data=nan | estados=ACRE_FOMENTO_072024.pdf</t>
        </r>
      </text>
    </comment>
    <comment ref="B8" authorId="0" shapeId="0" xr:uid="{99ED4A4F-0039-4542-A33D-E42C16CC63CE}">
      <text>
        <r>
          <rPr>
            <sz val="11"/>
            <color theme="1"/>
            <rFont val="Calibri"/>
            <family val="2"/>
            <scheme val="minor"/>
          </rPr>
          <t>Diferença: data=nan | estados=ACRE_FOMENTO_082024.pdf</t>
        </r>
      </text>
    </comment>
    <comment ref="B9" authorId="0" shapeId="0" xr:uid="{A66B1814-7596-4F4E-9257-CB3C421D3FBC}">
      <text>
        <r>
          <rPr>
            <sz val="11"/>
            <color theme="1"/>
            <rFont val="Calibri"/>
            <family val="2"/>
            <scheme val="minor"/>
          </rPr>
          <t>Diferença: data=nan | estados=ACRE_FOMENTO_092024.pdf</t>
        </r>
      </text>
    </comment>
    <comment ref="B10" authorId="0" shapeId="0" xr:uid="{11C1F166-9244-4595-A7C6-70C8981D5B8F}">
      <text>
        <r>
          <rPr>
            <sz val="11"/>
            <color theme="1"/>
            <rFont val="Calibri"/>
            <family val="2"/>
            <scheme val="minor"/>
          </rPr>
          <t>Diferença: data=nan | estados=ACRE_PRÊMIO_142024.pdf</t>
        </r>
      </text>
    </comment>
    <comment ref="B11" authorId="0" shapeId="0" xr:uid="{D2C8A719-B02A-423E-8854-277D6D2295BD}">
      <text>
        <r>
          <rPr>
            <sz val="11"/>
            <color theme="1"/>
            <rFont val="Calibri"/>
            <family val="2"/>
            <scheme val="minor"/>
          </rPr>
          <t>Diferença: data=nan | estados=ACRE_PRÊMIO_152024.pdf</t>
        </r>
      </text>
    </comment>
    <comment ref="E11" authorId="0" shapeId="0" xr:uid="{BCFA392B-0B0D-4D9B-9273-D5AD60898720}">
      <text>
        <r>
          <rPr>
            <sz val="11"/>
            <color theme="1"/>
            <rFont val="Calibri"/>
            <family val="2"/>
            <scheme val="minor"/>
          </rPr>
          <t>Diferença: data=nan | estados=1</t>
        </r>
      </text>
    </comment>
    <comment ref="B12" authorId="0" shapeId="0" xr:uid="{528D4729-D339-4C13-ABBE-866BD4B9D198}">
      <text>
        <r>
          <rPr>
            <sz val="11"/>
            <color theme="1"/>
            <rFont val="Calibri"/>
            <family val="2"/>
            <scheme val="minor"/>
          </rPr>
          <t>Diferença: data=nan | estados=ACRE_SUBSÍDIO_102024.pdf</t>
        </r>
      </text>
    </comment>
    <comment ref="B13" authorId="0" shapeId="0" xr:uid="{EAC860CE-B825-41A0-8D23-FDE62BF8BF0E}">
      <text>
        <r>
          <rPr>
            <sz val="11"/>
            <color theme="1"/>
            <rFont val="Calibri"/>
            <family val="2"/>
            <scheme val="minor"/>
          </rPr>
          <t>Diferença: data=nan | estados=ALAGOAS_CULTURAVIVA_012025.pdf</t>
        </r>
      </text>
    </comment>
    <comment ref="B14" authorId="0" shapeId="0" xr:uid="{6D875D52-F5F1-4DA1-9F8C-2E1625150721}">
      <text>
        <r>
          <rPr>
            <sz val="11"/>
            <color theme="1"/>
            <rFont val="Calibri"/>
            <family val="2"/>
            <scheme val="minor"/>
          </rPr>
          <t>Diferença: data=nan | estados=ALAGOAS_CULTURAVIVA_022025.pdf</t>
        </r>
      </text>
    </comment>
    <comment ref="B15" authorId="0" shapeId="0" xr:uid="{F86E576C-E509-4400-9C9F-565E9B0DBE38}">
      <text>
        <r>
          <rPr>
            <sz val="11"/>
            <color theme="1"/>
            <rFont val="Calibri"/>
            <family val="2"/>
            <scheme val="minor"/>
          </rPr>
          <t>Diferença: data=nan | estados=ALAGOAS_FOMENTO_072024.pdf</t>
        </r>
      </text>
    </comment>
    <comment ref="B16" authorId="0" shapeId="0" xr:uid="{B6C57CA5-46DC-4ABC-9542-C2C9BAA1B260}">
      <text>
        <r>
          <rPr>
            <sz val="11"/>
            <color theme="1"/>
            <rFont val="Calibri"/>
            <family val="2"/>
            <scheme val="minor"/>
          </rPr>
          <t>Diferença: data=nan | estados=ALAGOAS_FOMENTO_082024.pdf</t>
        </r>
      </text>
    </comment>
    <comment ref="B17" authorId="0" shapeId="0" xr:uid="{26EE6859-B529-48BA-8E83-A1DED19DD1B9}">
      <text>
        <r>
          <rPr>
            <sz val="11"/>
            <color theme="1"/>
            <rFont val="Calibri"/>
            <family val="2"/>
            <scheme val="minor"/>
          </rPr>
          <t>Diferença: data=nan | estados=ALAGOAS_FOMENTO_092024.pdf</t>
        </r>
      </text>
    </comment>
    <comment ref="B18" authorId="0" shapeId="0" xr:uid="{A3BF3DED-8B26-4A1C-95D5-199486CDF744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estados=ALAGOAS_FOMENTO_102024.pdf</t>
        </r>
      </text>
    </comment>
    <comment ref="B19" authorId="0" shapeId="0" xr:uid="{B0641D6B-BDA7-41FB-8E6D-20FC38F8F754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estados=ALAGOAS_FOMENTO_112024.pdf</t>
        </r>
      </text>
    </comment>
    <comment ref="B20" authorId="0" shapeId="0" xr:uid="{8F1E7744-E4A1-455D-B37E-A0D63F7BABAC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estados=ALAGOAS_FOMENTO_122024.pdf</t>
        </r>
      </text>
    </comment>
    <comment ref="B21" authorId="0" shapeId="0" xr:uid="{E283CC5F-FED3-4102-9039-63C14FC43946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estados=ALAGOAS_FOMENTO_132024.pdf</t>
        </r>
      </text>
    </comment>
    <comment ref="B22" authorId="0" shapeId="0" xr:uid="{86122043-0283-426F-9592-48CEE1049ADD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estados=ALAGOAS_FOMENTO_152024.pdf</t>
        </r>
      </text>
    </comment>
    <comment ref="B23" authorId="0" shapeId="0" xr:uid="{1F35AD18-C5EB-4BCF-9DE4-502AF18D3E42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estados=ALAGOAS_FOMENTO_172024.pdf</t>
        </r>
      </text>
    </comment>
    <comment ref="B24" authorId="0" shapeId="0" xr:uid="{77FE7B34-4FDC-413C-A4E9-C6642F129583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estados=ALAGOAS_FOMENTO_182024.pdf</t>
        </r>
      </text>
    </comment>
    <comment ref="B25" authorId="0" shapeId="0" xr:uid="{BEB07774-4559-4CCD-B7D8-AABEE15BA126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estados=ALAGOAS_FOMENTO_192024.pdf</t>
        </r>
      </text>
    </comment>
    <comment ref="B26" authorId="0" shapeId="0" xr:uid="{AD12A3F5-65E9-451A-A359-E276F2F203ED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estados=ALAGOAS_FOMENTO_202024.pdf</t>
        </r>
      </text>
    </comment>
    <comment ref="B27" authorId="0" shapeId="0" xr:uid="{A68A6062-7186-41AC-96B4-A4D6667A32AA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estados=ALAGOAS_FOMENTO_212024.pdf</t>
        </r>
      </text>
    </comment>
    <comment ref="B28" authorId="0" shapeId="0" xr:uid="{63839FBD-23D7-4C7E-A56A-D0017CE13D3B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estados=ALAGOAS_FOMENTO_232024.pdf</t>
        </r>
      </text>
    </comment>
    <comment ref="B29" authorId="0" shapeId="0" xr:uid="{977EB289-85D0-472A-BBAA-6C3B4B46D96D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estados=ALAGOAS_FOMENTO_242024.pdf</t>
        </r>
      </text>
    </comment>
    <comment ref="B30" authorId="0" shapeId="0" xr:uid="{24CB597C-E0BB-49AC-92EC-18CB78018B48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estados=ALAGOAS_FOMENTO_252024.pdf</t>
        </r>
      </text>
    </comment>
    <comment ref="B31" authorId="0" shapeId="0" xr:uid="{9CBBC9F1-73F9-4A5C-A9FF-BED69239464C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estados=ALAGOAS_FOMENTO_262024.pdf</t>
        </r>
      </text>
    </comment>
    <comment ref="B32" authorId="0" shapeId="0" xr:uid="{C333B7D9-25D1-4975-8737-A2AF0BE2A592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estados=ALAGOAS_FOMENTO_272024.pdf</t>
        </r>
      </text>
    </comment>
    <comment ref="B33" authorId="0" shapeId="0" xr:uid="{DAC4C264-2D67-4FA0-AD65-A8057C0FD8F8}">
      <text>
        <r>
          <rPr>
            <sz val="11"/>
            <color theme="1"/>
            <rFont val="Calibri"/>
            <family val="2"/>
            <scheme val="minor"/>
          </rPr>
          <t>Diferença: data=nan | estados=ALAGOAS_PRÊMIO_062024.pdf</t>
        </r>
      </text>
    </comment>
    <comment ref="B34" authorId="0" shapeId="0" xr:uid="{7109F415-37DE-4D84-BA85-B5AF8992FAFC}">
      <text>
        <r>
          <rPr>
            <sz val="11"/>
            <color theme="1"/>
            <rFont val="Calibri"/>
            <family val="2"/>
            <scheme val="minor"/>
          </rPr>
          <t>Diferença: data=nan | estados=ALAGOAS_PRÊMIO_162024.pdf</t>
        </r>
      </text>
    </comment>
    <comment ref="B35" authorId="0" shapeId="0" xr:uid="{B72D04A2-92B5-4291-854F-DA801B1AC1BE}">
      <text>
        <r>
          <rPr>
            <sz val="11"/>
            <color theme="1"/>
            <rFont val="Calibri"/>
            <family val="2"/>
            <scheme val="minor"/>
          </rPr>
          <t>Diferença: data=nan | estados=ALAGOAS_PRÊMIO_222024.pdf</t>
        </r>
      </text>
    </comment>
    <comment ref="B36" authorId="0" shapeId="0" xr:uid="{A6EEAD12-8C5F-4776-B637-E45E1486DE03}">
      <text>
        <r>
          <rPr>
            <sz val="11"/>
            <color theme="1"/>
            <rFont val="Calibri"/>
            <family val="2"/>
            <scheme val="minor"/>
          </rPr>
          <t>Diferença: data=nan | estados=ALAGOAS_SUBSÍDIO_302024.pdf</t>
        </r>
      </text>
    </comment>
    <comment ref="B37" authorId="0" shapeId="0" xr:uid="{9B396296-4D31-4420-8864-3E9B5AB9F9D1}">
      <text>
        <r>
          <rPr>
            <sz val="11"/>
            <color theme="1"/>
            <rFont val="Calibri"/>
            <family val="2"/>
            <scheme val="minor"/>
          </rPr>
          <t>Diferença: data=nan | estados=AMAPÁ_CULTURAVIVA_062024.pdf</t>
        </r>
      </text>
    </comment>
    <comment ref="B38" authorId="0" shapeId="0" xr:uid="{AD4BA710-9A3A-4014-A1D2-A13B80CF033B}">
      <text>
        <r>
          <rPr>
            <sz val="11"/>
            <color theme="1"/>
            <rFont val="Calibri"/>
            <family val="2"/>
            <scheme val="minor"/>
          </rPr>
          <t>Diferença: data=nan | estados=AMAPÁ_FOMENTO_012024.pdf</t>
        </r>
      </text>
    </comment>
    <comment ref="B39" authorId="0" shapeId="0" xr:uid="{5701D7C0-C853-4658-8C21-CD4CEEC6BCFD}">
      <text>
        <r>
          <rPr>
            <sz val="11"/>
            <color theme="1"/>
            <rFont val="Calibri"/>
            <family val="2"/>
            <scheme val="minor"/>
          </rPr>
          <t>Diferença: data=nan | estados=AMAPÁ_FOMENTO_022024.pdf</t>
        </r>
      </text>
    </comment>
    <comment ref="B40" authorId="0" shapeId="0" xr:uid="{0C9E2AC7-C453-4BA6-8B70-AA6B05FD9D96}">
      <text>
        <r>
          <rPr>
            <sz val="11"/>
            <color theme="1"/>
            <rFont val="Calibri"/>
            <family val="2"/>
            <scheme val="minor"/>
          </rPr>
          <t>Diferença: data=nan | estados=AMAPÁ_FOMENTO_032024.pdf</t>
        </r>
      </text>
    </comment>
    <comment ref="B41" authorId="0" shapeId="0" xr:uid="{E420E67F-97DB-4876-9F0A-2D318376B181}">
      <text>
        <r>
          <rPr>
            <sz val="11"/>
            <color theme="1"/>
            <rFont val="Calibri"/>
            <family val="2"/>
            <scheme val="minor"/>
          </rPr>
          <t>Diferença: data=nan | estados=AMAPÁ_FOMENTO_042024.pdf</t>
        </r>
      </text>
    </comment>
    <comment ref="B42" authorId="0" shapeId="0" xr:uid="{7C0FF505-9B25-4E13-BD77-C81894C31E0F}">
      <text>
        <r>
          <rPr>
            <sz val="11"/>
            <color theme="1"/>
            <rFont val="Calibri"/>
            <family val="2"/>
            <scheme val="minor"/>
          </rPr>
          <t>Diferença: data=nan | estados=AMAPÁ_SUBSÍDIO_052024.pdf</t>
        </r>
      </text>
    </comment>
    <comment ref="B43" authorId="0" shapeId="0" xr:uid="{16944888-F279-4A28-900D-4B17E072DD93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estados=AMAZONAS_FOMENTO_022024.pdf</t>
        </r>
      </text>
    </comment>
    <comment ref="B44" authorId="0" shapeId="0" xr:uid="{AC31C768-6BA4-44E6-89BF-A05D1CB80D96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estados=AMAZONAS_FOMENTO_032024.pdf</t>
        </r>
      </text>
    </comment>
    <comment ref="B45" authorId="0" shapeId="0" xr:uid="{3CBA33CB-A572-48C1-8A5A-373AF8B8E092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estados=AMAZONAS_FOMENTO_042024.pdf</t>
        </r>
      </text>
    </comment>
    <comment ref="B46" authorId="0" shapeId="0" xr:uid="{A4CD27D7-6945-4466-9E11-D25D09F5B068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estados=AMAZONAS_FOMENTO_052024.pdf</t>
        </r>
      </text>
    </comment>
    <comment ref="B47" authorId="0" shapeId="0" xr:uid="{BB1924BD-0C02-46A9-B238-93DC8774BFDA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estados=AMAZONAS_FOMENTO_062024.pdf</t>
        </r>
      </text>
    </comment>
    <comment ref="B48" authorId="0" shapeId="0" xr:uid="{C915D36F-1D1B-469A-AEDB-5C34A09413D5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estados=AMAZONAS_FOMENTO_072024.pdf</t>
        </r>
      </text>
    </comment>
    <comment ref="B49" authorId="0" shapeId="0" xr:uid="{F9288A6E-347C-4DDB-84AF-A1B3E06BBCBA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estados=AMAZONAS_FOMENTO_082024.pdf</t>
        </r>
      </text>
    </comment>
    <comment ref="B50" authorId="0" shapeId="0" xr:uid="{9A3BB06E-0D57-4BC9-AA9D-7F93028BAA11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estados=AMAZONAS_FOMENTO_092024.pdf</t>
        </r>
      </text>
    </comment>
    <comment ref="B51" authorId="0" shapeId="0" xr:uid="{8004D59A-968A-4DEC-8DBA-B2089C5FB0C6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estados=AMAZONAS_FOMENTO_102024.pdf</t>
        </r>
      </text>
    </comment>
    <comment ref="D51" authorId="0" shapeId="0" xr:uid="{9E678E76-B352-4395-917A-DFB8471D305D}">
      <text>
        <r>
          <rPr>
            <sz val="11"/>
            <color theme="1"/>
            <rFont val="Calibri"/>
            <family val="2"/>
            <scheme val="minor"/>
          </rPr>
          <t>Diferença: data=0.0 | estados=1</t>
        </r>
      </text>
    </comment>
    <comment ref="E51" authorId="0" shapeId="0" xr:uid="{FB89CCA7-3B00-43CE-9C4B-93BE32CACD88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B52" authorId="0" shapeId="0" xr:uid="{578D3F90-17E4-4BF4-A280-1687B1930493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estados=AMAZONAS_FOMENTO_112024.pdf</t>
        </r>
      </text>
    </comment>
    <comment ref="D52" authorId="0" shapeId="0" xr:uid="{CCF03CB0-DB76-4DDF-8113-38AE40EBBAC1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E52" authorId="0" shapeId="0" xr:uid="{9137D139-8442-4957-A894-2264E4A04F7D}">
      <text>
        <r>
          <rPr>
            <sz val="11"/>
            <color theme="1"/>
            <rFont val="Calibri"/>
            <family val="2"/>
            <scheme val="minor"/>
          </rPr>
          <t>Diferença: data=0.0 | estados=1</t>
        </r>
      </text>
    </comment>
    <comment ref="F52" authorId="0" shapeId="0" xr:uid="{C0F968F3-4B52-4D3B-9FD8-1AC89030481E}">
      <text>
        <r>
          <rPr>
            <sz val="11"/>
            <color theme="1"/>
            <rFont val="Calibri"/>
            <family val="2"/>
            <scheme val="minor"/>
          </rPr>
          <t>Diferença: data=0.05 | estados=0.125</t>
        </r>
      </text>
    </comment>
    <comment ref="B53" authorId="0" shapeId="0" xr:uid="{E0CB675B-ADA9-4AA2-8E25-714534797145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estados=AMAZONAS_FOMENTO_122024.pdf</t>
        </r>
      </text>
    </comment>
    <comment ref="B54" authorId="0" shapeId="0" xr:uid="{4F915C5C-972F-4106-B3A1-40F4C301CA11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estados=AMAZONAS_FOMENTO_132024.pdf</t>
        </r>
      </text>
    </comment>
    <comment ref="B61" authorId="0" shapeId="0" xr:uid="{6FBF6332-154A-4E6D-AAC2-1CC4B5D5D36A}">
      <text>
        <r>
          <rPr>
            <sz val="11"/>
            <color theme="1"/>
            <rFont val="Calibri"/>
            <family val="2"/>
            <scheme val="minor"/>
          </rPr>
          <t>Diferença: data=nan | estados=2024-09_ARACAJU_BOLSA.pdf.pdf</t>
        </r>
      </text>
    </comment>
    <comment ref="E61" authorId="0" shapeId="0" xr:uid="{A146B3DC-96D5-41C3-986C-7BF2E6E45D89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F61" authorId="0" shapeId="0" xr:uid="{188AE6DD-14ED-4F58-B078-7D0126EA1777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B62" authorId="0" shapeId="0" xr:uid="{96F45A12-691B-45FA-B438-0BE7061B3D56}">
      <text>
        <r>
          <rPr>
            <sz val="11"/>
            <color theme="1"/>
            <rFont val="Calibri"/>
            <family val="2"/>
            <scheme val="minor"/>
          </rPr>
          <t>Diferença: data=nan | estados=2024-11_ARACAJU_CULTURAVIVA.pdf.pdf</t>
        </r>
      </text>
    </comment>
    <comment ref="B63" authorId="0" shapeId="0" xr:uid="{E3C26DD3-C3CD-4B56-9ECB-65FB32BB63FC}">
      <text>
        <r>
          <rPr>
            <sz val="11"/>
            <color theme="1"/>
            <rFont val="Calibri"/>
            <family val="2"/>
            <scheme val="minor"/>
          </rPr>
          <t>Diferença: data=nan | estados=2025-06_ARACAJU_FOMENTO.pdf</t>
        </r>
      </text>
    </comment>
    <comment ref="B64" authorId="0" shapeId="0" xr:uid="{E7699B63-43F3-4DBA-BD6B-19F0AA2408D8}">
      <text>
        <r>
          <rPr>
            <sz val="11"/>
            <color theme="1"/>
            <rFont val="Calibri"/>
            <family val="2"/>
            <scheme val="minor"/>
          </rPr>
          <t>Diferença: data=nan | estados=2024-12_ARACAJU_CULTURAVIVA.pdf.pdf</t>
        </r>
      </text>
    </comment>
    <comment ref="B65" authorId="0" shapeId="0" xr:uid="{89A39413-BFC6-4233-BA2E-7847D178B946}">
      <text>
        <r>
          <rPr>
            <sz val="11"/>
            <color theme="1"/>
            <rFont val="Calibri"/>
            <family val="2"/>
            <scheme val="minor"/>
          </rPr>
          <t>Diferença: data=nan | estados=BAHIA_BOLSA_242024.pdf</t>
        </r>
      </text>
    </comment>
    <comment ref="B66" authorId="0" shapeId="0" xr:uid="{46222C7E-F5CC-4778-A44A-15F03BF37CDB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estados=BAHIA_CULTURAVIVA_252024.pdf</t>
        </r>
      </text>
    </comment>
    <comment ref="E66" authorId="0" shapeId="0" xr:uid="{4543AF10-9E67-4E20-A3CB-38A697C4DED5}">
      <text>
        <r>
          <rPr>
            <sz val="11"/>
            <color theme="1"/>
            <rFont val="Calibri"/>
            <family val="2"/>
            <scheme val="minor"/>
          </rPr>
          <t>Diferença: data=nan | estados=0.5</t>
        </r>
      </text>
    </comment>
    <comment ref="B67" authorId="0" shapeId="0" xr:uid="{88F89BBB-9449-47E6-976A-E781245E5825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estados=BAHIA_CULTURAVIVA_262024.pdf</t>
        </r>
      </text>
    </comment>
    <comment ref="B68" authorId="0" shapeId="0" xr:uid="{674726D1-BB70-4427-824F-408FBAE680A0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estados=BAHIA_CULTURAVIVA_272024.pdf</t>
        </r>
      </text>
    </comment>
    <comment ref="B69" authorId="0" shapeId="0" xr:uid="{147D7CEE-9C5A-4208-A465-D979D3325BE6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estados=BAHIA_CULTURAVIVA_282024.pdf</t>
        </r>
      </text>
    </comment>
    <comment ref="B70" authorId="0" shapeId="0" xr:uid="{C45D5EEB-EB69-4116-BE36-CC5F7C9077D6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estados=BAHIA_CULTURAVIVA_292024.pdf</t>
        </r>
      </text>
    </comment>
    <comment ref="B71" authorId="0" shapeId="0" xr:uid="{D0E1D99A-44E3-4345-AFF9-AE919A0AB829}">
      <text>
        <r>
          <rPr>
            <sz val="11"/>
            <color theme="1"/>
            <rFont val="Calibri"/>
            <family val="2"/>
            <scheme val="minor"/>
          </rPr>
          <t>Diferença: data=nan | estados=BAHIA_FOMENTO_052024.pdf</t>
        </r>
      </text>
    </comment>
    <comment ref="B72" authorId="0" shapeId="0" xr:uid="{C1320552-7F82-4695-943F-AFE3469C0F19}">
      <text>
        <r>
          <rPr>
            <sz val="11"/>
            <color theme="1"/>
            <rFont val="Calibri"/>
            <family val="2"/>
            <scheme val="minor"/>
          </rPr>
          <t>Diferença: data=nan | estados=BAHIA_FOMENTO_062024.pdf</t>
        </r>
      </text>
    </comment>
    <comment ref="B73" authorId="0" shapeId="0" xr:uid="{321B1FCE-E3DA-448E-B539-CD42F6A4B6A6}">
      <text>
        <r>
          <rPr>
            <sz val="11"/>
            <color theme="1"/>
            <rFont val="Calibri"/>
            <family val="2"/>
            <scheme val="minor"/>
          </rPr>
          <t>Diferença: data=nan | estados=BAHIA_FOMENTO_072024.pdf</t>
        </r>
      </text>
    </comment>
    <comment ref="B74" authorId="0" shapeId="0" xr:uid="{3E3B1605-8951-4FE1-AF7F-3A1594AE8485}">
      <text>
        <r>
          <rPr>
            <sz val="11"/>
            <color theme="1"/>
            <rFont val="Calibri"/>
            <family val="2"/>
            <scheme val="minor"/>
          </rPr>
          <t>Diferença: data=nan | estados=BAHIA_FOMENTO_082024.pdf</t>
        </r>
      </text>
    </comment>
    <comment ref="B75" authorId="0" shapeId="0" xr:uid="{2B23D226-EAD3-47B6-AA02-5FEB4C00FE26}">
      <text>
        <r>
          <rPr>
            <sz val="11"/>
            <color theme="1"/>
            <rFont val="Calibri"/>
            <family val="2"/>
            <scheme val="minor"/>
          </rPr>
          <t>Diferença: data=nan | estados=BAHIA_FOMENTO_092024.pdf</t>
        </r>
      </text>
    </comment>
    <comment ref="B76" authorId="0" shapeId="0" xr:uid="{614694BE-C1CD-4FA2-B5FF-71F3DC8A990E}">
      <text>
        <r>
          <rPr>
            <sz val="11"/>
            <color theme="1"/>
            <rFont val="Calibri"/>
            <family val="2"/>
            <scheme val="minor"/>
          </rPr>
          <t>Diferença: data=nan | estados=BAHIA_FOMENTO_102024.pdf</t>
        </r>
      </text>
    </comment>
    <comment ref="E76" authorId="0" shapeId="0" xr:uid="{227350DA-B283-4394-B8A9-A49C110348A0}">
      <text>
        <r>
          <rPr>
            <sz val="11"/>
            <color theme="1"/>
            <rFont val="Calibri"/>
            <family val="2"/>
            <scheme val="minor"/>
          </rPr>
          <t>Diferença: data=0.1 | estados=0.17</t>
        </r>
      </text>
    </comment>
    <comment ref="F76" authorId="0" shapeId="0" xr:uid="{718EA601-1ADF-449E-8DCD-B30A38A44C0D}">
      <text>
        <r>
          <rPr>
            <sz val="11"/>
            <color theme="1"/>
            <rFont val="Calibri"/>
            <family val="2"/>
            <scheme val="minor"/>
          </rPr>
          <t>Diferença: data=nan | estados=0.08</t>
        </r>
      </text>
    </comment>
    <comment ref="B77" authorId="0" shapeId="0" xr:uid="{74A68795-C4DC-45E6-B074-30286F129C3F}">
      <text>
        <r>
          <rPr>
            <sz val="11"/>
            <color theme="1"/>
            <rFont val="Calibri"/>
            <family val="2"/>
            <scheme val="minor"/>
          </rPr>
          <t>Diferença: data=nan | estados=BAHIA_FOMENTO_112024.pdf</t>
        </r>
      </text>
    </comment>
    <comment ref="F77" authorId="0" shapeId="0" xr:uid="{DF052014-2CE3-40D3-A781-35A5EEB2ED30}">
      <text>
        <r>
          <rPr>
            <sz val="11"/>
            <color theme="1"/>
            <rFont val="Calibri"/>
            <family val="2"/>
            <scheme val="minor"/>
          </rPr>
          <t>Diferença: data=nan | estados=0.1</t>
        </r>
      </text>
    </comment>
    <comment ref="B78" authorId="0" shapeId="0" xr:uid="{C391B52B-BF4A-4ECB-8114-205162DFA1E0}">
      <text>
        <r>
          <rPr>
            <sz val="11"/>
            <color theme="1"/>
            <rFont val="Calibri"/>
            <family val="2"/>
            <scheme val="minor"/>
          </rPr>
          <t>Diferença: data=nan | estados=BAHIA_FOMENTO_122024.pdf</t>
        </r>
      </text>
    </comment>
    <comment ref="B79" authorId="0" shapeId="0" xr:uid="{1E8B5DDA-7A6D-4FD8-8301-CD2F496076CF}">
      <text>
        <r>
          <rPr>
            <sz val="11"/>
            <color theme="1"/>
            <rFont val="Calibri"/>
            <family val="2"/>
            <scheme val="minor"/>
          </rPr>
          <t>Diferença: data=nan | estados=BAHIA_FOMENTO_132024.pdf</t>
        </r>
      </text>
    </comment>
    <comment ref="E79" authorId="0" shapeId="0" xr:uid="{93B8BBBB-7B8B-4FC6-BB08-CC0DCD993B54}">
      <text>
        <r>
          <rPr>
            <sz val="11"/>
            <color theme="1"/>
            <rFont val="Calibri"/>
            <family val="2"/>
            <scheme val="minor"/>
          </rPr>
          <t>Diferença: data=0.1 | estados=0.12</t>
        </r>
      </text>
    </comment>
    <comment ref="B80" authorId="0" shapeId="0" xr:uid="{F70B6B4A-D29B-47CD-BDC8-49331E1A4F24}">
      <text>
        <r>
          <rPr>
            <sz val="11"/>
            <color theme="1"/>
            <rFont val="Calibri"/>
            <family val="2"/>
            <scheme val="minor"/>
          </rPr>
          <t>Diferença: data=nan | estados=BAHIA_FOMENTO_142024.pdf</t>
        </r>
      </text>
    </comment>
    <comment ref="D80" authorId="0" shapeId="0" xr:uid="{5BCB1487-C86C-4C44-A2E5-A44A0A89F210}">
      <text>
        <r>
          <rPr>
            <sz val="11"/>
            <color theme="1"/>
            <rFont val="Calibri"/>
            <family val="2"/>
            <scheme val="minor"/>
          </rPr>
          <t>Diferença: data=0.5 | estados=0.4</t>
        </r>
      </text>
    </comment>
    <comment ref="E80" authorId="0" shapeId="0" xr:uid="{49EA2146-72A7-4B6D-B28D-59B05D1C2232}">
      <text>
        <r>
          <rPr>
            <sz val="11"/>
            <color theme="1"/>
            <rFont val="Calibri"/>
            <family val="2"/>
            <scheme val="minor"/>
          </rPr>
          <t>Diferença: data=0.1 | estados=0.2</t>
        </r>
      </text>
    </comment>
    <comment ref="B81" authorId="0" shapeId="0" xr:uid="{561C3601-A62B-44F6-BE3A-A8271A26E154}">
      <text>
        <r>
          <rPr>
            <sz val="11"/>
            <color theme="1"/>
            <rFont val="Calibri"/>
            <family val="2"/>
            <scheme val="minor"/>
          </rPr>
          <t>Diferença: data=nan | estados=BAHIA_FOMENTO_152024.pdf</t>
        </r>
      </text>
    </comment>
    <comment ref="D81" authorId="0" shapeId="0" xr:uid="{DA9921C8-CEAD-4ACE-A1E9-64CA8288BA72}">
      <text>
        <r>
          <rPr>
            <sz val="11"/>
            <color theme="1"/>
            <rFont val="Calibri"/>
            <family val="2"/>
            <scheme val="minor"/>
          </rPr>
          <t>Diferença: data=0.5 | estados=0.55</t>
        </r>
      </text>
    </comment>
    <comment ref="E81" authorId="0" shapeId="0" xr:uid="{B298301C-5642-4C64-B07F-B749F0107155}">
      <text>
        <r>
          <rPr>
            <sz val="11"/>
            <color theme="1"/>
            <rFont val="Calibri"/>
            <family val="2"/>
            <scheme val="minor"/>
          </rPr>
          <t>Diferença: data=0.1 | estados=0.15</t>
        </r>
      </text>
    </comment>
    <comment ref="F81" authorId="0" shapeId="0" xr:uid="{28845E0A-D4B3-409E-A69A-341DF272EA4D}">
      <text>
        <r>
          <rPr>
            <sz val="11"/>
            <color theme="1"/>
            <rFont val="Calibri"/>
            <family val="2"/>
            <scheme val="minor"/>
          </rPr>
          <t>Diferença: data=nan | estados=0.05</t>
        </r>
      </text>
    </comment>
    <comment ref="B82" authorId="0" shapeId="0" xr:uid="{68513828-1C6D-45B3-8185-91DF850C18C9}">
      <text>
        <r>
          <rPr>
            <sz val="11"/>
            <color theme="1"/>
            <rFont val="Calibri"/>
            <family val="2"/>
            <scheme val="minor"/>
          </rPr>
          <t>Diferença: data=nan | estados=BAHIA_FOMENTO_162024.pdf</t>
        </r>
      </text>
    </comment>
    <comment ref="B83" authorId="0" shapeId="0" xr:uid="{ADE659E6-0719-49C3-AF26-BDA7ACEEAA2A}">
      <text>
        <r>
          <rPr>
            <sz val="11"/>
            <color theme="1"/>
            <rFont val="Calibri"/>
            <family val="2"/>
            <scheme val="minor"/>
          </rPr>
          <t>Diferença: data=nan | estados=BAHIA_FOMENTO_172024.pdf</t>
        </r>
      </text>
    </comment>
    <comment ref="B84" authorId="0" shapeId="0" xr:uid="{713658EA-B239-4437-B18A-93BD0353272B}">
      <text>
        <r>
          <rPr>
            <sz val="11"/>
            <color theme="1"/>
            <rFont val="Calibri"/>
            <family val="2"/>
            <scheme val="minor"/>
          </rPr>
          <t>Diferença: data=nan | estados=BAHIA_FOMENTO_182024.pdf</t>
        </r>
      </text>
    </comment>
    <comment ref="B85" authorId="0" shapeId="0" xr:uid="{EBF29976-2C3B-4DE3-A04C-FF5201D1CC6A}">
      <text>
        <r>
          <rPr>
            <sz val="11"/>
            <color theme="1"/>
            <rFont val="Calibri"/>
            <family val="2"/>
            <scheme val="minor"/>
          </rPr>
          <t>Diferença: data=nan | estados=BAHIA_FOMENTO_192024.pdf</t>
        </r>
      </text>
    </comment>
    <comment ref="B86" authorId="0" shapeId="0" xr:uid="{25490777-3A28-4D83-9598-1EEA2D5E6189}">
      <text>
        <r>
          <rPr>
            <sz val="11"/>
            <color theme="1"/>
            <rFont val="Calibri"/>
            <family val="2"/>
            <scheme val="minor"/>
          </rPr>
          <t>Diferença: data=nan | estados=BAHIA_FOMENTO_202024.pdf</t>
        </r>
      </text>
    </comment>
    <comment ref="B87" authorId="0" shapeId="0" xr:uid="{F575ECD1-DBA3-4CE1-878D-653AA44239C5}">
      <text>
        <r>
          <rPr>
            <sz val="11"/>
            <color theme="1"/>
            <rFont val="Calibri"/>
            <family val="2"/>
            <scheme val="minor"/>
          </rPr>
          <t>Diferença: data=nan | estados=BAHIA_PRÊMIO_012024.pdf</t>
        </r>
      </text>
    </comment>
    <comment ref="B88" authorId="0" shapeId="0" xr:uid="{BA547790-31F4-442D-BBE3-A0BCC86E9ED9}">
      <text>
        <r>
          <rPr>
            <sz val="11"/>
            <color theme="1"/>
            <rFont val="Calibri"/>
            <family val="2"/>
            <scheme val="minor"/>
          </rPr>
          <t>Diferença: data=nan | estados=BAHIA_PRÊMIO_022024.pdf</t>
        </r>
      </text>
    </comment>
    <comment ref="B89" authorId="0" shapeId="0" xr:uid="{C3B20160-F82A-4072-89CB-E58A3661CF3B}">
      <text>
        <r>
          <rPr>
            <sz val="11"/>
            <color theme="1"/>
            <rFont val="Calibri"/>
            <family val="2"/>
            <scheme val="minor"/>
          </rPr>
          <t>Diferença: data=nan | estados=BAHIA_PRÊMIO_032024.pdf</t>
        </r>
      </text>
    </comment>
    <comment ref="B90" authorId="0" shapeId="0" xr:uid="{BDE4FD9B-3C34-414D-B7C0-78910AD3D933}">
      <text>
        <r>
          <rPr>
            <sz val="11"/>
            <color theme="1"/>
            <rFont val="Calibri"/>
            <family val="2"/>
            <scheme val="minor"/>
          </rPr>
          <t>Diferença: data=nan | estados=BAHIA_PRÊMIO_042024.pdf</t>
        </r>
      </text>
    </comment>
    <comment ref="B91" authorId="0" shapeId="0" xr:uid="{A197E5F4-8E05-4183-BB44-E31E270F057A}">
      <text>
        <r>
          <rPr>
            <sz val="11"/>
            <color theme="1"/>
            <rFont val="Calibri"/>
            <family val="2"/>
            <scheme val="minor"/>
          </rPr>
          <t>Diferença: data=nan | estados=BAHIA_SUBSÍDIO_212024.pdf</t>
        </r>
      </text>
    </comment>
    <comment ref="B92" authorId="0" shapeId="0" xr:uid="{E0310971-21EB-45AF-A1E0-E0E271CAA2DB}">
      <text>
        <r>
          <rPr>
            <sz val="11"/>
            <color theme="1"/>
            <rFont val="Calibri"/>
            <family val="2"/>
            <scheme val="minor"/>
          </rPr>
          <t>Diferença: data=nan | estados=BAHIA_SUBSÍDIO_222024.pdf</t>
        </r>
      </text>
    </comment>
    <comment ref="D92" authorId="0" shapeId="0" xr:uid="{B004CA1E-7221-458B-A8B2-48B694860434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E92" authorId="0" shapeId="0" xr:uid="{1FEFD226-6795-447A-A7B6-7A7D67DCD881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F92" authorId="0" shapeId="0" xr:uid="{BC6F5B90-3193-4A94-A1BE-3AF1DA8E93A9}">
      <text>
        <r>
          <rPr>
            <sz val="11"/>
            <color theme="1"/>
            <rFont val="Calibri"/>
            <family val="2"/>
            <scheme val="minor"/>
          </rPr>
          <t>Diferença: data=0.0465 | estados=0.0465116279069767</t>
        </r>
      </text>
    </comment>
    <comment ref="B93" authorId="0" shapeId="0" xr:uid="{19EA9234-9644-434C-A4C5-FB1B539C3530}">
      <text>
        <r>
          <rPr>
            <sz val="11"/>
            <color theme="1"/>
            <rFont val="Calibri"/>
            <family val="2"/>
            <scheme val="minor"/>
          </rPr>
          <t>Diferença: data=nan | estados=BAHIA_SUBSÍDIO_232024.pdf</t>
        </r>
      </text>
    </comment>
    <comment ref="B94" authorId="0" shapeId="0" xr:uid="{5E31EDE6-6D62-4669-9AF9-B26D66BB0B84}">
      <text>
        <r>
          <rPr>
            <sz val="11"/>
            <color theme="1"/>
            <rFont val="Calibri"/>
            <family val="2"/>
            <scheme val="minor"/>
          </rPr>
          <t>Diferença: data=nan | estados=2024-04_BELÉM_FOMENTO.pdf.pdf</t>
        </r>
      </text>
    </comment>
    <comment ref="B95" authorId="0" shapeId="0" xr:uid="{D653585F-070E-4F80-9D49-474C16E0B94A}">
      <text>
        <r>
          <rPr>
            <sz val="11"/>
            <color theme="1"/>
            <rFont val="Calibri"/>
            <family val="2"/>
            <scheme val="minor"/>
          </rPr>
          <t>Diferença: data=nan | estados=2024-01_BH_CULTURAVIVA.pdf</t>
        </r>
      </text>
    </comment>
    <comment ref="B96" authorId="0" shapeId="0" xr:uid="{D0BB1F1B-A176-415E-A3D1-0F9B56EB560D}">
      <text>
        <r>
          <rPr>
            <sz val="11"/>
            <color theme="1"/>
            <rFont val="Calibri"/>
            <family val="2"/>
            <scheme val="minor"/>
          </rPr>
          <t>Diferença: data=nan | estados=2024-03_BH_FOMENTO.pdf</t>
        </r>
      </text>
    </comment>
    <comment ref="B97" authorId="0" shapeId="0" xr:uid="{ECCAF35B-15E5-4FB2-86B9-E2F37F525E37}">
      <text>
        <r>
          <rPr>
            <sz val="11"/>
            <color theme="1"/>
            <rFont val="Calibri"/>
            <family val="2"/>
            <scheme val="minor"/>
          </rPr>
          <t>Diferença: data=nan | estados=2024-02_BH_PRÊMIO.pdf</t>
        </r>
      </text>
    </comment>
    <comment ref="B98" authorId="0" shapeId="0" xr:uid="{85FD9E8D-546C-4B5F-9A63-9DF1BEBF2F75}">
      <text>
        <r>
          <rPr>
            <sz val="11"/>
            <color theme="1"/>
            <rFont val="Calibri"/>
            <family val="2"/>
            <scheme val="minor"/>
          </rPr>
          <t>Diferença: data=nan | estados=2025-05_BOAVISTA_CULTURAVIVA.pdf</t>
        </r>
      </text>
    </comment>
    <comment ref="B99" authorId="0" shapeId="0" xr:uid="{B1441278-DD1D-47F7-A763-7DC1C3C174AF}">
      <text>
        <r>
          <rPr>
            <sz val="11"/>
            <color theme="1"/>
            <rFont val="Calibri"/>
            <family val="2"/>
            <scheme val="minor"/>
          </rPr>
          <t>Diferença: data=nan | estados=2025-04_BOAVISTA_FOMENTO.pdf</t>
        </r>
      </text>
    </comment>
    <comment ref="B100" authorId="0" shapeId="0" xr:uid="{7C1283A8-14A7-4C55-A909-2E1EB5D970C5}">
      <text>
        <r>
          <rPr>
            <sz val="11"/>
            <color theme="1"/>
            <rFont val="Calibri"/>
            <family val="2"/>
            <scheme val="minor"/>
          </rPr>
          <t>Diferença: data=nan | estados=2025-06_BOAVISTA_FOMENTO.pdf</t>
        </r>
      </text>
    </comment>
    <comment ref="B101" authorId="0" shapeId="0" xr:uid="{F2CAF5CB-5C32-4848-8475-F43490045705}">
      <text>
        <r>
          <rPr>
            <sz val="11"/>
            <color theme="1"/>
            <rFont val="Calibri"/>
            <family val="2"/>
            <scheme val="minor"/>
          </rPr>
          <t>Diferença: data=nan | estados=2025-13_CAMPOGRANDE_FOMENTO.pdf</t>
        </r>
      </text>
    </comment>
    <comment ref="B102" authorId="0" shapeId="0" xr:uid="{E768984D-51D2-408C-9B44-AD8C62D50DF5}">
      <text>
        <r>
          <rPr>
            <sz val="11"/>
            <color theme="1"/>
            <rFont val="Calibri"/>
            <family val="2"/>
            <scheme val="minor"/>
          </rPr>
          <t>Diferença: data=nan | estados=2024-13_CAMPOGRANDE_FOMENTO.pdf</t>
        </r>
      </text>
    </comment>
    <comment ref="B103" authorId="0" shapeId="0" xr:uid="{A877F3BB-CD5D-4568-B091-D22EC3FDC19A}">
      <text>
        <r>
          <rPr>
            <sz val="11"/>
            <color theme="1"/>
            <rFont val="Calibri"/>
            <family val="2"/>
            <scheme val="minor"/>
          </rPr>
          <t>Diferença: data=nan | estados=2024-12_CAMPOGRANDE_SUBSÍDIO.pdf</t>
        </r>
      </text>
    </comment>
    <comment ref="B104" authorId="0" shapeId="0" xr:uid="{10B16B7E-73A1-4273-9218-9F7E3ABCD705}">
      <text>
        <r>
          <rPr>
            <sz val="11"/>
            <color theme="1"/>
            <rFont val="Calibri"/>
            <family val="2"/>
            <scheme val="minor"/>
          </rPr>
          <t>Diferença: data=nan | estados=2024-14_CAMPOGRANDE_FOMENTO.pdf</t>
        </r>
      </text>
    </comment>
    <comment ref="B105" authorId="0" shapeId="0" xr:uid="{B91224D8-4B68-480C-831F-BFBC004EA2F4}">
      <text>
        <r>
          <rPr>
            <sz val="11"/>
            <color theme="1"/>
            <rFont val="Calibri"/>
            <family val="2"/>
            <scheme val="minor"/>
          </rPr>
          <t>Diferença: data=nan | estados=CEARÁ_CULTURAVIVA_07.pdf</t>
        </r>
      </text>
    </comment>
    <comment ref="B106" authorId="0" shapeId="0" xr:uid="{0DA5EA9D-3CE5-4754-A790-E9DAF1DD1BE1}">
      <text>
        <r>
          <rPr>
            <sz val="11"/>
            <color theme="1"/>
            <rFont val="Calibri"/>
            <family val="2"/>
            <scheme val="minor"/>
          </rPr>
          <t>Diferença: data=nan | estados=CEARÁ_CULTURAVIVA_09.pdf</t>
        </r>
      </text>
    </comment>
    <comment ref="B107" authorId="0" shapeId="0" xr:uid="{D536A658-34D2-465F-B8E4-4AB67163A6C3}">
      <text>
        <r>
          <rPr>
            <sz val="11"/>
            <color theme="1"/>
            <rFont val="Calibri"/>
            <family val="2"/>
            <scheme val="minor"/>
          </rPr>
          <t>Diferença: data=nan | estados=CEARÁ_CULTURAVIVA_10.pdf</t>
        </r>
      </text>
    </comment>
    <comment ref="B108" authorId="0" shapeId="0" xr:uid="{C874A822-59C3-424B-A2AB-A73B2FCB84E0}">
      <text>
        <r>
          <rPr>
            <sz val="11"/>
            <color theme="1"/>
            <rFont val="Calibri"/>
            <family val="2"/>
            <scheme val="minor"/>
          </rPr>
          <t>Diferença: data=nan | estados=CEARÁ_CULTURAVIVA_11.pdf</t>
        </r>
      </text>
    </comment>
    <comment ref="B109" authorId="0" shapeId="0" xr:uid="{DE914BCF-BB63-404E-AFD2-F1241C6A224B}">
      <text>
        <r>
          <rPr>
            <sz val="11"/>
            <color theme="1"/>
            <rFont val="Calibri"/>
            <family val="2"/>
            <scheme val="minor"/>
          </rPr>
          <t>Diferença: data=nan | estados=CEARÁ_FOMENTO_01.pdf</t>
        </r>
      </text>
    </comment>
    <comment ref="B110" authorId="0" shapeId="0" xr:uid="{56B8F19D-812F-4607-8253-ED188B32C397}">
      <text>
        <r>
          <rPr>
            <sz val="11"/>
            <color theme="1"/>
            <rFont val="Calibri"/>
            <family val="2"/>
            <scheme val="minor"/>
          </rPr>
          <t>Diferença: data=nan | estados=CEARÁ_FOMENTO_02.pdf</t>
        </r>
      </text>
    </comment>
    <comment ref="B111" authorId="0" shapeId="0" xr:uid="{92EDB9AC-0DD0-49E6-8077-F2ABDCBD5F97}">
      <text>
        <r>
          <rPr>
            <sz val="11"/>
            <color theme="1"/>
            <rFont val="Calibri"/>
            <family val="2"/>
            <scheme val="minor"/>
          </rPr>
          <t>Diferença: data=nan | estados=CEARÁ_FOMENTO_03.pdf</t>
        </r>
      </text>
    </comment>
    <comment ref="B112" authorId="0" shapeId="0" xr:uid="{DFAC7A13-D5F4-450E-8B2C-4F248DEE311D}">
      <text>
        <r>
          <rPr>
            <sz val="11"/>
            <color theme="1"/>
            <rFont val="Calibri"/>
            <family val="2"/>
            <scheme val="minor"/>
          </rPr>
          <t>Diferença: data=nan | estados=CEARÁ_FOMENTO_04.pdf</t>
        </r>
      </text>
    </comment>
    <comment ref="B113" authorId="0" shapeId="0" xr:uid="{5FBF8847-3024-4CB5-A39C-1B6A17377253}">
      <text>
        <r>
          <rPr>
            <sz val="11"/>
            <color theme="1"/>
            <rFont val="Calibri"/>
            <family val="2"/>
            <scheme val="minor"/>
          </rPr>
          <t>Diferença: data=nan | estados=CEARÁ_FOMENTO_12.pdf</t>
        </r>
      </text>
    </comment>
    <comment ref="B114" authorId="0" shapeId="0" xr:uid="{865E1C47-2D91-48BD-8DEA-8893810633B6}">
      <text>
        <r>
          <rPr>
            <sz val="11"/>
            <color theme="1"/>
            <rFont val="Calibri"/>
            <family val="2"/>
            <scheme val="minor"/>
          </rPr>
          <t>Diferença: data=nan | estados=CEARÁ_FOMENTO_13.pdf</t>
        </r>
      </text>
    </comment>
    <comment ref="B115" authorId="0" shapeId="0" xr:uid="{D4F8DE40-FF50-4184-B832-8A0A43B8C122}">
      <text>
        <r>
          <rPr>
            <sz val="11"/>
            <color theme="1"/>
            <rFont val="Calibri"/>
            <family val="2"/>
            <scheme val="minor"/>
          </rPr>
          <t>Diferença: data=nan | estados=CEARÁ_FOMENTO_14.pdf</t>
        </r>
      </text>
    </comment>
    <comment ref="B116" authorId="0" shapeId="0" xr:uid="{E9564755-643B-4EDB-9FEF-4193D5F559A0}">
      <text>
        <r>
          <rPr>
            <sz val="11"/>
            <color theme="1"/>
            <rFont val="Calibri"/>
            <family val="2"/>
            <scheme val="minor"/>
          </rPr>
          <t>Diferença: data=nan | estados=CEARÁ_FOMENTO_15.pdf</t>
        </r>
      </text>
    </comment>
    <comment ref="B117" authorId="0" shapeId="0" xr:uid="{6E4113E5-2EAD-4805-BCF8-542BF5668A57}">
      <text>
        <r>
          <rPr>
            <sz val="11"/>
            <color theme="1"/>
            <rFont val="Calibri"/>
            <family val="2"/>
            <scheme val="minor"/>
          </rPr>
          <t>Diferença: data=nan | estados=CEARÁ_FOMENTO_16.pdf</t>
        </r>
      </text>
    </comment>
    <comment ref="B118" authorId="0" shapeId="0" xr:uid="{798BFCA5-4F4E-4A91-8EE6-E767D0E564A4}">
      <text>
        <r>
          <rPr>
            <sz val="11"/>
            <color theme="1"/>
            <rFont val="Calibri"/>
            <family val="2"/>
            <scheme val="minor"/>
          </rPr>
          <t>Diferença: data=nan | estados=CEARÁ_FOMENTO_17.pdf</t>
        </r>
      </text>
    </comment>
    <comment ref="B119" authorId="0" shapeId="0" xr:uid="{C31BE459-8FDD-4A7D-A832-15B127ACA894}">
      <text>
        <r>
          <rPr>
            <sz val="11"/>
            <color theme="1"/>
            <rFont val="Calibri"/>
            <family val="2"/>
            <scheme val="minor"/>
          </rPr>
          <t>Diferença: data=nan | estados=CEARÁ_PRÊMIO_06.pdf</t>
        </r>
      </text>
    </comment>
    <comment ref="B121" authorId="0" shapeId="0" xr:uid="{77C24AFC-67C7-4A79-9263-36C0538307BF}">
      <text>
        <r>
          <rPr>
            <sz val="11"/>
            <color theme="1"/>
            <rFont val="Calibri"/>
            <family val="2"/>
            <scheme val="minor"/>
          </rPr>
          <t>Diferença: data=nan | estados=2024-01_CUIABÁ_FOMENTO.pdf</t>
        </r>
      </text>
    </comment>
    <comment ref="B122" authorId="0" shapeId="0" xr:uid="{0224F3C0-2376-4A70-9D41-BAE77AFC6F13}">
      <text>
        <r>
          <rPr>
            <sz val="11"/>
            <color theme="1"/>
            <rFont val="Calibri"/>
            <family val="2"/>
            <scheme val="minor"/>
          </rPr>
          <t>Diferença: data=nan | estados=2024-03_CUIABÁ_CULTURAVIVA.pdf</t>
        </r>
      </text>
    </comment>
    <comment ref="B123" authorId="0" shapeId="0" xr:uid="{18BEFC46-394D-4236-9E7E-71DBA042B62C}">
      <text>
        <r>
          <rPr>
            <sz val="11"/>
            <color theme="1"/>
            <rFont val="Calibri"/>
            <family val="2"/>
            <scheme val="minor"/>
          </rPr>
          <t>Diferença: data=nan | estados=2024-02_CUIABÁ_SUBSÍDIO.pdf</t>
        </r>
      </text>
    </comment>
    <comment ref="B124" authorId="0" shapeId="0" xr:uid="{9997DB31-D418-4238-8223-4978EDDCCF97}">
      <text>
        <r>
          <rPr>
            <sz val="11"/>
            <color theme="1"/>
            <rFont val="Calibri"/>
            <family val="2"/>
            <scheme val="minor"/>
          </rPr>
          <t>Diferença: data=nan | estados=2024-31_CURITIBA_CULTURAVIVA.pdf.pdf</t>
        </r>
      </text>
    </comment>
    <comment ref="B125" authorId="0" shapeId="0" xr:uid="{EA5026C9-BF54-4F76-847C-CA3715037F50}">
      <text>
        <r>
          <rPr>
            <sz val="11"/>
            <color theme="1"/>
            <rFont val="Calibri"/>
            <family val="2"/>
            <scheme val="minor"/>
          </rPr>
          <t>Diferença: data=nan | estados=2025-10_CURITIBA_CULTURAVIVA.pdf.pdf</t>
        </r>
      </text>
    </comment>
    <comment ref="B126" authorId="0" shapeId="0" xr:uid="{FA4132FC-E2FD-40DF-8946-280F78B9726D}">
      <text>
        <r>
          <rPr>
            <sz val="11"/>
            <color theme="1"/>
            <rFont val="Calibri"/>
            <family val="2"/>
            <scheme val="minor"/>
          </rPr>
          <t>Diferença: data=nan | estados=2024-32_CURITIBA_FOMENTO.pdf</t>
        </r>
      </text>
    </comment>
    <comment ref="B127" authorId="0" shapeId="0" xr:uid="{2C7C1E42-39D7-4459-8F81-3BE2DE52DFDB}">
      <text>
        <r>
          <rPr>
            <sz val="11"/>
            <color theme="1"/>
            <rFont val="Calibri"/>
            <family val="2"/>
            <scheme val="minor"/>
          </rPr>
          <t>Diferença: data=nan | estados=DF_CULTURAVIVA_462024.pdf</t>
        </r>
      </text>
    </comment>
    <comment ref="B128" authorId="0" shapeId="0" xr:uid="{7F26DB66-20F7-4F39-9726-392CE707F32B}">
      <text>
        <r>
          <rPr>
            <sz val="11"/>
            <color theme="1"/>
            <rFont val="Calibri"/>
            <family val="2"/>
            <scheme val="minor"/>
          </rPr>
          <t>Diferença: data=nan | estados=DF_CULTURAVIVA_482024.pdf</t>
        </r>
      </text>
    </comment>
    <comment ref="B129" authorId="0" shapeId="0" xr:uid="{B5B66D00-A0D9-4D88-85B9-51F3100747E4}">
      <text>
        <r>
          <rPr>
            <sz val="11"/>
            <color theme="1"/>
            <rFont val="Calibri"/>
            <family val="2"/>
            <scheme val="minor"/>
          </rPr>
          <t>Diferença: data=nan | estados=DF_CULTURAVIVA_492024.pdf</t>
        </r>
      </text>
    </comment>
    <comment ref="B130" authorId="0" shapeId="0" xr:uid="{3A389D8B-C743-47E3-BACB-179AE839E958}">
      <text>
        <r>
          <rPr>
            <sz val="11"/>
            <color theme="1"/>
            <rFont val="Calibri"/>
            <family val="2"/>
            <scheme val="minor"/>
          </rPr>
          <t>Diferença: data=nan | estados=DF_FOMENTO_512024.pdf</t>
        </r>
      </text>
    </comment>
    <comment ref="B131" authorId="0" shapeId="0" xr:uid="{02E3879E-0E5C-4765-9AA1-EEDDA175BC71}">
      <text>
        <r>
          <rPr>
            <sz val="11"/>
            <color theme="1"/>
            <rFont val="Calibri"/>
            <family val="2"/>
            <scheme val="minor"/>
          </rPr>
          <t>Diferença: data=nan | estados=ES_CULTURAVIVA_052024.pdf</t>
        </r>
      </text>
    </comment>
    <comment ref="B132" authorId="0" shapeId="0" xr:uid="{CD1E6616-BB12-4D4E-9776-264B29906294}">
      <text>
        <r>
          <rPr>
            <sz val="11"/>
            <color theme="1"/>
            <rFont val="Calibri"/>
            <family val="2"/>
            <scheme val="minor"/>
          </rPr>
          <t>Diferença: data=nan | estados=ES_CULTURAVIVA_062024.pdf</t>
        </r>
      </text>
    </comment>
    <comment ref="B133" authorId="0" shapeId="0" xr:uid="{7DA90E5B-28B6-4DE8-AFCF-08A999E71882}">
      <text>
        <r>
          <rPr>
            <sz val="11"/>
            <color theme="1"/>
            <rFont val="Calibri"/>
            <family val="2"/>
            <scheme val="minor"/>
          </rPr>
          <t>Diferença: data=nan | estados=ES_CULTURAVIVA_072024.pdf</t>
        </r>
      </text>
    </comment>
    <comment ref="B134" authorId="0" shapeId="0" xr:uid="{80BD05BB-0117-4AAC-A20F-7180E9BEB297}">
      <text>
        <r>
          <rPr>
            <sz val="11"/>
            <color theme="1"/>
            <rFont val="Calibri"/>
            <family val="2"/>
            <scheme val="minor"/>
          </rPr>
          <t>Diferença: data=nan | estados=ES_FOMENTO_022024.pdf</t>
        </r>
      </text>
    </comment>
    <comment ref="B135" authorId="0" shapeId="0" xr:uid="{5B9FB1F9-7B22-4AF1-A44A-3D4505102B9A}">
      <text>
        <r>
          <rPr>
            <sz val="11"/>
            <color theme="1"/>
            <rFont val="Calibri"/>
            <family val="2"/>
            <scheme val="minor"/>
          </rPr>
          <t>Diferença: data=nan | estados=ES_FOMENTO_032024.pdf</t>
        </r>
      </text>
    </comment>
    <comment ref="B136" authorId="0" shapeId="0" xr:uid="{73DF6317-0E15-455D-AAD9-8179FD5C1616}">
      <text>
        <r>
          <rPr>
            <sz val="11"/>
            <color theme="1"/>
            <rFont val="Calibri"/>
            <family val="2"/>
            <scheme val="minor"/>
          </rPr>
          <t>Diferença: data=nan | estados=ES_FOMENTO_042024.pdf</t>
        </r>
      </text>
    </comment>
    <comment ref="B137" authorId="0" shapeId="0" xr:uid="{19F11440-2D47-4F46-940E-5833F8E19B66}">
      <text>
        <r>
          <rPr>
            <sz val="11"/>
            <color theme="1"/>
            <rFont val="Calibri"/>
            <family val="2"/>
            <scheme val="minor"/>
          </rPr>
          <t>Diferença: data=nan | estados=ES_FOMENTO_042025.pdf</t>
        </r>
      </text>
    </comment>
    <comment ref="B138" authorId="0" shapeId="0" xr:uid="{4104A759-ACD1-481C-BC8F-EF53BA1BC306}">
      <text>
        <r>
          <rPr>
            <sz val="11"/>
            <color theme="1"/>
            <rFont val="Calibri"/>
            <family val="2"/>
            <scheme val="minor"/>
          </rPr>
          <t>Diferença: data=nan | estados=ES_FOMENTO_052024.pdf</t>
        </r>
      </text>
    </comment>
    <comment ref="B139" authorId="0" shapeId="0" xr:uid="{54D90E9A-9583-487B-9EA5-B90F1ACBD642}">
      <text>
        <r>
          <rPr>
            <sz val="11"/>
            <color theme="1"/>
            <rFont val="Calibri"/>
            <family val="2"/>
            <scheme val="minor"/>
          </rPr>
          <t>Diferença: data=nan | estados=ES_FOMENTO_062024.pdf</t>
        </r>
      </text>
    </comment>
    <comment ref="B140" authorId="0" shapeId="0" xr:uid="{9941001C-A863-42F1-B3BA-660E100E52E7}">
      <text>
        <r>
          <rPr>
            <sz val="11"/>
            <color theme="1"/>
            <rFont val="Calibri"/>
            <family val="2"/>
            <scheme val="minor"/>
          </rPr>
          <t>Diferença: data=nan | estados=ES_FOMENTO_082024.pdf</t>
        </r>
      </text>
    </comment>
    <comment ref="B141" authorId="0" shapeId="0" xr:uid="{4A3A4088-0ABB-4DD8-BF26-B629C9757054}">
      <text>
        <r>
          <rPr>
            <sz val="11"/>
            <color theme="1"/>
            <rFont val="Calibri"/>
            <family val="2"/>
            <scheme val="minor"/>
          </rPr>
          <t>Diferença: data=nan | estados=ES_FOMENTO_092024.pdf</t>
        </r>
      </text>
    </comment>
    <comment ref="B142" authorId="0" shapeId="0" xr:uid="{0CB6663F-9147-4244-A0C1-501006ECB1B4}">
      <text>
        <r>
          <rPr>
            <sz val="11"/>
            <color theme="1"/>
            <rFont val="Calibri"/>
            <family val="2"/>
            <scheme val="minor"/>
          </rPr>
          <t>Diferença: data=nan | estados=ES_FOMENTO_102024.pdf</t>
        </r>
      </text>
    </comment>
    <comment ref="B143" authorId="0" shapeId="0" xr:uid="{B8F67211-885E-45F3-80E1-877D9D1A2FA7}">
      <text>
        <r>
          <rPr>
            <sz val="11"/>
            <color theme="1"/>
            <rFont val="Calibri"/>
            <family val="2"/>
            <scheme val="minor"/>
          </rPr>
          <t>Diferença: data=nan | estados=ES_FOMENTO_112024.pdf</t>
        </r>
      </text>
    </comment>
    <comment ref="B144" authorId="0" shapeId="0" xr:uid="{658D39C5-946A-4F3D-9543-CBACBB2D57EC}">
      <text>
        <r>
          <rPr>
            <sz val="11"/>
            <color theme="1"/>
            <rFont val="Calibri"/>
            <family val="2"/>
            <scheme val="minor"/>
          </rPr>
          <t>Diferença: data=nan | estados=ES_FOMENTO_122024.pdf</t>
        </r>
      </text>
    </comment>
    <comment ref="B145" authorId="0" shapeId="0" xr:uid="{5A601625-CEF2-4FDE-8B2B-D5AF93D5108C}">
      <text>
        <r>
          <rPr>
            <sz val="11"/>
            <color theme="1"/>
            <rFont val="Calibri"/>
            <family val="2"/>
            <scheme val="minor"/>
          </rPr>
          <t>Diferença: data=nan | estados=ES_FOMENTO_132024.pdf</t>
        </r>
      </text>
    </comment>
    <comment ref="B146" authorId="0" shapeId="0" xr:uid="{DAB4D6E3-6733-4F15-9125-722A48054CD7}">
      <text>
        <r>
          <rPr>
            <sz val="11"/>
            <color theme="1"/>
            <rFont val="Calibri"/>
            <family val="2"/>
            <scheme val="minor"/>
          </rPr>
          <t>Diferença: data=nan | estados=ES_FOMENTO_142024.pdf</t>
        </r>
      </text>
    </comment>
    <comment ref="B147" authorId="0" shapeId="0" xr:uid="{324511D1-14DE-4861-B91E-233C2989D9DA}">
      <text>
        <r>
          <rPr>
            <sz val="11"/>
            <color theme="1"/>
            <rFont val="Calibri"/>
            <family val="2"/>
            <scheme val="minor"/>
          </rPr>
          <t>Diferença: data=nan | estados=ES_FOMENTO_152024.pdf</t>
        </r>
      </text>
    </comment>
    <comment ref="B148" authorId="0" shapeId="0" xr:uid="{641ED4C4-60C2-4219-A956-9C54DC9C0929}">
      <text>
        <r>
          <rPr>
            <sz val="11"/>
            <color theme="1"/>
            <rFont val="Calibri"/>
            <family val="2"/>
            <scheme val="minor"/>
          </rPr>
          <t>Diferença: data=nan | estados=ES_FOMENTO_172024.pdf</t>
        </r>
      </text>
    </comment>
    <comment ref="B149" authorId="0" shapeId="0" xr:uid="{89B3DA26-770C-44E6-817E-828858D26338}">
      <text>
        <r>
          <rPr>
            <sz val="11"/>
            <color theme="1"/>
            <rFont val="Calibri"/>
            <family val="2"/>
            <scheme val="minor"/>
          </rPr>
          <t>Diferença: data=nan | estados=ES_FOMENTO_182024.pdf</t>
        </r>
      </text>
    </comment>
    <comment ref="B150" authorId="0" shapeId="0" xr:uid="{CF8E700E-A9D4-42DB-964F-DFD45CB57758}">
      <text>
        <r>
          <rPr>
            <sz val="11"/>
            <color theme="1"/>
            <rFont val="Calibri"/>
            <family val="2"/>
            <scheme val="minor"/>
          </rPr>
          <t>Diferença: data=nan | estados=ES_FOMENTO_192024.pdf</t>
        </r>
      </text>
    </comment>
    <comment ref="B151" authorId="0" shapeId="0" xr:uid="{83E75BBC-6847-4896-98F8-9F3A927B8191}">
      <text>
        <r>
          <rPr>
            <sz val="11"/>
            <color theme="1"/>
            <rFont val="Calibri"/>
            <family val="2"/>
            <scheme val="minor"/>
          </rPr>
          <t>Diferença: data=nan | estados=ES_PRÊMIO_072024.pdf</t>
        </r>
      </text>
    </comment>
    <comment ref="B152" authorId="0" shapeId="0" xr:uid="{A82338E4-F6D6-4B3D-B155-A3339B29FC1D}">
      <text>
        <r>
          <rPr>
            <sz val="11"/>
            <color theme="1"/>
            <rFont val="Calibri"/>
            <family val="2"/>
            <scheme val="minor"/>
          </rPr>
          <t>Diferença: data=nan | estados=ES_PRÊMIO_162024.pdf</t>
        </r>
      </text>
    </comment>
    <comment ref="B153" authorId="0" shapeId="0" xr:uid="{F00103EE-F4FD-4005-8CDA-643186C6E746}">
      <text>
        <r>
          <rPr>
            <sz val="11"/>
            <color theme="1"/>
            <rFont val="Calibri"/>
            <family val="2"/>
            <scheme val="minor"/>
          </rPr>
          <t>Diferença: data=nan | estados=ES_SUBSÍDIO_032025.pdf</t>
        </r>
      </text>
    </comment>
    <comment ref="B154" authorId="0" shapeId="0" xr:uid="{2B6E0230-844F-4B98-8844-CEAB5D078ABE}">
      <text>
        <r>
          <rPr>
            <sz val="11"/>
            <color theme="1"/>
            <rFont val="Calibri"/>
            <family val="2"/>
            <scheme val="minor"/>
          </rPr>
          <t>Diferença: data=nan | estados=2024-45_FLORIPA_FOMENTO.pdf.pdf</t>
        </r>
      </text>
    </comment>
    <comment ref="E154" authorId="0" shapeId="0" xr:uid="{B112B8B6-922C-49E8-9BB4-63576576FD7A}">
      <text>
        <r>
          <rPr>
            <sz val="11"/>
            <color theme="1"/>
            <rFont val="Calibri"/>
            <family val="2"/>
            <scheme val="minor"/>
          </rPr>
          <t>Diferença: data=0.1 | estados=0.0833</t>
        </r>
      </text>
    </comment>
    <comment ref="B155" authorId="0" shapeId="0" xr:uid="{0D8B70CF-C570-466B-A74E-1FDED90201C6}">
      <text>
        <r>
          <rPr>
            <sz val="11"/>
            <color theme="1"/>
            <rFont val="Calibri"/>
            <family val="2"/>
            <scheme val="minor"/>
          </rPr>
          <t>Diferença: data=nan | estados=2024-44_FLORIPA_FOMENTO.pdf</t>
        </r>
      </text>
    </comment>
    <comment ref="B156" authorId="0" shapeId="0" xr:uid="{E61275D8-C305-4B98-BB84-3030E1A80984}">
      <text>
        <r>
          <rPr>
            <sz val="11"/>
            <color theme="1"/>
            <rFont val="Calibri"/>
            <family val="2"/>
            <scheme val="minor"/>
          </rPr>
          <t>Diferença: data=nan | estados=2024-46_FLORIPA_PRÊMIO.pdf</t>
        </r>
      </text>
    </comment>
    <comment ref="B157" authorId="0" shapeId="0" xr:uid="{22E38A6B-85C9-48CA-971D-C3ADF9A43D24}">
      <text>
        <r>
          <rPr>
            <sz val="11"/>
            <color theme="1"/>
            <rFont val="Calibri"/>
            <family val="2"/>
            <scheme val="minor"/>
          </rPr>
          <t>Diferença: data=nan | estados=2024-41_FLORIPA_FOMENTO.pdf.pdf</t>
        </r>
      </text>
    </comment>
    <comment ref="B158" authorId="0" shapeId="0" xr:uid="{07F5F46C-CEA4-4E38-A435-E0E83EEF58DB}">
      <text>
        <r>
          <rPr>
            <sz val="11"/>
            <color theme="1"/>
            <rFont val="Calibri"/>
            <family val="2"/>
            <scheme val="minor"/>
          </rPr>
          <t>Diferença: data=nan | estados=2024-47_FLORIPA_CULTURAVIVA.pdf</t>
        </r>
      </text>
    </comment>
    <comment ref="B159" authorId="0" shapeId="0" xr:uid="{3595FBDE-6E96-41F1-AB8F-02B6A9C436A1}">
      <text>
        <r>
          <rPr>
            <sz val="11"/>
            <color theme="1"/>
            <rFont val="Calibri"/>
            <family val="2"/>
            <scheme val="minor"/>
          </rPr>
          <t>Diferença: data=nan | estados=2024-23_FORTALEZA_FOMENTO.pdf</t>
        </r>
      </text>
    </comment>
    <comment ref="B160" authorId="0" shapeId="0" xr:uid="{FD467F76-E283-4C42-AAF6-7129CBD3E26E}">
      <text>
        <r>
          <rPr>
            <sz val="11"/>
            <color theme="1"/>
            <rFont val="Calibri"/>
            <family val="2"/>
            <scheme val="minor"/>
          </rPr>
          <t>Diferença: data=nan | estados=2024-19_FORTALEZA_FOMENTO.pdf</t>
        </r>
      </text>
    </comment>
    <comment ref="B161" authorId="0" shapeId="0" xr:uid="{9E4B1A53-9CEF-4B3C-98F8-8D01BB37A18E}">
      <text>
        <r>
          <rPr>
            <sz val="11"/>
            <color theme="1"/>
            <rFont val="Calibri"/>
            <family val="2"/>
            <scheme val="minor"/>
          </rPr>
          <t>Diferença: data=nan | estados=2024-21_FORTALEZA_FOMENTO.pdf</t>
        </r>
      </text>
    </comment>
    <comment ref="B162" authorId="0" shapeId="0" xr:uid="{11DF7629-6568-4A80-AC49-6039A01D8513}">
      <text>
        <r>
          <rPr>
            <sz val="11"/>
            <color theme="1"/>
            <rFont val="Calibri"/>
            <family val="2"/>
            <scheme val="minor"/>
          </rPr>
          <t>Diferença: data=nan | estados=2024-22_FORTALEZA_FOMENTO.pdf</t>
        </r>
      </text>
    </comment>
    <comment ref="B163" authorId="0" shapeId="0" xr:uid="{9DC1B3A6-A150-4CC5-BA46-28C8B0500295}">
      <text>
        <r>
          <rPr>
            <sz val="11"/>
            <color theme="1"/>
            <rFont val="Calibri"/>
            <family val="2"/>
            <scheme val="minor"/>
          </rPr>
          <t>Diferença: data=nan | estados=2024-18_FORTALEZA_FOMENTO.pdf</t>
        </r>
      </text>
    </comment>
    <comment ref="B164" authorId="0" shapeId="0" xr:uid="{E5CEB75A-3085-4D23-95A1-4F13B746078F}">
      <text>
        <r>
          <rPr>
            <sz val="11"/>
            <color theme="1"/>
            <rFont val="Calibri"/>
            <family val="2"/>
            <scheme val="minor"/>
          </rPr>
          <t>Diferença: data=nan | estados=2024-26_FORTALEZA_FOMENTO.pdf</t>
        </r>
      </text>
    </comment>
    <comment ref="B165" authorId="0" shapeId="0" xr:uid="{D7A192F1-16FD-406A-868F-9C2C61DD5FC2}">
      <text>
        <r>
          <rPr>
            <sz val="11"/>
            <color theme="1"/>
            <rFont val="Calibri"/>
            <family val="2"/>
            <scheme val="minor"/>
          </rPr>
          <t>Diferença: data=nan | estados=2025-09_FORTALEZA_PRÊMIO.pdf</t>
        </r>
      </text>
    </comment>
    <comment ref="B166" authorId="0" shapeId="0" xr:uid="{F8ED54FB-980A-46E8-AB9F-61C63CC98D63}">
      <text>
        <r>
          <rPr>
            <sz val="11"/>
            <color theme="1"/>
            <rFont val="Calibri"/>
            <family val="2"/>
            <scheme val="minor"/>
          </rPr>
          <t>Diferença: data=nan | estados=2025-01_FORTALEZA_PRÊMIO.pdf</t>
        </r>
      </text>
    </comment>
    <comment ref="B167" authorId="0" shapeId="0" xr:uid="{2C2C3895-2A7E-4CEE-B889-AA455E125A03}">
      <text>
        <r>
          <rPr>
            <sz val="11"/>
            <color theme="1"/>
            <rFont val="Calibri"/>
            <family val="2"/>
            <scheme val="minor"/>
          </rPr>
          <t>Diferença: data=nan | estados=2024-25_FORTALEZA_FOMENTO.pdf</t>
        </r>
      </text>
    </comment>
    <comment ref="B168" authorId="0" shapeId="0" xr:uid="{2BE7F6A9-B51B-4DAA-8627-8190DAFFF43E}">
      <text>
        <r>
          <rPr>
            <sz val="11"/>
            <color theme="1"/>
            <rFont val="Calibri"/>
            <family val="2"/>
            <scheme val="minor"/>
          </rPr>
          <t>Diferença: data=nan | estados=2025-07_FORTALEZA_PRÊMIO.pdf</t>
        </r>
      </text>
    </comment>
    <comment ref="B169" authorId="0" shapeId="0" xr:uid="{3000DD5C-7A16-4BB4-AD8D-04C210DBC849}">
      <text>
        <r>
          <rPr>
            <sz val="11"/>
            <color theme="1"/>
            <rFont val="Calibri"/>
            <family val="2"/>
            <scheme val="minor"/>
          </rPr>
          <t>Diferença: data=nan | estados=2025-10_FORTALEZA_FOMENTO.pdf</t>
        </r>
      </text>
    </comment>
    <comment ref="B170" authorId="0" shapeId="0" xr:uid="{D4F55902-445B-4C87-AEF5-DA8D6A29975A}">
      <text>
        <r>
          <rPr>
            <sz val="11"/>
            <color theme="1"/>
            <rFont val="Calibri"/>
            <family val="2"/>
            <scheme val="minor"/>
          </rPr>
          <t>Diferença: data=nan | estados=2024-30_FORTALEZA_FOMENTO.pdf</t>
        </r>
      </text>
    </comment>
    <comment ref="B172" authorId="0" shapeId="0" xr:uid="{E10B074D-9AA8-4C76-88F8-5100BD41BB21}">
      <text>
        <r>
          <rPr>
            <sz val="11"/>
            <color theme="1"/>
            <rFont val="Calibri"/>
            <family val="2"/>
            <scheme val="minor"/>
          </rPr>
          <t>Diferença: data=nan | estados=2024-08_GOIÂNIA_FOMENTO.pdf</t>
        </r>
      </text>
    </comment>
    <comment ref="B173" authorId="0" shapeId="0" xr:uid="{CC70080D-A026-429F-8053-013637686ECB}">
      <text>
        <r>
          <rPr>
            <sz val="11"/>
            <color theme="1"/>
            <rFont val="Calibri"/>
            <family val="2"/>
            <scheme val="minor"/>
          </rPr>
          <t>Diferença: data=nan | estados=2024-10_GOIÂNIA_FOMENTO.pdf</t>
        </r>
      </text>
    </comment>
    <comment ref="B174" authorId="0" shapeId="0" xr:uid="{D4C35B42-B353-4BF4-A206-79CC33471C69}">
      <text>
        <r>
          <rPr>
            <sz val="11"/>
            <color theme="1"/>
            <rFont val="Calibri"/>
            <family val="2"/>
            <scheme val="minor"/>
          </rPr>
          <t>Diferença: data=nan | estados=2024-09_GOIÂNIA_FOMENTO.pdf</t>
        </r>
      </text>
    </comment>
    <comment ref="B175" authorId="0" shapeId="0" xr:uid="{5B287EB0-23A0-4D83-9EC9-C8ED8A4CB550}">
      <text>
        <r>
          <rPr>
            <sz val="11"/>
            <color theme="1"/>
            <rFont val="Calibri"/>
            <family val="2"/>
            <scheme val="minor"/>
          </rPr>
          <t>Diferença: data=nan | estados=2024-11_GOIÂNIA_FOMENTO.pdf</t>
        </r>
      </text>
    </comment>
    <comment ref="B176" authorId="0" shapeId="0" xr:uid="{96DF3DC7-E01A-475F-AE15-4B5DBA55B6F1}">
      <text>
        <r>
          <rPr>
            <sz val="11"/>
            <color theme="1"/>
            <rFont val="Calibri"/>
            <family val="2"/>
            <scheme val="minor"/>
          </rPr>
          <t>Diferença: data=nan | estados=2024-13_GOIÂNIA_CULTURAVIVA.pdf</t>
        </r>
      </text>
    </comment>
    <comment ref="B177" authorId="0" shapeId="0" xr:uid="{F5BA18D0-DCFC-4CBA-83D6-03937F65A532}">
      <text>
        <r>
          <rPr>
            <sz val="11"/>
            <color theme="1"/>
            <rFont val="Calibri"/>
            <family val="2"/>
            <scheme val="minor"/>
          </rPr>
          <t>Diferença: data=nan | estados=2024-12_GOIÂNIA_SUBSÍDIO.pdf</t>
        </r>
      </text>
    </comment>
    <comment ref="B178" authorId="0" shapeId="0" xr:uid="{A4BFCD48-9F49-45EA-BB03-29EA823178DD}">
      <text>
        <r>
          <rPr>
            <sz val="11"/>
            <color theme="1"/>
            <rFont val="Calibri"/>
            <family val="2"/>
            <scheme val="minor"/>
          </rPr>
          <t>Diferença: data=nan | estados=GO_CULTURAVIVA_012025.pdf</t>
        </r>
      </text>
    </comment>
    <comment ref="B179" authorId="0" shapeId="0" xr:uid="{F050A637-E389-4418-BD3E-42BD71C538E6}">
      <text>
        <r>
          <rPr>
            <sz val="11"/>
            <color theme="1"/>
            <rFont val="Calibri"/>
            <family val="2"/>
            <scheme val="minor"/>
          </rPr>
          <t>Diferença: data=nan | estados=GO_CULTURAVIVA_182024.pdf</t>
        </r>
      </text>
    </comment>
    <comment ref="B180" authorId="0" shapeId="0" xr:uid="{0AA91B6B-2798-45D2-AC46-A5775B87A83A}">
      <text>
        <r>
          <rPr>
            <sz val="11"/>
            <color theme="1"/>
            <rFont val="Calibri"/>
            <family val="2"/>
            <scheme val="minor"/>
          </rPr>
          <t>Diferença: data=nan | estados=GO_CULTURAVIVA_192024.pdf</t>
        </r>
      </text>
    </comment>
    <comment ref="B181" authorId="0" shapeId="0" xr:uid="{D02B269A-87FD-45A1-86DC-EC917616D65E}">
      <text>
        <r>
          <rPr>
            <sz val="11"/>
            <color theme="1"/>
            <rFont val="Calibri"/>
            <family val="2"/>
            <scheme val="minor"/>
          </rPr>
          <t>Diferença: data=nan | estados=GO_FOMENTO_012024.pdf</t>
        </r>
      </text>
    </comment>
    <comment ref="B182" authorId="0" shapeId="0" xr:uid="{F222EACF-3D2E-465E-9046-67A7518D1E8D}">
      <text>
        <r>
          <rPr>
            <sz val="11"/>
            <color theme="1"/>
            <rFont val="Calibri"/>
            <family val="2"/>
            <scheme val="minor"/>
          </rPr>
          <t>Diferença: data=nan | estados=GO_FOMENTO_022024.pdf</t>
        </r>
      </text>
    </comment>
    <comment ref="B183" authorId="0" shapeId="0" xr:uid="{EDD6AB9F-4C5E-4B56-81BC-3222818B5039}">
      <text>
        <r>
          <rPr>
            <sz val="11"/>
            <color theme="1"/>
            <rFont val="Calibri"/>
            <family val="2"/>
            <scheme val="minor"/>
          </rPr>
          <t>Diferença: data=nan | estados=GO_FOMENTO_032024.pdf</t>
        </r>
      </text>
    </comment>
    <comment ref="B184" authorId="0" shapeId="0" xr:uid="{D1EB0E2B-D88E-4263-932F-A2A958FD5BAC}">
      <text>
        <r>
          <rPr>
            <sz val="11"/>
            <color theme="1"/>
            <rFont val="Calibri"/>
            <family val="2"/>
            <scheme val="minor"/>
          </rPr>
          <t>Diferença: data=nan | estados=GO_FOMENTO_042024.pdf</t>
        </r>
      </text>
    </comment>
    <comment ref="B185" authorId="0" shapeId="0" xr:uid="{049B9FD0-64B0-4C1E-B203-713B9A42757E}">
      <text>
        <r>
          <rPr>
            <sz val="11"/>
            <color theme="1"/>
            <rFont val="Calibri"/>
            <family val="2"/>
            <scheme val="minor"/>
          </rPr>
          <t>Diferença: data=nan | estados=GO_FOMENTO_052024.pdf</t>
        </r>
      </text>
    </comment>
    <comment ref="B186" authorId="0" shapeId="0" xr:uid="{62167465-F12C-40F6-ABA8-430F6C63FC6F}">
      <text>
        <r>
          <rPr>
            <sz val="11"/>
            <color theme="1"/>
            <rFont val="Calibri"/>
            <family val="2"/>
            <scheme val="minor"/>
          </rPr>
          <t>Diferença: data=nan | estados=GO_FOMENTO_062024.pdf</t>
        </r>
      </text>
    </comment>
    <comment ref="B187" authorId="0" shapeId="0" xr:uid="{A0B571E4-0C75-46AC-AD49-5EF8E78CFB21}">
      <text>
        <r>
          <rPr>
            <sz val="11"/>
            <color theme="1"/>
            <rFont val="Calibri"/>
            <family val="2"/>
            <scheme val="minor"/>
          </rPr>
          <t>Diferença: data=nan | estados=GO_FOMENTO_072024.pdf</t>
        </r>
      </text>
    </comment>
    <comment ref="B188" authorId="0" shapeId="0" xr:uid="{D9AB1115-59EA-4BF9-8AFD-8A91AFC32CE3}">
      <text>
        <r>
          <rPr>
            <sz val="11"/>
            <color theme="1"/>
            <rFont val="Calibri"/>
            <family val="2"/>
            <scheme val="minor"/>
          </rPr>
          <t>Diferença: data=nan | estados=GO_FOMENTO_082024.pdf</t>
        </r>
      </text>
    </comment>
    <comment ref="B189" authorId="0" shapeId="0" xr:uid="{C773A3E2-5486-4D46-8863-B33C00548883}">
      <text>
        <r>
          <rPr>
            <sz val="11"/>
            <color theme="1"/>
            <rFont val="Calibri"/>
            <family val="2"/>
            <scheme val="minor"/>
          </rPr>
          <t>Diferença: data=nan | estados=GO_FOMENTO_092024.pdf</t>
        </r>
      </text>
    </comment>
    <comment ref="B190" authorId="0" shapeId="0" xr:uid="{6231102B-6009-4DBA-AFCE-D3E3DEA63213}">
      <text>
        <r>
          <rPr>
            <sz val="11"/>
            <color theme="1"/>
            <rFont val="Calibri"/>
            <family val="2"/>
            <scheme val="minor"/>
          </rPr>
          <t>Diferença: data=nan | estados=GO_FOMENTO_102024.pdf</t>
        </r>
      </text>
    </comment>
    <comment ref="B191" authorId="0" shapeId="0" xr:uid="{1011D9B1-2519-46E3-86F2-7EFA5D0AF2AF}">
      <text>
        <r>
          <rPr>
            <sz val="11"/>
            <color theme="1"/>
            <rFont val="Calibri"/>
            <family val="2"/>
            <scheme val="minor"/>
          </rPr>
          <t>Diferença: data=nan | estados=GO_FOMENTO_112024.pdf</t>
        </r>
      </text>
    </comment>
    <comment ref="B192" authorId="0" shapeId="0" xr:uid="{FE082EA9-EF2D-4B7F-A476-EDE681CF1E09}">
      <text>
        <r>
          <rPr>
            <sz val="11"/>
            <color theme="1"/>
            <rFont val="Calibri"/>
            <family val="2"/>
            <scheme val="minor"/>
          </rPr>
          <t>Diferença: data=nan | estados=GO_FOMENTO_122024.pdf</t>
        </r>
      </text>
    </comment>
    <comment ref="B193" authorId="0" shapeId="0" xr:uid="{1A7BD00F-21F8-4188-8504-285729C92F3A}">
      <text>
        <r>
          <rPr>
            <sz val="11"/>
            <color theme="1"/>
            <rFont val="Calibri"/>
            <family val="2"/>
            <scheme val="minor"/>
          </rPr>
          <t>Diferença: data=nan | estados=GO_FOMENTO_132024.pdf</t>
        </r>
      </text>
    </comment>
    <comment ref="B194" authorId="0" shapeId="0" xr:uid="{2BBB4AFD-ED53-4ABF-99C4-A79F1BA97D8A}">
      <text>
        <r>
          <rPr>
            <sz val="11"/>
            <color theme="1"/>
            <rFont val="Calibri"/>
            <family val="2"/>
            <scheme val="minor"/>
          </rPr>
          <t>Diferença: data=nan | estados=GO_FOMENTO_142024.pdf</t>
        </r>
      </text>
    </comment>
    <comment ref="B195" authorId="0" shapeId="0" xr:uid="{1D513652-0B12-49A0-927B-68CC156CD6A5}">
      <text>
        <r>
          <rPr>
            <sz val="11"/>
            <color theme="1"/>
            <rFont val="Calibri"/>
            <family val="2"/>
            <scheme val="minor"/>
          </rPr>
          <t>Diferença: data=nan | estados=GO_FOMENTO_162024.pdf</t>
        </r>
      </text>
    </comment>
    <comment ref="B196" authorId="0" shapeId="0" xr:uid="{FCFD2119-99E5-4C72-A3B8-52121CCE9832}">
      <text>
        <r>
          <rPr>
            <sz val="11"/>
            <color theme="1"/>
            <rFont val="Calibri"/>
            <family val="2"/>
            <scheme val="minor"/>
          </rPr>
          <t>Diferença: data=nan | estados=GO_FOMENTO_172024.pdf</t>
        </r>
      </text>
    </comment>
    <comment ref="B197" authorId="0" shapeId="0" xr:uid="{61E702B3-3D7F-4F27-9ED8-9E59CCCFD2C6}">
      <text>
        <r>
          <rPr>
            <sz val="11"/>
            <color theme="1"/>
            <rFont val="Calibri"/>
            <family val="2"/>
            <scheme val="minor"/>
          </rPr>
          <t>Diferença: data=nan | estados=GO_SUBSÍDIO_152024.pdf</t>
        </r>
      </text>
    </comment>
    <comment ref="B198" authorId="0" shapeId="0" xr:uid="{9503BFC5-7F65-4E83-B681-02D791638E81}">
      <text>
        <r>
          <rPr>
            <sz val="11"/>
            <color theme="1"/>
            <rFont val="Calibri"/>
            <family val="2"/>
            <scheme val="minor"/>
          </rPr>
          <t>Diferença: data=nan | estados=2024-05_JOAOPESSOA_CULTURAVIVA.pdf.pdf</t>
        </r>
      </text>
    </comment>
    <comment ref="B199" authorId="0" shapeId="0" xr:uid="{4FCD9146-E919-455A-B7FF-EEDE0901FD6F}">
      <text>
        <r>
          <rPr>
            <sz val="11"/>
            <color theme="1"/>
            <rFont val="Calibri"/>
            <family val="2"/>
            <scheme val="minor"/>
          </rPr>
          <t>Diferença: data=nan | estados=2024-11_JOAOPESSOA_CULTURAVIVA.pdf.pdf</t>
        </r>
      </text>
    </comment>
    <comment ref="B200" authorId="0" shapeId="0" xr:uid="{AE7358B8-AC8C-401B-A70B-C0DC1C5B6D04}">
      <text>
        <r>
          <rPr>
            <sz val="11"/>
            <color theme="1"/>
            <rFont val="Calibri"/>
            <family val="2"/>
            <scheme val="minor"/>
          </rPr>
          <t>Diferença: data=nan | estados=2024-13_JOAOPESSOA_PRÊMIO.pdf</t>
        </r>
      </text>
    </comment>
    <comment ref="D200" authorId="0" shapeId="0" xr:uid="{49BCEA43-6F3B-4532-BDCC-B654EBEE7C28}">
      <text>
        <r>
          <rPr>
            <sz val="11"/>
            <color theme="1"/>
            <rFont val="Calibri"/>
            <family val="2"/>
            <scheme val="minor"/>
          </rPr>
          <t>Diferença: data=0.43 | estados=1</t>
        </r>
      </text>
    </comment>
    <comment ref="G200" authorId="0" shapeId="0" xr:uid="{2B64CD0C-2645-43EB-A4A6-6D423E449E48}">
      <text>
        <r>
          <rPr>
            <sz val="11"/>
            <color theme="1"/>
            <rFont val="Calibri"/>
            <family val="2"/>
            <scheme val="minor"/>
          </rPr>
          <t>Diferença: data=40.0 | estados=30</t>
        </r>
      </text>
    </comment>
    <comment ref="B201" authorId="0" shapeId="0" xr:uid="{C528AE77-50D7-4582-89C9-6ABBFFF780A1}">
      <text>
        <r>
          <rPr>
            <sz val="11"/>
            <color theme="1"/>
            <rFont val="Calibri"/>
            <family val="2"/>
            <scheme val="minor"/>
          </rPr>
          <t>Diferença: data=nan | estados=2024-07_JOAOPESSOA_SUBSÍDIO.pdf</t>
        </r>
      </text>
    </comment>
    <comment ref="B202" authorId="0" shapeId="0" xr:uid="{89EBB755-28E7-4E55-9C78-70A3FF6D1E40}">
      <text>
        <r>
          <rPr>
            <sz val="11"/>
            <color theme="1"/>
            <rFont val="Calibri"/>
            <family val="2"/>
            <scheme val="minor"/>
          </rPr>
          <t>Diferença: data=nan | estados=2024-06_JOAOPESSOA_PRÊMIO.pdf.pdf</t>
        </r>
      </text>
    </comment>
    <comment ref="B203" authorId="0" shapeId="0" xr:uid="{B2893AB5-D2C5-480F-8296-FB167A9F1006}">
      <text>
        <r>
          <rPr>
            <sz val="11"/>
            <color theme="1"/>
            <rFont val="Calibri"/>
            <family val="2"/>
            <scheme val="minor"/>
          </rPr>
          <t>Diferença: data=nan | estados=2024-09_JOAOPESSOA_SUBSÍDIO.pdf</t>
        </r>
      </text>
    </comment>
    <comment ref="B204" authorId="0" shapeId="0" xr:uid="{6F4E3877-F0EB-4D4A-8C1B-F762F8437DF0}">
      <text>
        <r>
          <rPr>
            <sz val="11"/>
            <color theme="1"/>
            <rFont val="Calibri"/>
            <family val="2"/>
            <scheme val="minor"/>
          </rPr>
          <t>Diferença: data=nan | estados=2024-12_JOAOPESSOA_FOMENTO.pdf</t>
        </r>
      </text>
    </comment>
    <comment ref="B205" authorId="0" shapeId="0" xr:uid="{8C10FA67-A47B-4587-82DE-722164BADA09}">
      <text>
        <r>
          <rPr>
            <sz val="11"/>
            <color theme="1"/>
            <rFont val="Calibri"/>
            <family val="2"/>
            <scheme val="minor"/>
          </rPr>
          <t>Diferença: data=nan | estados=2024-08_JOAOPESSOA_BOLSA.pdf</t>
        </r>
      </text>
    </comment>
    <comment ref="B206" authorId="0" shapeId="0" xr:uid="{6A5731AB-3511-469C-A7EC-57834992FC52}">
      <text>
        <r>
          <rPr>
            <sz val="11"/>
            <color theme="1"/>
            <rFont val="Calibri"/>
            <family val="2"/>
            <scheme val="minor"/>
          </rPr>
          <t>Diferença: data=nan | estados=2024-10_JOAOPESSOA_FOMENTO.pdf.pdf</t>
        </r>
      </text>
    </comment>
    <comment ref="B207" authorId="0" shapeId="0" xr:uid="{4F68E98C-398B-422B-8DE3-46FBCE9A9406}">
      <text>
        <r>
          <rPr>
            <sz val="11"/>
            <color theme="1"/>
            <rFont val="Calibri"/>
            <family val="2"/>
            <scheme val="minor"/>
          </rPr>
          <t>Diferença: data=nan | estados=2024-05_MACAPÁ_CULTURAVIVA.pdf.pdf</t>
        </r>
      </text>
    </comment>
    <comment ref="B208" authorId="0" shapeId="0" xr:uid="{92524C2C-2FB4-445E-BECA-AAA3528F58D1}">
      <text>
        <r>
          <rPr>
            <sz val="11"/>
            <color theme="1"/>
            <rFont val="Calibri"/>
            <family val="2"/>
            <scheme val="minor"/>
          </rPr>
          <t>Diferença: data=nan | estados=2024-04_MACAPÁ_FOMENTO.pdf</t>
        </r>
      </text>
    </comment>
    <comment ref="B209" authorId="0" shapeId="0" xr:uid="{6133CBAD-A7EA-489C-940B-D027E124101A}">
      <text>
        <r>
          <rPr>
            <sz val="11"/>
            <color theme="1"/>
            <rFont val="Calibri"/>
            <family val="2"/>
            <scheme val="minor"/>
          </rPr>
          <t>Diferença: data=nan | estados=2024-03_MACAPÁ_PRÊMIO.pdf</t>
        </r>
      </text>
    </comment>
    <comment ref="B210" authorId="0" shapeId="0" xr:uid="{ED4BD655-62E5-4330-A093-9969482A7E7D}">
      <text>
        <r>
          <rPr>
            <sz val="11"/>
            <color theme="1"/>
            <rFont val="Calibri"/>
            <family val="2"/>
            <scheme val="minor"/>
          </rPr>
          <t>Diferença: data=nan | estados=2024-07_MACEIÓ_FOMENTO.pdf</t>
        </r>
      </text>
    </comment>
    <comment ref="B211" authorId="0" shapeId="0" xr:uid="{E173E599-A424-4711-9AE2-C1C09F5A3BD7}">
      <text>
        <r>
          <rPr>
            <sz val="11"/>
            <color theme="1"/>
            <rFont val="Calibri"/>
            <family val="2"/>
            <scheme val="minor"/>
          </rPr>
          <t>Diferença: data=nan | estados=2024-06_MACEIÓ_FOMENTO.pdf</t>
        </r>
      </text>
    </comment>
    <comment ref="B212" authorId="0" shapeId="0" xr:uid="{B5B098CD-B3B6-425F-8B1A-16037BF6F05A}">
      <text>
        <r>
          <rPr>
            <sz val="11"/>
            <color theme="1"/>
            <rFont val="Calibri"/>
            <family val="2"/>
            <scheme val="minor"/>
          </rPr>
          <t>Diferença: data=nan | estados=2024-05_MACEIÓ_FOMENTO.pdf</t>
        </r>
      </text>
    </comment>
    <comment ref="B213" authorId="0" shapeId="0" xr:uid="{5F2A827C-9A6B-4C10-B3FA-586E6962C57B}">
      <text>
        <r>
          <rPr>
            <sz val="11"/>
            <color theme="1"/>
            <rFont val="Calibri"/>
            <family val="2"/>
            <scheme val="minor"/>
          </rPr>
          <t>Diferença: data=nan | estados=2024-04_MACEIÓ_FOMENTO.pdf</t>
        </r>
      </text>
    </comment>
    <comment ref="E213" authorId="0" shapeId="0" xr:uid="{730DD542-5C87-4B5E-A045-616D19B66E00}">
      <text>
        <r>
          <rPr>
            <sz val="11"/>
            <color theme="1"/>
            <rFont val="Calibri"/>
            <family val="2"/>
            <scheme val="minor"/>
          </rPr>
          <t>Diferença: data=0.862 | estados=0.09</t>
        </r>
      </text>
    </comment>
    <comment ref="B214" authorId="0" shapeId="0" xr:uid="{84A576B0-C917-4E42-9DBA-6DEB52B2447B}">
      <text>
        <r>
          <rPr>
            <sz val="11"/>
            <color theme="1"/>
            <rFont val="Calibri"/>
            <family val="2"/>
            <scheme val="minor"/>
          </rPr>
          <t>Diferença: data=nan | estados=2024-03_MACEIÓ_FOMENTO.pdf</t>
        </r>
      </text>
    </comment>
    <comment ref="B215" authorId="0" shapeId="0" xr:uid="{452231DD-F029-48B8-8BEC-C5D43FEB0225}">
      <text>
        <r>
          <rPr>
            <sz val="11"/>
            <color theme="1"/>
            <rFont val="Calibri"/>
            <family val="2"/>
            <scheme val="minor"/>
          </rPr>
          <t>Diferença: data=nan | estados=2024-10_MACEIÓ_CULTURAVIVA.pdf</t>
        </r>
      </text>
    </comment>
    <comment ref="B216" authorId="0" shapeId="0" xr:uid="{1A0B359A-23A0-420D-847E-ACC14B4EC564}">
      <text>
        <r>
          <rPr>
            <sz val="11"/>
            <color theme="1"/>
            <rFont val="Calibri"/>
            <family val="2"/>
            <scheme val="minor"/>
          </rPr>
          <t>Diferença: data=nan | estados=2024-08_MACEIÓ_PRÊMIO.pdf</t>
        </r>
      </text>
    </comment>
    <comment ref="B217" authorId="0" shapeId="0" xr:uid="{45B07610-4E60-4CDC-8822-0081E6B67237}">
      <text>
        <r>
          <rPr>
            <sz val="11"/>
            <color theme="1"/>
            <rFont val="Calibri"/>
            <family val="2"/>
            <scheme val="minor"/>
          </rPr>
          <t>Diferença: data=nan | estados=2024-09_MACEIÓ_CULTURAVIVA.pdf</t>
        </r>
      </text>
    </comment>
    <comment ref="B218" authorId="0" shapeId="0" xr:uid="{BDCFBA16-2E29-48B0-8BA8-6914BA6BFA88}">
      <text>
        <r>
          <rPr>
            <sz val="11"/>
            <color theme="1"/>
            <rFont val="Calibri"/>
            <family val="2"/>
            <scheme val="minor"/>
          </rPr>
          <t>Diferença: data=nan | estados=2024-02_MANAUS_FOMENTO.pdf</t>
        </r>
      </text>
    </comment>
    <comment ref="B219" authorId="0" shapeId="0" xr:uid="{CFC2F685-30EA-4D0F-BF07-0DB9F0AEB333}">
      <text>
        <r>
          <rPr>
            <sz val="11"/>
            <color theme="1"/>
            <rFont val="Calibri"/>
            <family val="2"/>
            <scheme val="minor"/>
          </rPr>
          <t>Diferença: data=nan | estados=2024-10_MANAUS_PRÊMIO.pdf</t>
        </r>
      </text>
    </comment>
    <comment ref="B220" authorId="0" shapeId="0" xr:uid="{4965DC74-8E9F-44EA-A7DD-928DB0855917}">
      <text>
        <r>
          <rPr>
            <sz val="11"/>
            <color theme="1"/>
            <rFont val="Calibri"/>
            <family val="2"/>
            <scheme val="minor"/>
          </rPr>
          <t>Diferença: data=nan | estados=2024-09_MANAUS_FOMENTO.pdf</t>
        </r>
      </text>
    </comment>
    <comment ref="B221" authorId="0" shapeId="0" xr:uid="{AD33CE8C-C74F-4EAC-95AF-7A00045FFC8D}">
      <text>
        <r>
          <rPr>
            <sz val="11"/>
            <color theme="1"/>
            <rFont val="Calibri"/>
            <family val="2"/>
            <scheme val="minor"/>
          </rPr>
          <t>Diferença: data=nan | estados=2024-04_MANAUS_FOMENTO.pdf</t>
        </r>
      </text>
    </comment>
    <comment ref="B222" authorId="0" shapeId="0" xr:uid="{BB274B3B-47E7-4584-954D-B96087E2EF69}">
      <text>
        <r>
          <rPr>
            <sz val="11"/>
            <color theme="1"/>
            <rFont val="Calibri"/>
            <family val="2"/>
            <scheme val="minor"/>
          </rPr>
          <t>Diferença: data=nan | estados=2024-07_MANAUS_SUBSÍDIO.pdf</t>
        </r>
      </text>
    </comment>
    <comment ref="B223" authorId="0" shapeId="0" xr:uid="{F0912E07-D4F1-4908-9CA9-236C2DB49B9C}">
      <text>
        <r>
          <rPr>
            <sz val="11"/>
            <color theme="1"/>
            <rFont val="Calibri"/>
            <family val="2"/>
            <scheme val="minor"/>
          </rPr>
          <t>Diferença: data=nan | estados=2024-05_MANAUS_CULTURAVIVA.pdf</t>
        </r>
      </text>
    </comment>
    <comment ref="B224" authorId="0" shapeId="0" xr:uid="{F52D2ACD-BD85-46A7-933A-B4DE5DAB00D2}">
      <text>
        <r>
          <rPr>
            <sz val="11"/>
            <color theme="1"/>
            <rFont val="Calibri"/>
            <family val="2"/>
            <scheme val="minor"/>
          </rPr>
          <t>Diferença: data=nan | estados=2024-08_MANAUS_FOMENTO.pdf</t>
        </r>
      </text>
    </comment>
    <comment ref="B225" authorId="0" shapeId="0" xr:uid="{C692328A-6498-4F9E-9A62-78FC4AE1ADA6}">
      <text>
        <r>
          <rPr>
            <sz val="11"/>
            <color theme="1"/>
            <rFont val="Calibri"/>
            <family val="2"/>
            <scheme val="minor"/>
          </rPr>
          <t>Diferença: data=nan | estados=2024-06_MANAUS_CULTURAVIVA.pdf</t>
        </r>
      </text>
    </comment>
    <comment ref="B226" authorId="0" shapeId="0" xr:uid="{AE3C75DD-B5A6-45A8-8DB8-F8A1E1CB6989}">
      <text>
        <r>
          <rPr>
            <sz val="11"/>
            <color theme="1"/>
            <rFont val="Calibri"/>
            <family val="2"/>
            <scheme val="minor"/>
          </rPr>
          <t>Diferença: data=nan | estados=2024-03_MANAUS_FOMENTO.pdf</t>
        </r>
      </text>
    </comment>
    <comment ref="B227" authorId="0" shapeId="0" xr:uid="{D060304C-0286-48B3-8081-F6EB2F0EA161}">
      <text>
        <r>
          <rPr>
            <sz val="11"/>
            <color theme="1"/>
            <rFont val="Calibri"/>
            <family val="2"/>
            <scheme val="minor"/>
          </rPr>
          <t>Diferença: data=nan | estados=MA_CULTURAVIVA_022025.pdf</t>
        </r>
      </text>
    </comment>
    <comment ref="B228" authorId="0" shapeId="0" xr:uid="{D336E6E4-C89A-4A44-8481-8FCBBFF7E0B9}">
      <text>
        <r>
          <rPr>
            <sz val="11"/>
            <color theme="1"/>
            <rFont val="Calibri"/>
            <family val="2"/>
            <scheme val="minor"/>
          </rPr>
          <t>Diferença: data=nan | estados=MA_FOMENTO_012025.pdf</t>
        </r>
      </text>
    </comment>
    <comment ref="B229" authorId="0" shapeId="0" xr:uid="{4D7E419F-EE30-48F2-842A-421502747178}">
      <text>
        <r>
          <rPr>
            <sz val="11"/>
            <color theme="1"/>
            <rFont val="Calibri"/>
            <family val="2"/>
            <scheme val="minor"/>
          </rPr>
          <t>Diferença: data=nan | estados=MA_FOMENTO_042025.pdf</t>
        </r>
      </text>
    </comment>
    <comment ref="B230" authorId="0" shapeId="0" xr:uid="{BF7B11EF-D893-4597-BB6C-7F59E453B750}">
      <text>
        <r>
          <rPr>
            <sz val="11"/>
            <color theme="1"/>
            <rFont val="Calibri"/>
            <family val="2"/>
            <scheme val="minor"/>
          </rPr>
          <t>Diferença: data=nan | estados=MA_FOMENTO_052025.pdf</t>
        </r>
      </text>
    </comment>
    <comment ref="B231" authorId="0" shapeId="0" xr:uid="{8960783C-66C8-4C90-8D4D-217A79EB9205}">
      <text>
        <r>
          <rPr>
            <sz val="11"/>
            <color theme="1"/>
            <rFont val="Calibri"/>
            <family val="2"/>
            <scheme val="minor"/>
          </rPr>
          <t>Diferença: data=nan | estados=MA_PRÊMIO_032025.pdf</t>
        </r>
      </text>
    </comment>
    <comment ref="B233" authorId="0" shapeId="0" xr:uid="{EECB7FB3-DF0C-498D-9EF3-D919EBAB199A}">
      <text>
        <r>
          <rPr>
            <sz val="11"/>
            <color theme="1"/>
            <rFont val="Calibri"/>
            <family val="2"/>
            <scheme val="minor"/>
          </rPr>
          <t>Diferença: data=nan | estados=MT_CULTURAVIVA_242024.pdf</t>
        </r>
      </text>
    </comment>
    <comment ref="B234" authorId="0" shapeId="0" xr:uid="{F975A597-3565-4D47-8826-DEDA14EEA8CE}">
      <text>
        <r>
          <rPr>
            <sz val="11"/>
            <color theme="1"/>
            <rFont val="Calibri"/>
            <family val="2"/>
            <scheme val="minor"/>
          </rPr>
          <t>Diferença: data=nan | estados=MT_CULTURAVIVA_252024.pdf</t>
        </r>
      </text>
    </comment>
    <comment ref="B235" authorId="0" shapeId="0" xr:uid="{9405C83D-9FB8-4C5B-A814-2A7B1D51060F}">
      <text>
        <r>
          <rPr>
            <sz val="11"/>
            <color theme="1"/>
            <rFont val="Calibri"/>
            <family val="2"/>
            <scheme val="minor"/>
          </rPr>
          <t>Diferença: data=nan | estados=MT_FOMENTO_132024.pdf</t>
        </r>
      </text>
    </comment>
    <comment ref="B236" authorId="0" shapeId="0" xr:uid="{B0EF4022-00D2-4B59-8EF4-328EBE1221A0}">
      <text>
        <r>
          <rPr>
            <sz val="11"/>
            <color theme="1"/>
            <rFont val="Calibri"/>
            <family val="2"/>
            <scheme val="minor"/>
          </rPr>
          <t>Diferença: data=nan | estados=MT_FOMENTO_152024.pdf</t>
        </r>
      </text>
    </comment>
    <comment ref="B237" authorId="0" shapeId="0" xr:uid="{829E2C69-EC38-4DBB-AF38-C6200B9D1A62}">
      <text>
        <r>
          <rPr>
            <sz val="11"/>
            <color theme="1"/>
            <rFont val="Calibri"/>
            <family val="2"/>
            <scheme val="minor"/>
          </rPr>
          <t>Diferença: data=nan | estados=MT_FOMENTO_172024.pdf</t>
        </r>
      </text>
    </comment>
    <comment ref="B238" authorId="0" shapeId="0" xr:uid="{3249DEE8-1623-4BA9-9061-EABDDA4F750D}">
      <text>
        <r>
          <rPr>
            <sz val="11"/>
            <color theme="1"/>
            <rFont val="Calibri"/>
            <family val="2"/>
            <scheme val="minor"/>
          </rPr>
          <t>Diferença: data=nan | estados=MT_FOMENTO_182024.pdf</t>
        </r>
      </text>
    </comment>
    <comment ref="D238" authorId="0" shapeId="0" xr:uid="{2B8696A7-838F-4CAD-8756-F4CBBD0A602F}">
      <text>
        <r>
          <rPr>
            <sz val="11"/>
            <color theme="1"/>
            <rFont val="Calibri"/>
            <family val="2"/>
            <scheme val="minor"/>
          </rPr>
          <t>Diferença: data=0.25 | estados=0.21</t>
        </r>
      </text>
    </comment>
    <comment ref="B239" authorId="0" shapeId="0" xr:uid="{FAEDB07E-7E2B-48A5-9E3D-F4393728F324}">
      <text>
        <r>
          <rPr>
            <sz val="11"/>
            <color theme="1"/>
            <rFont val="Calibri"/>
            <family val="2"/>
            <scheme val="minor"/>
          </rPr>
          <t>Diferença: data=nan | estados=MT_FOMENTO_232024.pdf</t>
        </r>
      </text>
    </comment>
    <comment ref="B240" authorId="0" shapeId="0" xr:uid="{E3DE4EE5-2F79-4D6B-BAB7-86396EF605C2}">
      <text>
        <r>
          <rPr>
            <sz val="11"/>
            <color theme="1"/>
            <rFont val="Calibri"/>
            <family val="2"/>
            <scheme val="minor"/>
          </rPr>
          <t>Diferença: data=nan | estados=MT_PRÊMIO_162024.pdf</t>
        </r>
      </text>
    </comment>
    <comment ref="B241" authorId="0" shapeId="0" xr:uid="{E82C78EE-60F5-4239-9870-0175CF3FE52D}">
      <text>
        <r>
          <rPr>
            <sz val="11"/>
            <color theme="1"/>
            <rFont val="Calibri"/>
            <family val="2"/>
            <scheme val="minor"/>
          </rPr>
          <t>Diferença: data=nan | estados=MS_BOLSA_042025.pdf</t>
        </r>
      </text>
    </comment>
    <comment ref="B242" authorId="0" shapeId="0" xr:uid="{4375F185-874F-47FE-A662-31F341F06FDB}">
      <text>
        <r>
          <rPr>
            <sz val="11"/>
            <color theme="1"/>
            <rFont val="Calibri"/>
            <family val="2"/>
            <scheme val="minor"/>
          </rPr>
          <t>Diferença: data=nan | estados=MS_CULTURAVIVA_162024.pdf</t>
        </r>
      </text>
    </comment>
    <comment ref="B243" authorId="0" shapeId="0" xr:uid="{CC9A1FCA-2EB4-428A-9109-D07A6DD50D98}">
      <text>
        <r>
          <rPr>
            <sz val="11"/>
            <color theme="1"/>
            <rFont val="Calibri"/>
            <family val="2"/>
            <scheme val="minor"/>
          </rPr>
          <t>Diferença: data=nan | estados=MS_CULTURAVIVA_172024.pdf</t>
        </r>
      </text>
    </comment>
    <comment ref="B244" authorId="0" shapeId="0" xr:uid="{8A8D7C96-7B1C-4268-A506-FDD82B18733E}">
      <text>
        <r>
          <rPr>
            <sz val="11"/>
            <color theme="1"/>
            <rFont val="Calibri"/>
            <family val="2"/>
            <scheme val="minor"/>
          </rPr>
          <t>Diferença: data=nan | estados=MS_FOMENTO_012025.pdf</t>
        </r>
      </text>
    </comment>
    <comment ref="B245" authorId="0" shapeId="0" xr:uid="{B54F85E0-73BA-4690-80BE-CA1B8CD469A8}">
      <text>
        <r>
          <rPr>
            <sz val="11"/>
            <color theme="1"/>
            <rFont val="Calibri"/>
            <family val="2"/>
            <scheme val="minor"/>
          </rPr>
          <t>Diferença: data=nan | estados=MS_FOMENTO_052025.pdf</t>
        </r>
      </text>
    </comment>
    <comment ref="B246" authorId="0" shapeId="0" xr:uid="{2DF1D07C-C5D6-407F-BCED-77CA14513916}">
      <text>
        <r>
          <rPr>
            <sz val="11"/>
            <color theme="1"/>
            <rFont val="Calibri"/>
            <family val="2"/>
            <scheme val="minor"/>
          </rPr>
          <t>Diferença: data=nan | estados=MS_FOMENTO_062025.pdf</t>
        </r>
      </text>
    </comment>
    <comment ref="B247" authorId="0" shapeId="0" xr:uid="{062C603A-39E3-437D-96BA-B6049FDD62BE}">
      <text>
        <r>
          <rPr>
            <sz val="11"/>
            <color theme="1"/>
            <rFont val="Calibri"/>
            <family val="2"/>
            <scheme val="minor"/>
          </rPr>
          <t>Diferença: data=nan | estados=MS_FOMENTO_072025.pdf</t>
        </r>
      </text>
    </comment>
    <comment ref="B248" authorId="0" shapeId="0" xr:uid="{C6CB282A-8F9C-4BDE-9263-EC619E55552F}">
      <text>
        <r>
          <rPr>
            <sz val="11"/>
            <color theme="1"/>
            <rFont val="Calibri"/>
            <family val="2"/>
            <scheme val="minor"/>
          </rPr>
          <t>Diferença: data=nan | estados=MS_FOMENTO_082025.pdf</t>
        </r>
      </text>
    </comment>
    <comment ref="B249" authorId="0" shapeId="0" xr:uid="{EAD9F6F1-26E1-4514-934E-CCC505AFA71F}">
      <text>
        <r>
          <rPr>
            <sz val="11"/>
            <color theme="1"/>
            <rFont val="Calibri"/>
            <family val="2"/>
            <scheme val="minor"/>
          </rPr>
          <t>Diferença: data=nan | estados=MS_FOMENTO_092025.pdf</t>
        </r>
      </text>
    </comment>
    <comment ref="B250" authorId="0" shapeId="0" xr:uid="{F7A6D1B9-6871-44E0-9762-9E4832561DFD}">
      <text>
        <r>
          <rPr>
            <sz val="11"/>
            <color theme="1"/>
            <rFont val="Calibri"/>
            <family val="2"/>
            <scheme val="minor"/>
          </rPr>
          <t>Diferença: data=nan | estados=MS_FOMENTO_102025.pdf</t>
        </r>
      </text>
    </comment>
    <comment ref="D250" authorId="0" shapeId="0" xr:uid="{0E7D87C0-37A0-4161-A2F0-983DE2ACCAAB}">
      <text>
        <r>
          <rPr>
            <sz val="11"/>
            <color theme="1"/>
            <rFont val="Calibri"/>
            <family val="2"/>
            <scheme val="minor"/>
          </rPr>
          <t>Diferença: data=0.285 | estados=0.25</t>
        </r>
      </text>
    </comment>
    <comment ref="E250" authorId="0" shapeId="0" xr:uid="{B13E02CA-4E50-44FE-AFDB-DD3B5432AA1D}">
      <text>
        <r>
          <rPr>
            <sz val="11"/>
            <color theme="1"/>
            <rFont val="Calibri"/>
            <family val="2"/>
            <scheme val="minor"/>
          </rPr>
          <t>Diferença: data=0.142 | estados=0.1</t>
        </r>
      </text>
    </comment>
    <comment ref="F250" authorId="0" shapeId="0" xr:uid="{DBBA2390-7C6D-4CD7-8318-D34810AAA9BE}">
      <text>
        <r>
          <rPr>
            <sz val="11"/>
            <color theme="1"/>
            <rFont val="Calibri"/>
            <family val="2"/>
            <scheme val="minor"/>
          </rPr>
          <t>Diferença: data=0.142 | estados=0.05</t>
        </r>
      </text>
    </comment>
    <comment ref="B251" authorId="0" shapeId="0" xr:uid="{C3A0793A-723C-48FA-BB44-584F0804B4E3}">
      <text>
        <r>
          <rPr>
            <sz val="11"/>
            <color theme="1"/>
            <rFont val="Calibri"/>
            <family val="2"/>
            <scheme val="minor"/>
          </rPr>
          <t>Diferença: data=nan | estados=MS_FOMENTO_132024.pdf</t>
        </r>
      </text>
    </comment>
    <comment ref="C251" authorId="0" shapeId="0" xr:uid="{2F05B7A9-A180-4B97-8DAC-CFBC7702DBC0}">
      <text>
        <r>
          <rPr>
            <sz val="11"/>
            <color theme="1"/>
            <rFont val="Calibri"/>
            <family val="2"/>
            <scheme val="minor"/>
          </rPr>
          <t>Diferença: data=400.0 | estados=400000</t>
        </r>
      </text>
    </comment>
    <comment ref="B252" authorId="0" shapeId="0" xr:uid="{68C3BF70-0FF1-49EF-8CCB-D35E6097591C}">
      <text>
        <r>
          <rPr>
            <sz val="11"/>
            <color theme="1"/>
            <rFont val="Calibri"/>
            <family val="2"/>
            <scheme val="minor"/>
          </rPr>
          <t>Diferença: data=nan | estados=MS_FOMENTO_142024.pdf</t>
        </r>
      </text>
    </comment>
    <comment ref="B253" authorId="0" shapeId="0" xr:uid="{1B7C1229-BA7A-468C-93CE-CBDECF660452}">
      <text>
        <r>
          <rPr>
            <sz val="11"/>
            <color theme="1"/>
            <rFont val="Calibri"/>
            <family val="2"/>
            <scheme val="minor"/>
          </rPr>
          <t>Diferença: data=nan | estados=MS_FOMENTO_152024.pdf</t>
        </r>
      </text>
    </comment>
    <comment ref="B254" authorId="0" shapeId="0" xr:uid="{63BCDA12-5FC3-4CD6-BCFC-6FBB03E944C3}">
      <text>
        <r>
          <rPr>
            <sz val="11"/>
            <color theme="1"/>
            <rFont val="Calibri"/>
            <family val="2"/>
            <scheme val="minor"/>
          </rPr>
          <t>Diferença: data=nan | estados=MS_FOMENTO_182024.pdf</t>
        </r>
      </text>
    </comment>
    <comment ref="C254" authorId="0" shapeId="0" xr:uid="{088DABC4-90FA-45E7-8A41-E8B6AF6FD2CA}">
      <text>
        <r>
          <rPr>
            <sz val="11"/>
            <color theme="1"/>
            <rFont val="Calibri"/>
            <family val="2"/>
            <scheme val="minor"/>
          </rPr>
          <t>Diferença: data=600.0 | estados=600000</t>
        </r>
      </text>
    </comment>
    <comment ref="B255" authorId="0" shapeId="0" xr:uid="{D88AC75F-7E12-410D-89F9-2434A3D6128D}">
      <text>
        <r>
          <rPr>
            <sz val="11"/>
            <color theme="1"/>
            <rFont val="Calibri"/>
            <family val="2"/>
            <scheme val="minor"/>
          </rPr>
          <t>Diferença: data=nan | estados=MS_FOMENTO_192024.pdf</t>
        </r>
      </text>
    </comment>
    <comment ref="B256" authorId="0" shapeId="0" xr:uid="{7C2C6635-0826-453E-9FC6-184AECCC940D}">
      <text>
        <r>
          <rPr>
            <sz val="11"/>
            <color theme="1"/>
            <rFont val="Calibri"/>
            <family val="2"/>
            <scheme val="minor"/>
          </rPr>
          <t>Diferença: data=nan | estados=MS_FOMENTO_202024.pdf</t>
        </r>
      </text>
    </comment>
    <comment ref="D256" authorId="0" shapeId="0" xr:uid="{58D22C8F-7810-4C36-8F6F-FAF955F311A8}">
      <text>
        <r>
          <rPr>
            <sz val="11"/>
            <color theme="1"/>
            <rFont val="Calibri"/>
            <family val="2"/>
            <scheme val="minor"/>
          </rPr>
          <t>Diferença: data=0.2461 | estados=0.25</t>
        </r>
      </text>
    </comment>
    <comment ref="E256" authorId="0" shapeId="0" xr:uid="{84275782-A8DD-4789-A71B-E59AA72C9B44}">
      <text>
        <r>
          <rPr>
            <sz val="11"/>
            <color theme="1"/>
            <rFont val="Calibri"/>
            <family val="2"/>
            <scheme val="minor"/>
          </rPr>
          <t>Diferença: data=0.2076 | estados=0.2</t>
        </r>
      </text>
    </comment>
    <comment ref="F256" authorId="0" shapeId="0" xr:uid="{93DCC771-8502-466D-8117-F12A730A3BEA}">
      <text>
        <r>
          <rPr>
            <sz val="11"/>
            <color theme="1"/>
            <rFont val="Calibri"/>
            <family val="2"/>
            <scheme val="minor"/>
          </rPr>
          <t>Diferença: data=0.4615 | estados=0.05</t>
        </r>
      </text>
    </comment>
    <comment ref="G256" authorId="0" shapeId="0" xr:uid="{6AB2D56F-4028-40E3-AF40-CD87C4BA514C}">
      <text>
        <r>
          <rPr>
            <sz val="11"/>
            <color theme="1"/>
            <rFont val="Calibri"/>
            <family val="2"/>
            <scheme val="minor"/>
          </rPr>
          <t>Diferença: data=100.0 | estados=130</t>
        </r>
      </text>
    </comment>
    <comment ref="B257" authorId="0" shapeId="0" xr:uid="{8B6AAD02-709D-4E7A-B39D-22B4EFB56DAF}">
      <text>
        <r>
          <rPr>
            <sz val="11"/>
            <color theme="1"/>
            <rFont val="Calibri"/>
            <family val="2"/>
            <scheme val="minor"/>
          </rPr>
          <t>Diferença: data=nan | estados=MS_FOMENTO_222024.pdf</t>
        </r>
      </text>
    </comment>
    <comment ref="C257" authorId="0" shapeId="0" xr:uid="{98309AC3-3C61-4DAB-B219-923A7D43BD70}">
      <text>
        <r>
          <rPr>
            <sz val="11"/>
            <color theme="1"/>
            <rFont val="Calibri"/>
            <family val="2"/>
            <scheme val="minor"/>
          </rPr>
          <t>Diferença: data=900.0 | estados=900000</t>
        </r>
      </text>
    </comment>
    <comment ref="B258" authorId="0" shapeId="0" xr:uid="{015DB059-0631-42E7-9DF7-9F68AEBF6970}">
      <text>
        <r>
          <rPr>
            <sz val="11"/>
            <color theme="1"/>
            <rFont val="Calibri"/>
            <family val="2"/>
            <scheme val="minor"/>
          </rPr>
          <t>Diferença: data=nan | estados=MS_FOMENTO_232024.pdf</t>
        </r>
      </text>
    </comment>
    <comment ref="D258" authorId="0" shapeId="0" xr:uid="{1D0E11C7-9E58-4075-B149-7F5750114CB7}">
      <text>
        <r>
          <rPr>
            <sz val="11"/>
            <color theme="1"/>
            <rFont val="Calibri"/>
            <family val="2"/>
            <scheme val="minor"/>
          </rPr>
          <t>Diferença: data=0.2333 | estados=0.23</t>
        </r>
      </text>
    </comment>
    <comment ref="E258" authorId="0" shapeId="0" xr:uid="{D99B6E4C-F487-4A46-A359-8315A6F075F3}">
      <text>
        <r>
          <rPr>
            <sz val="11"/>
            <color theme="1"/>
            <rFont val="Calibri"/>
            <family val="2"/>
            <scheme val="minor"/>
          </rPr>
          <t>Diferença: data=0.2333 | estados=0.23</t>
        </r>
      </text>
    </comment>
    <comment ref="F258" authorId="0" shapeId="0" xr:uid="{178F6BEA-25E3-423D-B0CC-E86954DB05DB}">
      <text>
        <r>
          <rPr>
            <sz val="11"/>
            <color theme="1"/>
            <rFont val="Calibri"/>
            <family val="2"/>
            <scheme val="minor"/>
          </rPr>
          <t>Diferença: data=0.333 | estados=0.03</t>
        </r>
      </text>
    </comment>
    <comment ref="B259" authorId="0" shapeId="0" xr:uid="{9AF24B4B-F104-4E72-88C9-9F22E2C464AE}">
      <text>
        <r>
          <rPr>
            <sz val="11"/>
            <color theme="1"/>
            <rFont val="Calibri"/>
            <family val="2"/>
            <scheme val="minor"/>
          </rPr>
          <t>Diferença: data=nan | estados=MS_FOMENTO_242024.pdf</t>
        </r>
      </text>
    </comment>
    <comment ref="B260" authorId="0" shapeId="0" xr:uid="{3210C07A-13E9-4DBC-BB2C-2295E02CD240}">
      <text>
        <r>
          <rPr>
            <sz val="11"/>
            <color theme="1"/>
            <rFont val="Calibri"/>
            <family val="2"/>
            <scheme val="minor"/>
          </rPr>
          <t>Diferença: data=nan | estados=MS_FOMENTO_252024.pdf</t>
        </r>
      </text>
    </comment>
    <comment ref="B261" authorId="0" shapeId="0" xr:uid="{8D1FCD83-8253-4BF6-8C80-3D50499BDF33}">
      <text>
        <r>
          <rPr>
            <sz val="11"/>
            <color theme="1"/>
            <rFont val="Calibri"/>
            <family val="2"/>
            <scheme val="minor"/>
          </rPr>
          <t>Diferença: data=nan | estados=MS_FOMENTO_262024.pdf</t>
        </r>
      </text>
    </comment>
    <comment ref="C261" authorId="0" shapeId="0" xr:uid="{857B0D39-E388-4014-B449-44258D3773F4}">
      <text>
        <r>
          <rPr>
            <sz val="11"/>
            <color theme="1"/>
            <rFont val="Calibri"/>
            <family val="2"/>
            <scheme val="minor"/>
          </rPr>
          <t>Diferença: data=1500.0 | estados=1500000</t>
        </r>
      </text>
    </comment>
    <comment ref="B262" authorId="0" shapeId="0" xr:uid="{E419FB1F-16E7-4935-889B-0AED45722671}">
      <text>
        <r>
          <rPr>
            <sz val="11"/>
            <color theme="1"/>
            <rFont val="Calibri"/>
            <family val="2"/>
            <scheme val="minor"/>
          </rPr>
          <t>Diferença: data=nan | estados=MS_FOMENTO_272024.pdf</t>
        </r>
      </text>
    </comment>
    <comment ref="B263" authorId="0" shapeId="0" xr:uid="{5F86EF09-13D4-4A4F-B1F6-BEFF8D87898B}">
      <text>
        <r>
          <rPr>
            <sz val="11"/>
            <color theme="1"/>
            <rFont val="Calibri"/>
            <family val="2"/>
            <scheme val="minor"/>
          </rPr>
          <t>Diferença: data=nan | estados=MS_PRÊMIO_022025.pdf</t>
        </r>
      </text>
    </comment>
    <comment ref="E263" authorId="0" shapeId="0" xr:uid="{8EF2345E-9EFC-4CAD-A4CD-AB6C4A456805}">
      <text>
        <r>
          <rPr>
            <sz val="11"/>
            <color theme="1"/>
            <rFont val="Calibri"/>
            <family val="2"/>
            <scheme val="minor"/>
          </rPr>
          <t>Diferença: data=0.1 | estados=0.15</t>
        </r>
      </text>
    </comment>
    <comment ref="B264" authorId="0" shapeId="0" xr:uid="{387B45BC-9FE4-4963-AE55-FE352CD7C277}">
      <text>
        <r>
          <rPr>
            <sz val="11"/>
            <color theme="1"/>
            <rFont val="Calibri"/>
            <family val="2"/>
            <scheme val="minor"/>
          </rPr>
          <t>Diferença: data=nan | estados=MS_PRÊMIO_102024.pdf</t>
        </r>
      </text>
    </comment>
    <comment ref="D264" authorId="0" shapeId="0" xr:uid="{94919CC2-2ACD-477F-B035-9BC86374630C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E264" authorId="0" shapeId="0" xr:uid="{8FDFBB55-F6A6-4A96-8602-54D1594CBEA1}">
      <text>
        <r>
          <rPr>
            <sz val="11"/>
            <color theme="1"/>
            <rFont val="Calibri"/>
            <family val="2"/>
            <scheme val="minor"/>
          </rPr>
          <t>Diferença: data=0.0 | estados=1</t>
        </r>
      </text>
    </comment>
    <comment ref="F264" authorId="0" shapeId="0" xr:uid="{1A8A7C3E-9F4F-456C-822C-1F55E8784577}">
      <text>
        <r>
          <rPr>
            <sz val="11"/>
            <color theme="1"/>
            <rFont val="Calibri"/>
            <family val="2"/>
            <scheme val="minor"/>
          </rPr>
          <t>Diferença: data=0.066 | estados=0.06</t>
        </r>
      </text>
    </comment>
    <comment ref="B265" authorId="0" shapeId="0" xr:uid="{9761554D-A5E7-43FA-A7AA-F633B151A1BA}">
      <text>
        <r>
          <rPr>
            <sz val="11"/>
            <color theme="1"/>
            <rFont val="Calibri"/>
            <family val="2"/>
            <scheme val="minor"/>
          </rPr>
          <t>Diferença: data=nan | estados=MS_PRÊMIO_112024.pdf</t>
        </r>
      </text>
    </comment>
    <comment ref="B266" authorId="0" shapeId="0" xr:uid="{C1A783A2-5B0C-4A82-AEF2-BDBE0A57ECF5}">
      <text>
        <r>
          <rPr>
            <sz val="11"/>
            <color theme="1"/>
            <rFont val="Calibri"/>
            <family val="2"/>
            <scheme val="minor"/>
          </rPr>
          <t>Diferença: data=nan | estados=MS_PRÊMIO_112025.pdf</t>
        </r>
      </text>
    </comment>
    <comment ref="B267" authorId="0" shapeId="0" xr:uid="{E388FFDF-0D2C-4678-BC0D-5EE049454ED9}">
      <text>
        <r>
          <rPr>
            <sz val="11"/>
            <color theme="1"/>
            <rFont val="Calibri"/>
            <family val="2"/>
            <scheme val="minor"/>
          </rPr>
          <t>Diferença: data=nan | estados=MG_BOLSA_122024.pdf</t>
        </r>
      </text>
    </comment>
    <comment ref="B268" authorId="0" shapeId="0" xr:uid="{FB903D0B-1D81-46E6-AEA0-B692D8BBEDC3}">
      <text>
        <r>
          <rPr>
            <sz val="11"/>
            <color theme="1"/>
            <rFont val="Calibri"/>
            <family val="2"/>
            <scheme val="minor"/>
          </rPr>
          <t>Diferença: data=nan | estados=MG_BOLSA_132024.pdf</t>
        </r>
      </text>
    </comment>
    <comment ref="D268" authorId="0" shapeId="0" xr:uid="{F0CAD98A-2BE7-489E-8F91-5A9B5B28B6BB}">
      <text>
        <r>
          <rPr>
            <sz val="11"/>
            <color theme="1"/>
            <rFont val="Calibri"/>
            <family val="2"/>
            <scheme val="minor"/>
          </rPr>
          <t>Diferença: data=0.259 | estados=0.26</t>
        </r>
      </text>
    </comment>
    <comment ref="F268" authorId="0" shapeId="0" xr:uid="{9C713BF9-BEE2-4132-82A6-487387893100}">
      <text>
        <r>
          <rPr>
            <sz val="11"/>
            <color theme="1"/>
            <rFont val="Calibri"/>
            <family val="2"/>
            <scheme val="minor"/>
          </rPr>
          <t>Diferença: data=0.048 | estados=0.05</t>
        </r>
      </text>
    </comment>
    <comment ref="B269" authorId="0" shapeId="0" xr:uid="{ACBC2AFE-8D6A-4788-A3E3-E62039EE135C}">
      <text>
        <r>
          <rPr>
            <sz val="11"/>
            <color theme="1"/>
            <rFont val="Calibri"/>
            <family val="2"/>
            <scheme val="minor"/>
          </rPr>
          <t>Diferença: data=nan | estados=MG_CULTURAVIVA_032024.pdf</t>
        </r>
      </text>
    </comment>
    <comment ref="B270" authorId="0" shapeId="0" xr:uid="{FA363A9C-7349-4E67-9864-789BE6EB996F}">
      <text>
        <r>
          <rPr>
            <sz val="11"/>
            <color theme="1"/>
            <rFont val="Calibri"/>
            <family val="2"/>
            <scheme val="minor"/>
          </rPr>
          <t>Diferença: data=nan | estados=MG_CULTURAVIVA_042024.pdf</t>
        </r>
      </text>
    </comment>
    <comment ref="B271" authorId="0" shapeId="0" xr:uid="{7BC6A331-FBA7-42E0-A03F-709BF390A65E}">
      <text>
        <r>
          <rPr>
            <sz val="11"/>
            <color theme="1"/>
            <rFont val="Calibri"/>
            <family val="2"/>
            <scheme val="minor"/>
          </rPr>
          <t>Diferença: data=nan | estados=MG_FOMENTO_052024.pdf</t>
        </r>
      </text>
    </comment>
    <comment ref="B272" authorId="0" shapeId="0" xr:uid="{B7758199-CF03-4220-84E3-D5A9516F3B84}">
      <text>
        <r>
          <rPr>
            <sz val="11"/>
            <color theme="1"/>
            <rFont val="Calibri"/>
            <family val="2"/>
            <scheme val="minor"/>
          </rPr>
          <t>Diferença: data=nan | estados=MG_FOMENTO_062024.pdf</t>
        </r>
      </text>
    </comment>
    <comment ref="F272" authorId="0" shapeId="0" xr:uid="{441CE325-90F5-4910-BC8E-092C93410250}">
      <text>
        <r>
          <rPr>
            <sz val="11"/>
            <color theme="1"/>
            <rFont val="Calibri"/>
            <family val="2"/>
            <scheme val="minor"/>
          </rPr>
          <t>Diferença: data=0.049 | estados=0.05</t>
        </r>
      </text>
    </comment>
    <comment ref="B273" authorId="0" shapeId="0" xr:uid="{E572F8F2-B89C-4EC1-9C23-E5562D302C3E}">
      <text>
        <r>
          <rPr>
            <sz val="11"/>
            <color theme="1"/>
            <rFont val="Calibri"/>
            <family val="2"/>
            <scheme val="minor"/>
          </rPr>
          <t>Diferença: data=nan | estados=MG_FOMENTO_072024.pdf</t>
        </r>
      </text>
    </comment>
    <comment ref="D273" authorId="0" shapeId="0" xr:uid="{B8BE98FE-C594-4598-BCE3-944A85B6E659}">
      <text>
        <r>
          <rPr>
            <sz val="11"/>
            <color theme="1"/>
            <rFont val="Calibri"/>
            <family val="2"/>
            <scheme val="minor"/>
          </rPr>
          <t>Diferença: data=0.2279 | estados=0.23</t>
        </r>
      </text>
    </comment>
    <comment ref="E273" authorId="0" shapeId="0" xr:uid="{6B9BB2E2-76C9-44F3-A140-419F94A1F3C6}">
      <text>
        <r>
          <rPr>
            <sz val="11"/>
            <color theme="1"/>
            <rFont val="Calibri"/>
            <family val="2"/>
            <scheme val="minor"/>
          </rPr>
          <t>Diferença: data=0.116 | estados=0.11</t>
        </r>
      </text>
    </comment>
    <comment ref="F273" authorId="0" shapeId="0" xr:uid="{B6648126-3099-49DC-BF44-1970D7084B94}">
      <text>
        <r>
          <rPr>
            <sz val="11"/>
            <color theme="1"/>
            <rFont val="Calibri"/>
            <family val="2"/>
            <scheme val="minor"/>
          </rPr>
          <t>Diferença: data=0.041 | estados=0.04</t>
        </r>
      </text>
    </comment>
    <comment ref="B274" authorId="0" shapeId="0" xr:uid="{ED4258D9-DD5E-462F-9275-8C96B85532D3}">
      <text>
        <r>
          <rPr>
            <sz val="11"/>
            <color theme="1"/>
            <rFont val="Calibri"/>
            <family val="2"/>
            <scheme val="minor"/>
          </rPr>
          <t>Diferença: data=nan | estados=MG_FOMENTO_082024.pdf</t>
        </r>
      </text>
    </comment>
    <comment ref="D274" authorId="0" shapeId="0" xr:uid="{483FFA75-4FE4-47EF-80A0-74F8015675C9}">
      <text>
        <r>
          <rPr>
            <sz val="11"/>
            <color theme="1"/>
            <rFont val="Calibri"/>
            <family val="2"/>
            <scheme val="minor"/>
          </rPr>
          <t>Diferença: data=0.241 | estados=0.25</t>
        </r>
      </text>
    </comment>
    <comment ref="E274" authorId="0" shapeId="0" xr:uid="{155FD815-7F34-404C-9B71-43AC603CEA77}">
      <text>
        <r>
          <rPr>
            <sz val="11"/>
            <color theme="1"/>
            <rFont val="Calibri"/>
            <family val="2"/>
            <scheme val="minor"/>
          </rPr>
          <t>Diferença: data=0.095 | estados=0.1</t>
        </r>
      </text>
    </comment>
    <comment ref="B275" authorId="0" shapeId="0" xr:uid="{38F58F91-1DF2-48F0-BF4A-ED594B3A3A3E}">
      <text>
        <r>
          <rPr>
            <sz val="11"/>
            <color theme="1"/>
            <rFont val="Calibri"/>
            <family val="2"/>
            <scheme val="minor"/>
          </rPr>
          <t>Diferença: data=nan | estados=MG_FOMENTO_102024.pdf</t>
        </r>
      </text>
    </comment>
    <comment ref="D275" authorId="0" shapeId="0" xr:uid="{E848CE9E-2A0A-4D65-BF95-CFB9D22A3095}">
      <text>
        <r>
          <rPr>
            <sz val="11"/>
            <color theme="1"/>
            <rFont val="Calibri"/>
            <family val="2"/>
            <scheme val="minor"/>
          </rPr>
          <t>Diferença: data=0.258 | estados=0.26</t>
        </r>
      </text>
    </comment>
    <comment ref="E275" authorId="0" shapeId="0" xr:uid="{101CC74A-6963-4C70-82B8-E70E68B5B082}">
      <text>
        <r>
          <rPr>
            <sz val="11"/>
            <color theme="1"/>
            <rFont val="Calibri"/>
            <family val="2"/>
            <scheme val="minor"/>
          </rPr>
          <t>Diferença: data=0.109 | estados=0.11</t>
        </r>
      </text>
    </comment>
    <comment ref="F275" authorId="0" shapeId="0" xr:uid="{F6C753F3-5B8B-4619-BF28-AE2A3566C343}">
      <text>
        <r>
          <rPr>
            <sz val="11"/>
            <color theme="1"/>
            <rFont val="Calibri"/>
            <family val="2"/>
            <scheme val="minor"/>
          </rPr>
          <t>Diferença: data=0.048 | estados=0.045</t>
        </r>
      </text>
    </comment>
    <comment ref="B276" authorId="0" shapeId="0" xr:uid="{7464518F-C589-46AE-B18C-19B495BE3EDE}">
      <text>
        <r>
          <rPr>
            <sz val="11"/>
            <color theme="1"/>
            <rFont val="Calibri"/>
            <family val="2"/>
            <scheme val="minor"/>
          </rPr>
          <t>Diferença: data=nan | estados=MG_FOMENTO_112024.pdf</t>
        </r>
      </text>
    </comment>
    <comment ref="B277" authorId="0" shapeId="0" xr:uid="{5C0BEF2A-E1F6-4C98-ADB2-E15C5B304597}">
      <text>
        <r>
          <rPr>
            <sz val="11"/>
            <color theme="1"/>
            <rFont val="Calibri"/>
            <family val="2"/>
            <scheme val="minor"/>
          </rPr>
          <t>Diferença: data=nan | estados=MG_PRÊMIO_022024.pdf</t>
        </r>
      </text>
    </comment>
    <comment ref="B278" authorId="0" shapeId="0" xr:uid="{56EBE711-4C63-42F6-86DD-BD69A772AE6D}">
      <text>
        <r>
          <rPr>
            <sz val="11"/>
            <color theme="1"/>
            <rFont val="Calibri"/>
            <family val="2"/>
            <scheme val="minor"/>
          </rPr>
          <t>Diferença: data=nan | estados=MG_SUBSÍDIO_092024.pdf</t>
        </r>
      </text>
    </comment>
    <comment ref="D278" authorId="0" shapeId="0" xr:uid="{E07936EB-C66A-4FB9-AC66-0D11615216C9}">
      <text>
        <r>
          <rPr>
            <sz val="11"/>
            <color theme="1"/>
            <rFont val="Calibri"/>
            <family val="2"/>
            <scheme val="minor"/>
          </rPr>
          <t>Diferença: data=0.257 | estados=0.26</t>
        </r>
      </text>
    </comment>
    <comment ref="F278" authorId="0" shapeId="0" xr:uid="{7DC6203D-3E53-4F38-8683-C9005D3C2EE8}">
      <text>
        <r>
          <rPr>
            <sz val="11"/>
            <color theme="1"/>
            <rFont val="Calibri"/>
            <family val="2"/>
            <scheme val="minor"/>
          </rPr>
          <t>Diferença: data=0.042 | estados=0.043</t>
        </r>
      </text>
    </comment>
    <comment ref="B279" authorId="0" shapeId="0" xr:uid="{CFC657C6-5995-4E77-92A8-7E756C8D2A0E}">
      <text>
        <r>
          <rPr>
            <sz val="11"/>
            <color theme="1"/>
            <rFont val="Calibri"/>
            <family val="2"/>
            <scheme val="minor"/>
          </rPr>
          <t>Diferença: data=nan | estados=2024-16_NATAL_CULTURAVIVA.pdf</t>
        </r>
      </text>
    </comment>
    <comment ref="B280" authorId="0" shapeId="0" xr:uid="{8D7A3BF1-9B35-49CA-8555-BF3FAFAC521A}">
      <text>
        <r>
          <rPr>
            <sz val="11"/>
            <color theme="1"/>
            <rFont val="Calibri"/>
            <family val="2"/>
            <scheme val="minor"/>
          </rPr>
          <t>Diferença: data=nan | estados=2024-10_NATAL_SUBSÍDIO.pdf.pdf</t>
        </r>
      </text>
    </comment>
    <comment ref="B281" authorId="0" shapeId="0" xr:uid="{B1AF2650-D944-414B-9DC3-32213B78A5A5}">
      <text>
        <r>
          <rPr>
            <sz val="11"/>
            <color theme="1"/>
            <rFont val="Calibri"/>
            <family val="2"/>
            <scheme val="minor"/>
          </rPr>
          <t>Diferença: data=nan | estados=2024-12_NATAL_FOMENTO.pdf.pdf</t>
        </r>
      </text>
    </comment>
    <comment ref="B282" authorId="0" shapeId="0" xr:uid="{FD161B61-7EAE-4B7E-ADCC-917ADBAF63D0}">
      <text>
        <r>
          <rPr>
            <sz val="11"/>
            <color theme="1"/>
            <rFont val="Calibri"/>
            <family val="2"/>
            <scheme val="minor"/>
          </rPr>
          <t>Diferença: data=nan | estados=2024-15_NATAL_CULTURAVIVA.pdf</t>
        </r>
      </text>
    </comment>
    <comment ref="B283" authorId="0" shapeId="0" xr:uid="{2DF36AD7-5D8F-4199-A490-DF857C4D8F3B}">
      <text>
        <r>
          <rPr>
            <sz val="11"/>
            <color theme="1"/>
            <rFont val="Calibri"/>
            <family val="2"/>
            <scheme val="minor"/>
          </rPr>
          <t>Diferença: data=nan | estados=2024-11_NATAL_PRÊMIO.pdf</t>
        </r>
      </text>
    </comment>
    <comment ref="B284" authorId="0" shapeId="0" xr:uid="{69EAA814-E526-4BB1-BCF9-6A3CE8652B25}">
      <text>
        <r>
          <rPr>
            <sz val="11"/>
            <color theme="1"/>
            <rFont val="Calibri"/>
            <family val="2"/>
            <scheme val="minor"/>
          </rPr>
          <t>Diferença: data=nan | estados=2024-08_NATAL_FOMENTO.pdf</t>
        </r>
      </text>
    </comment>
    <comment ref="B285" authorId="0" shapeId="0" xr:uid="{C1199A36-03A8-4AB8-95B6-4405B6BCF780}">
      <text>
        <r>
          <rPr>
            <sz val="11"/>
            <color theme="1"/>
            <rFont val="Calibri"/>
            <family val="2"/>
            <scheme val="minor"/>
          </rPr>
          <t>Diferença: data=nan | estados=2024-09_NATAL_BOLSA.pdf</t>
        </r>
      </text>
    </comment>
    <comment ref="B286" authorId="0" shapeId="0" xr:uid="{87A8EC31-E803-417A-8935-51784EBA9554}">
      <text>
        <r>
          <rPr>
            <sz val="11"/>
            <color theme="1"/>
            <rFont val="Calibri"/>
            <family val="2"/>
            <scheme val="minor"/>
          </rPr>
          <t>Diferença: data=nan | estados=2024-17_PALMAS_CULTURAVIVA.pdf</t>
        </r>
      </text>
    </comment>
    <comment ref="B287" authorId="0" shapeId="0" xr:uid="{F14ACE0F-C634-483A-9B63-381941E401F9}">
      <text>
        <r>
          <rPr>
            <sz val="11"/>
            <color theme="1"/>
            <rFont val="Calibri"/>
            <family val="2"/>
            <scheme val="minor"/>
          </rPr>
          <t>Diferença: data=nan | estados=2024-15_PALMAS_FOMENTO.pdf</t>
        </r>
      </text>
    </comment>
    <comment ref="B288" authorId="0" shapeId="0" xr:uid="{CB560BF9-BCFB-4E35-9EAF-AFC4827C71E2}">
      <text>
        <r>
          <rPr>
            <sz val="11"/>
            <color theme="1"/>
            <rFont val="Calibri"/>
            <family val="2"/>
            <scheme val="minor"/>
          </rPr>
          <t>Diferença: data=nan | estados=2024-16_PALMAS_FOMENTO.pdf</t>
        </r>
      </text>
    </comment>
    <comment ref="B289" authorId="0" shapeId="0" xr:uid="{0482A7B3-B2AA-4D0B-AD84-853AE1BBDFA3}">
      <text>
        <r>
          <rPr>
            <sz val="11"/>
            <color theme="1"/>
            <rFont val="Calibri"/>
            <family val="2"/>
            <scheme val="minor"/>
          </rPr>
          <t>Diferença: data=nan | estados=2024-18_PALMAS_CULTURAVIVA.pdf</t>
        </r>
      </text>
    </comment>
    <comment ref="B290" authorId="0" shapeId="0" xr:uid="{7C3A3DBB-0438-4D23-8824-267E14C48C7F}">
      <text>
        <r>
          <rPr>
            <sz val="11"/>
            <color theme="1"/>
            <rFont val="Calibri"/>
            <family val="2"/>
            <scheme val="minor"/>
          </rPr>
          <t>Diferença: data=nan | estados=2024-19_PALMAS_SUBSÍDIO.pdf</t>
        </r>
      </text>
    </comment>
    <comment ref="B291" authorId="0" shapeId="0" xr:uid="{60FFCB35-1119-4837-825F-7170961B6031}">
      <text>
        <r>
          <rPr>
            <sz val="11"/>
            <color theme="1"/>
            <rFont val="Calibri"/>
            <family val="2"/>
            <scheme val="minor"/>
          </rPr>
          <t>Diferença: data=nan | estados=PARÁ_CULTURA_VIVA_003.pdf</t>
        </r>
      </text>
    </comment>
    <comment ref="B292" authorId="0" shapeId="0" xr:uid="{4CD02F50-2377-46BE-B5A6-E7D5EFA11A02}">
      <text>
        <r>
          <rPr>
            <sz val="11"/>
            <color theme="1"/>
            <rFont val="Calibri"/>
            <family val="2"/>
            <scheme val="minor"/>
          </rPr>
          <t>Diferença: data=nan | estados=PARÁ_FOMENTO_002_2025.pdf</t>
        </r>
      </text>
    </comment>
    <comment ref="B293" authorId="0" shapeId="0" xr:uid="{B0EF8A59-5A7F-436C-A680-981CA16BBECB}">
      <text>
        <r>
          <rPr>
            <sz val="11"/>
            <color theme="1"/>
            <rFont val="Calibri"/>
            <family val="2"/>
            <scheme val="minor"/>
          </rPr>
          <t>Diferença: data=nan | estados=PARÁ_FOMENTO_004.pdf</t>
        </r>
      </text>
    </comment>
    <comment ref="B294" authorId="0" shapeId="0" xr:uid="{619A07FC-20EC-4139-ADD2-352214B8FA27}">
      <text>
        <r>
          <rPr>
            <sz val="11"/>
            <color theme="1"/>
            <rFont val="Calibri"/>
            <family val="2"/>
            <scheme val="minor"/>
          </rPr>
          <t>Diferença: data=nan | estados=PARÁ_FOMENTO_005.pdf</t>
        </r>
      </text>
    </comment>
    <comment ref="B295" authorId="0" shapeId="0" xr:uid="{EB467F41-1ADA-471F-8B1D-7BC6DC5D6AF4}">
      <text>
        <r>
          <rPr>
            <sz val="11"/>
            <color theme="1"/>
            <rFont val="Calibri"/>
            <family val="2"/>
            <scheme val="minor"/>
          </rPr>
          <t>Diferença: data=nan | estados=PARÁ_PREMIAÇÃO_006.pdf</t>
        </r>
      </text>
    </comment>
    <comment ref="B296" authorId="0" shapeId="0" xr:uid="{293070C5-AA8D-4007-A62D-E0CB2A40B228}">
      <text>
        <r>
          <rPr>
            <sz val="11"/>
            <color theme="1"/>
            <rFont val="Calibri"/>
            <family val="2"/>
            <scheme val="minor"/>
          </rPr>
          <t>Diferença: data=nan | estados=PARÁ_PREMIAÇÃO_008_2025.pdf</t>
        </r>
      </text>
    </comment>
    <comment ref="B297" authorId="0" shapeId="0" xr:uid="{82F92DA2-4929-4DA7-85AF-ADEE5A169FA3}">
      <text>
        <r>
          <rPr>
            <sz val="11"/>
            <color theme="1"/>
            <rFont val="Calibri"/>
            <family val="2"/>
            <scheme val="minor"/>
          </rPr>
          <t>Diferença: data=nan | estados=PARÁ_SUBSÍDIO_007.pdf</t>
        </r>
      </text>
    </comment>
    <comment ref="B298" authorId="0" shapeId="0" xr:uid="{D587A562-4C08-40DD-96C7-4922BC910D29}">
      <text>
        <r>
          <rPr>
            <sz val="11"/>
            <color theme="1"/>
            <rFont val="Calibri"/>
            <family val="2"/>
            <scheme val="minor"/>
          </rPr>
          <t>Diferença: data=nan | estados=PARAÍBA_CULTURA_VIVA_12.pdf</t>
        </r>
      </text>
    </comment>
    <comment ref="B299" authorId="0" shapeId="0" xr:uid="{A9618EC1-8678-4B72-BB37-9CD9CA1B15A3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estados=PARAÍBA_Edital_de_Bolsa_1.pdf</t>
        </r>
      </text>
    </comment>
    <comment ref="B300" authorId="0" shapeId="0" xr:uid="{B4BB0584-BC5B-46F0-BA62-5329824267F6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estados=PARAÍBA_Edital_de_Premiação_1.pdf</t>
        </r>
      </text>
    </comment>
    <comment ref="B301" authorId="0" shapeId="0" xr:uid="{B6D79650-EECD-496F-81AD-ACE89CBBB2FD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estados=PARAÍBA_Edital_de_Premiação_2.pdf</t>
        </r>
      </text>
    </comment>
    <comment ref="B302" authorId="0" shapeId="0" xr:uid="{1B008CB6-F366-43A9-9FAB-DD249ADABEEA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estados=PARAÍBA_Edital_de_Premiação_3.pdf</t>
        </r>
      </text>
    </comment>
    <comment ref="B303" authorId="0" shapeId="0" xr:uid="{BFD70919-92C8-42AB-87D1-684DC2D168E9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estados=PARAÍBA_Edital_de_Premiação_4.pdf</t>
        </r>
      </text>
    </comment>
    <comment ref="B304" authorId="0" shapeId="0" xr:uid="{9F8BD1A1-D685-4824-B228-9C9ADF02AE5A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estados=PARAÍBA_Edital_de_Premiação_7.pdf</t>
        </r>
      </text>
    </comment>
    <comment ref="D304" authorId="0" shapeId="0" xr:uid="{F6E1BE07-2484-471D-BF34-C2DC97F168A2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E304" authorId="0" shapeId="0" xr:uid="{DFD615A0-9E41-4F0C-9310-4D6582EF33A2}">
      <text>
        <r>
          <rPr>
            <sz val="11"/>
            <color theme="1"/>
            <rFont val="Calibri"/>
            <family val="2"/>
            <scheme val="minor"/>
          </rPr>
          <t>Diferença: data=0.0 | estados=1</t>
        </r>
      </text>
    </comment>
    <comment ref="B305" authorId="0" shapeId="0" xr:uid="{9ED1F0DB-9C0D-4779-A8DC-FD9984263D27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estados=PARAÍBA_Edital_de_Premiação_8.pdf</t>
        </r>
      </text>
    </comment>
    <comment ref="B306" authorId="0" shapeId="0" xr:uid="{2717CB36-1900-4264-825D-DC425A6A2FE6}">
      <text>
        <r>
          <rPr>
            <sz val="11"/>
            <color theme="1"/>
            <rFont val="Calibri"/>
            <family val="2"/>
            <scheme val="minor"/>
          </rPr>
          <t>Diferença: data=nan | estados=PARAÍBA_FOMENTO_ 0013.pdf</t>
        </r>
      </text>
    </comment>
    <comment ref="B307" authorId="0" shapeId="0" xr:uid="{34424F51-B365-4F6F-8716-198B969E021F}">
      <text>
        <r>
          <rPr>
            <sz val="11"/>
            <color theme="1"/>
            <rFont val="Calibri"/>
            <family val="2"/>
            <scheme val="minor"/>
          </rPr>
          <t>Diferença: data=nan | estados=PARAÍBA_FOMENTO_014.pdf</t>
        </r>
      </text>
    </comment>
    <comment ref="B308" authorId="0" shapeId="0" xr:uid="{3EAA1331-1BD6-4877-82AC-A6FBBECAD0E5}">
      <text>
        <r>
          <rPr>
            <sz val="11"/>
            <color theme="1"/>
            <rFont val="Calibri"/>
            <family val="2"/>
            <scheme val="minor"/>
          </rPr>
          <t>Diferença: data=nan | estados=PARAÍBA_PREMIAÇÃO CULTURAL_009.pdf</t>
        </r>
      </text>
    </comment>
    <comment ref="B309" authorId="0" shapeId="0" xr:uid="{023D4BCD-012E-4605-A841-4BF4A152C07C}">
      <text>
        <r>
          <rPr>
            <sz val="11"/>
            <color theme="1"/>
            <rFont val="Calibri"/>
            <family val="2"/>
            <scheme val="minor"/>
          </rPr>
          <t>Diferença: data=nan | estados=PARAÍBA_PREMIAÇÃO_0018.pdf</t>
        </r>
      </text>
    </comment>
    <comment ref="B310" authorId="0" shapeId="0" xr:uid="{86FCCB1C-B3DF-4D3A-8B35-595F79E9E8BB}">
      <text>
        <r>
          <rPr>
            <sz val="11"/>
            <color theme="1"/>
            <rFont val="Calibri"/>
            <family val="2"/>
            <scheme val="minor"/>
          </rPr>
          <t>Diferença: data=nan | estados=PARAÍBA_PREMIAÇÃO_011.pdf</t>
        </r>
      </text>
    </comment>
    <comment ref="B311" authorId="0" shapeId="0" xr:uid="{835AE9B6-2350-42A3-B389-8D97E36C7965}">
      <text>
        <r>
          <rPr>
            <sz val="11"/>
            <color theme="1"/>
            <rFont val="Calibri"/>
            <family val="2"/>
            <scheme val="minor"/>
          </rPr>
          <t>Diferença: data=nan | estados=PARAÍBA_PREMIAÇÃO_10.pdf</t>
        </r>
      </text>
    </comment>
    <comment ref="B314" authorId="0" shapeId="0" xr:uid="{A7F49D9C-98D8-4A3E-9C75-7068A6B18D6D}">
      <text>
        <r>
          <rPr>
            <sz val="11"/>
            <color theme="1"/>
            <rFont val="Calibri"/>
            <family val="2"/>
            <scheme val="minor"/>
          </rPr>
          <t>Diferença: data=nan | estados=PARANÁ_CULTURA_VIVA_002.pdf</t>
        </r>
      </text>
    </comment>
    <comment ref="B315" authorId="0" shapeId="0" xr:uid="{FC09270D-7384-47F7-84C6-392C3749F7FF}">
      <text>
        <r>
          <rPr>
            <sz val="11"/>
            <color theme="1"/>
            <rFont val="Calibri"/>
            <family val="2"/>
            <scheme val="minor"/>
          </rPr>
          <t>Diferença: data=nan | estados=PARANÁ_CULTURA_VIVA_004.pdf</t>
        </r>
      </text>
    </comment>
    <comment ref="B316" authorId="0" shapeId="0" xr:uid="{30384162-9244-4908-91E6-76893A8A34A9}">
      <text>
        <r>
          <rPr>
            <sz val="11"/>
            <color theme="1"/>
            <rFont val="Calibri"/>
            <family val="2"/>
            <scheme val="minor"/>
          </rPr>
          <t>Diferença: data=nan | estados=PARANÁ_CULTURA_VIVA_006.pdf</t>
        </r>
      </text>
    </comment>
    <comment ref="B317" authorId="1" shapeId="0" xr:uid="{5BEDEE46-86C5-48DF-92A9-3AD83207D1BD}">
      <text>
        <r>
          <rPr>
            <sz val="11"/>
            <color theme="1"/>
            <rFont val="Calibri"/>
            <scheme val="minor"/>
          </rPr>
          <t>======
ID#AAABycWSoa0
copilot    (2026-01-09 16:24:46)
Diferença: data=nan | estados=PARANÁ_FOMENTO_001.pdf</t>
        </r>
      </text>
    </comment>
    <comment ref="B318" authorId="0" shapeId="0" xr:uid="{A39C4BD4-C62C-46A4-9EC5-C63D06424301}">
      <text>
        <r>
          <rPr>
            <sz val="11"/>
            <color theme="1"/>
            <rFont val="Calibri"/>
            <family val="2"/>
            <scheme val="minor"/>
          </rPr>
          <t>Diferença: data=nan | estados=PARANÁ_FOMENTO_0022.pdf</t>
        </r>
      </text>
    </comment>
    <comment ref="B319" authorId="1" shapeId="0" xr:uid="{E63DCADF-BBB8-433F-AA23-1B238C69CEC8}">
      <text>
        <r>
          <rPr>
            <sz val="11"/>
            <color theme="1"/>
            <rFont val="Calibri"/>
            <scheme val="minor"/>
          </rPr>
          <t>======
ID#AAABycWSoaQ
copilot    (2026-01-09 16:24:46)
Diferença: data=nan | estados=PARANÁ_FOMENTO_1233.pdf</t>
        </r>
      </text>
    </comment>
    <comment ref="B320" authorId="0" shapeId="0" xr:uid="{E962651A-83AB-4443-AE6E-FF9F96A6A000}">
      <text>
        <r>
          <rPr>
            <sz val="11"/>
            <color theme="1"/>
            <rFont val="Calibri"/>
            <family val="2"/>
            <scheme val="minor"/>
          </rPr>
          <t>Diferença: data=nan | estados=PARANÁ_PREMIO_02.pdf</t>
        </r>
      </text>
    </comment>
    <comment ref="B321" authorId="0" shapeId="0" xr:uid="{916A0BCA-4BA7-4E3D-A73E-43B5B1889516}">
      <text>
        <r>
          <rPr>
            <sz val="11"/>
            <color theme="1"/>
            <rFont val="Calibri"/>
            <family val="2"/>
            <scheme val="minor"/>
          </rPr>
          <t>Diferença: data=nan | estados=PARANÁ_SUBISIDIO_008.pdf</t>
        </r>
      </text>
    </comment>
    <comment ref="B322" authorId="0" shapeId="0" xr:uid="{BA68FDE7-672A-412D-981D-D64CE3E7AC1D}">
      <text>
        <r>
          <rPr>
            <sz val="11"/>
            <color theme="1"/>
            <rFont val="Calibri"/>
            <family val="2"/>
            <scheme val="minor"/>
          </rPr>
          <t>Diferença: data=nan | estados=PARANÁ_SUBSÍDIO_X.pdf</t>
        </r>
      </text>
    </comment>
    <comment ref="B323" authorId="0" shapeId="0" xr:uid="{A9FDCD23-F501-45A2-A061-07B5FF9E7702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estados=PERNAMBUCO_Edital_de_Bolsas_1.pdf</t>
        </r>
      </text>
    </comment>
    <comment ref="B324" authorId="0" shapeId="0" xr:uid="{2A4677CF-D510-4E1D-9AC7-3C66FE5FF005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estados=PERNAMBUCO_Edital_de_Fomento_1.pdf</t>
        </r>
      </text>
    </comment>
    <comment ref="B325" authorId="0" shapeId="0" xr:uid="{D6C0DC7E-4582-4FF9-99B5-A2508CFE7F8A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estados=PERNAMBUCO_Edital_de_Premiação_1.pdf</t>
        </r>
      </text>
    </comment>
    <comment ref="B326" authorId="0" shapeId="0" xr:uid="{23C6B19D-AB06-4568-A8A9-71064D7F8D04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estados=PERNAMBUCO_Edital_de_Premiação_3.pdf</t>
        </r>
      </text>
    </comment>
    <comment ref="B327" authorId="0" shapeId="0" xr:uid="{200ABB87-2605-497E-9C99-64BD125C4B6A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estados=PERNAMBUCO_Edital_de_Premiação_5.pdf</t>
        </r>
      </text>
    </comment>
    <comment ref="B330" authorId="0" shapeId="0" xr:uid="{188ACAA7-D0CB-4F91-B785-E6EA96531A14}">
      <text>
        <r>
          <rPr>
            <sz val="11"/>
            <color theme="1"/>
            <rFont val="Calibri"/>
            <family val="2"/>
            <scheme val="minor"/>
          </rPr>
          <t>Diferença: data=nan | estados=PIAUÍ_Edital_de_Fomento_1.pdf</t>
        </r>
      </text>
    </comment>
    <comment ref="B331" authorId="0" shapeId="0" xr:uid="{B2CB7B5D-50DF-45D7-9BD5-AEBC63EF9B28}">
      <text>
        <r>
          <rPr>
            <sz val="11"/>
            <color theme="1"/>
            <rFont val="Calibri"/>
            <family val="2"/>
            <scheme val="minor"/>
          </rPr>
          <t>Diferença: data=nan | estados=PIAUÍ_Edital_de_Fomento_2.pdf</t>
        </r>
      </text>
    </comment>
    <comment ref="B332" authorId="0" shapeId="0" xr:uid="{3C058ED9-BC97-4605-BFF3-740A8EAB7263}">
      <text>
        <r>
          <rPr>
            <sz val="11"/>
            <color theme="1"/>
            <rFont val="Calibri"/>
            <family val="2"/>
            <scheme val="minor"/>
          </rPr>
          <t>Diferença: data=nan | estados=PIAUÍ_Edital_de_Premiação_1.pdf</t>
        </r>
      </text>
    </comment>
    <comment ref="B335" authorId="0" shapeId="0" xr:uid="{61D8E849-B2C1-418E-A667-571C75C08338}">
      <text>
        <r>
          <rPr>
            <sz val="11"/>
            <color theme="1"/>
            <rFont val="Calibri"/>
            <family val="2"/>
            <scheme val="minor"/>
          </rPr>
          <t>Diferença: data=nan | estados=2024-05_PORTOALEGRE_PRÊMIO.pdf</t>
        </r>
      </text>
    </comment>
    <comment ref="B336" authorId="0" shapeId="0" xr:uid="{D835D67C-CA1C-4041-8625-0E099473B34C}">
      <text>
        <r>
          <rPr>
            <sz val="11"/>
            <color theme="1"/>
            <rFont val="Calibri"/>
            <family val="2"/>
            <scheme val="minor"/>
          </rPr>
          <t>Diferença: data=nan | estados=2024-02_PORTOALEGRE_PRÊMIO.pdf</t>
        </r>
      </text>
    </comment>
    <comment ref="B337" authorId="0" shapeId="0" xr:uid="{90E3F22F-A10A-4719-BDD5-D99CB02ADFA2}">
      <text>
        <r>
          <rPr>
            <sz val="11"/>
            <color theme="1"/>
            <rFont val="Calibri"/>
            <family val="2"/>
            <scheme val="minor"/>
          </rPr>
          <t>Diferença: data=nan | estados=2024-03_PORTOALEGRE_CULTURAVIVA.pdf</t>
        </r>
      </text>
    </comment>
    <comment ref="B338" authorId="0" shapeId="0" xr:uid="{39B2F663-7610-45BE-AE16-BE3F70ABE515}">
      <text>
        <r>
          <rPr>
            <sz val="11"/>
            <color theme="1"/>
            <rFont val="Calibri"/>
            <family val="2"/>
            <scheme val="minor"/>
          </rPr>
          <t>Diferença: data=nan | estados=2024-04_PORTOALEGRE_PRÊMIO.pdf.pdf</t>
        </r>
      </text>
    </comment>
    <comment ref="B339" authorId="0" shapeId="0" xr:uid="{EB396A44-1E73-4F54-AA1D-236A40F3EA88}">
      <text>
        <r>
          <rPr>
            <sz val="11"/>
            <color theme="1"/>
            <rFont val="Calibri"/>
            <family val="2"/>
            <scheme val="minor"/>
          </rPr>
          <t>Diferença: data=nan | estados=2025-01_PORTOALEGRE_CULTURAVIVA.pdf</t>
        </r>
      </text>
    </comment>
    <comment ref="B340" authorId="0" shapeId="0" xr:uid="{7C3A6269-DCC6-4054-99BE-51783E108BBC}">
      <text>
        <r>
          <rPr>
            <sz val="11"/>
            <color theme="1"/>
            <rFont val="Calibri"/>
            <family val="2"/>
            <scheme val="minor"/>
          </rPr>
          <t>Diferença: data=nan | estados=2025-08_PORTOVELHO_FOMENTO.pdf</t>
        </r>
      </text>
    </comment>
    <comment ref="B341" authorId="0" shapeId="0" xr:uid="{2F719D56-9219-48A6-BDB8-E413921C82FA}">
      <text>
        <r>
          <rPr>
            <sz val="11"/>
            <color theme="1"/>
            <rFont val="Calibri"/>
            <family val="2"/>
            <scheme val="minor"/>
          </rPr>
          <t>Diferença: data=nan | estados=2025-07_PORTOVELHO_CULTURAVIVA.pdf</t>
        </r>
      </text>
    </comment>
    <comment ref="B342" authorId="0" shapeId="0" xr:uid="{45AB06C5-324E-4C53-B6C5-53BE60AD12F5}">
      <text>
        <r>
          <rPr>
            <sz val="11"/>
            <color theme="1"/>
            <rFont val="Calibri"/>
            <family val="2"/>
            <scheme val="minor"/>
          </rPr>
          <t>Diferença: data=nan | estados=2025-05_PORTOVELHO_CULTURAVIVA.pdf</t>
        </r>
      </text>
    </comment>
    <comment ref="B343" authorId="0" shapeId="0" xr:uid="{705700E0-8DCE-4255-B43E-E84E54CD743E}">
      <text>
        <r>
          <rPr>
            <sz val="11"/>
            <color theme="1"/>
            <rFont val="Calibri"/>
            <family val="2"/>
            <scheme val="minor"/>
          </rPr>
          <t>Diferença: data=nan | estados=2025-06_PORTOVELHO_SUBSÍDIO.pdf</t>
        </r>
      </text>
    </comment>
    <comment ref="B344" authorId="0" shapeId="0" xr:uid="{7F0EC152-823B-4D0D-8B61-A89681D1A134}">
      <text>
        <r>
          <rPr>
            <sz val="11"/>
            <color theme="1"/>
            <rFont val="Calibri"/>
            <family val="2"/>
            <scheme val="minor"/>
          </rPr>
          <t>Diferença: data=nan | estados=2024-01_RECIFE_FOMENTO.pdf</t>
        </r>
      </text>
    </comment>
    <comment ref="B345" authorId="0" shapeId="0" xr:uid="{700D9E47-DE79-4624-AB9F-4B3771A04D52}">
      <text>
        <r>
          <rPr>
            <sz val="11"/>
            <color theme="1"/>
            <rFont val="Calibri"/>
            <family val="2"/>
            <scheme val="minor"/>
          </rPr>
          <t>Diferença: data=nan | estados=2024-02_RECIFE_FOMENTO.pdf.pdf</t>
        </r>
      </text>
    </comment>
    <comment ref="B346" authorId="0" shapeId="0" xr:uid="{733DEA3A-45E6-402C-9932-2D1CD722AF59}">
      <text>
        <r>
          <rPr>
            <sz val="11"/>
            <color theme="1"/>
            <rFont val="Calibri"/>
            <family val="2"/>
            <scheme val="minor"/>
          </rPr>
          <t>Diferença: data=nan | estados=2025-01_RECIFE_CULTURAVIVA.pdf.pdf</t>
        </r>
      </text>
    </comment>
    <comment ref="B347" authorId="0" shapeId="0" xr:uid="{3383DEE6-CC55-408C-95DD-4265373A3C7D}">
      <text>
        <r>
          <rPr>
            <sz val="11"/>
            <color theme="1"/>
            <rFont val="Calibri"/>
            <family val="2"/>
            <scheme val="minor"/>
          </rPr>
          <t>Diferença: data=nan | estados=2024-03_RECIFE_FOMENTO.pdf.pdf</t>
        </r>
      </text>
    </comment>
    <comment ref="B348" authorId="0" shapeId="0" xr:uid="{863499F3-C969-46BE-B7CC-6FCCFA6FE577}">
      <text>
        <r>
          <rPr>
            <sz val="11"/>
            <color theme="1"/>
            <rFont val="Calibri"/>
            <family val="2"/>
            <scheme val="minor"/>
          </rPr>
          <t>Diferença: data=nan | estados=2024-06_RIOBRANCO_BOLSA.pdf</t>
        </r>
      </text>
    </comment>
    <comment ref="B349" authorId="0" shapeId="0" xr:uid="{B2F189AE-71D3-4A8A-B422-0031C40A6C87}">
      <text>
        <r>
          <rPr>
            <sz val="11"/>
            <color theme="1"/>
            <rFont val="Calibri"/>
            <family val="2"/>
            <scheme val="minor"/>
          </rPr>
          <t>Diferença: data=nan | estados=2024-08_RIOBRANCO_FOMENTO.pdf</t>
        </r>
      </text>
    </comment>
    <comment ref="D349" authorId="0" shapeId="0" xr:uid="{991C86B8-A8C4-44BC-8F3C-5E7E845F3D26}">
      <text>
        <r>
          <rPr>
            <sz val="11"/>
            <color theme="1"/>
            <rFont val="Calibri"/>
            <family val="2"/>
            <scheme val="minor"/>
          </rPr>
          <t>Diferença: data=0.26 | estados=0.2</t>
        </r>
      </text>
    </comment>
    <comment ref="B350" authorId="0" shapeId="0" xr:uid="{8D592AEB-81F5-4106-B913-6E493D630B9E}">
      <text>
        <r>
          <rPr>
            <sz val="11"/>
            <color theme="1"/>
            <rFont val="Calibri"/>
            <family val="2"/>
            <scheme val="minor"/>
          </rPr>
          <t>Diferença: data=nan | estados=2024-11_RIOBRANCO_CULTURAVIVA.pdf</t>
        </r>
      </text>
    </comment>
    <comment ref="B351" authorId="0" shapeId="0" xr:uid="{39A5A934-BEB1-4A82-8193-756015772855}">
      <text>
        <r>
          <rPr>
            <sz val="11"/>
            <color theme="1"/>
            <rFont val="Calibri"/>
            <family val="2"/>
            <scheme val="minor"/>
          </rPr>
          <t>Diferença: data=nan | estados=2024-09_RIOBRANCO_PRÊMIO.pdf</t>
        </r>
      </text>
    </comment>
    <comment ref="D351" authorId="0" shapeId="0" xr:uid="{11D47604-C648-48F5-8F3B-CC1971FC6B3C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F351" authorId="0" shapeId="0" xr:uid="{66190C0E-CB89-4DA5-A628-32A2088D295B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B352" authorId="0" shapeId="0" xr:uid="{DD5B417F-A2DE-487D-9AE1-864DF14A6821}">
      <text>
        <r>
          <rPr>
            <sz val="11"/>
            <color theme="1"/>
            <rFont val="Calibri"/>
            <family val="2"/>
            <scheme val="minor"/>
          </rPr>
          <t>Diferença: data=nan | estados=2024-10_RIOBRANCO_PRÊMIO.pdf</t>
        </r>
      </text>
    </comment>
    <comment ref="B353" authorId="0" shapeId="0" xr:uid="{993B5288-E18A-4488-A358-E4ADDBD327ED}">
      <text>
        <r>
          <rPr>
            <sz val="11"/>
            <color theme="1"/>
            <rFont val="Calibri"/>
            <family val="2"/>
            <scheme val="minor"/>
          </rPr>
          <t>Diferença: data=nan | estados=2025-01_RIOBRANCO_CULTURAVIVA.pdf</t>
        </r>
      </text>
    </comment>
    <comment ref="B354" authorId="0" shapeId="0" xr:uid="{608A1029-1613-4986-865F-565008ACFFF0}">
      <text>
        <r>
          <rPr>
            <sz val="11"/>
            <color theme="1"/>
            <rFont val="Calibri"/>
            <family val="2"/>
            <scheme val="minor"/>
          </rPr>
          <t>Diferença: data=nan | estados=2024-07_RIOBRANCO_FOMENTO.pdf</t>
        </r>
      </text>
    </comment>
    <comment ref="B355" authorId="0" shapeId="0" xr:uid="{D7D9A3CE-C718-4ECF-AF2E-4DE31EC3386D}">
      <text>
        <r>
          <rPr>
            <sz val="11"/>
            <color theme="1"/>
            <rFont val="Calibri"/>
            <family val="2"/>
            <scheme val="minor"/>
          </rPr>
          <t>Diferença: data=nan | estados=RIO DE JANEIRO_CULTURA VIVA_2.pdf</t>
        </r>
      </text>
    </comment>
    <comment ref="B356" authorId="0" shapeId="0" xr:uid="{375AFD15-BBCC-42A6-9CC4-2701C6ED9675}">
      <text>
        <r>
          <rPr>
            <sz val="11"/>
            <color theme="1"/>
            <rFont val="Calibri"/>
            <family val="2"/>
            <scheme val="minor"/>
          </rPr>
          <t>Diferença: data=nan | estados=RIO DE JANEIRO_CULTURA_VIVA.pdf</t>
        </r>
      </text>
    </comment>
    <comment ref="B357" authorId="0" shapeId="0" xr:uid="{275029E4-516D-4F1F-866E-16C9690E0078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JANEIRO_Edital_de_Fomento_1.pdf</t>
        </r>
      </text>
    </comment>
    <comment ref="B358" authorId="0" shapeId="0" xr:uid="{493B398F-64B3-4E4B-93AC-C05E56EA4D8D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JANEIRO_Edital_de_Fomento_2.pdf</t>
        </r>
      </text>
    </comment>
    <comment ref="B359" authorId="0" shapeId="0" xr:uid="{C122768F-843F-4E2C-8DED-B0974087F17A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JANEIRO_Edital_de_Fomento_3.pdf</t>
        </r>
      </text>
    </comment>
    <comment ref="B360" authorId="0" shapeId="0" xr:uid="{EF4D2C96-592B-4EC6-A485-0529CBB81E06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JANEIRO_Edital_de_Fomento_4.pdf</t>
        </r>
      </text>
    </comment>
    <comment ref="B361" authorId="0" shapeId="0" xr:uid="{F7ABC805-8BE0-472A-B2CC-761E0412449F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JANEIRO_Edital_de_Fomento_5.pdf</t>
        </r>
      </text>
    </comment>
    <comment ref="B362" authorId="0" shapeId="0" xr:uid="{CEA72718-5A4C-469B-9C36-2B1F95DFC34C}">
      <text>
        <r>
          <rPr>
            <sz val="11"/>
            <color theme="1"/>
            <rFont val="Calibri"/>
            <family val="2"/>
            <scheme val="minor"/>
          </rPr>
          <t>Diferença: data=nan | estados=2024-07_RIODEJANEIRO_CULTURAVIVA.pdf</t>
        </r>
      </text>
    </comment>
    <comment ref="B363" authorId="0" shapeId="0" xr:uid="{1FB35BF9-D083-487E-B1EB-853D825F935B}">
      <text>
        <r>
          <rPr>
            <sz val="11"/>
            <color theme="1"/>
            <rFont val="Calibri"/>
            <family val="2"/>
            <scheme val="minor"/>
          </rPr>
          <t>Diferença: data=nan | estados=2023-07_RIODEJANEIRO_FOMENTO.pdf</t>
        </r>
      </text>
    </comment>
    <comment ref="F363" authorId="0" shapeId="0" xr:uid="{B580CD01-EDA4-4C37-BF33-0C9AEE7237D6}">
      <text>
        <r>
          <rPr>
            <sz val="11"/>
            <color theme="1"/>
            <rFont val="Calibri"/>
            <family val="2"/>
            <scheme val="minor"/>
          </rPr>
          <t>Diferença: data=0.07 | estados=0.05</t>
        </r>
      </text>
    </comment>
    <comment ref="B364" authorId="0" shapeId="0" xr:uid="{011B236C-95A0-432D-B87B-1CE687C1BD00}">
      <text>
        <r>
          <rPr>
            <sz val="11"/>
            <color theme="1"/>
            <rFont val="Calibri"/>
            <family val="2"/>
            <scheme val="minor"/>
          </rPr>
          <t>Diferença: data=nan | estados=2024-06_RIODEJANEIRO_CULTURAVIVA.pdf</t>
        </r>
      </text>
    </comment>
    <comment ref="B365" authorId="0" shapeId="0" xr:uid="{425607E8-1061-40C8-B703-0F9FBEB5550E}">
      <text>
        <r>
          <rPr>
            <sz val="11"/>
            <color theme="1"/>
            <rFont val="Calibri"/>
            <family val="2"/>
            <scheme val="minor"/>
          </rPr>
          <t>Diferença: data=nan | estados=2024-11_RIODEJANEIRO_CULTURAVIVA.pdf</t>
        </r>
      </text>
    </comment>
    <comment ref="B366" authorId="0" shapeId="0" xr:uid="{6E899B26-8501-438C-886D-6516BDAD88BC}">
      <text>
        <r>
          <rPr>
            <sz val="11"/>
            <color theme="1"/>
            <rFont val="Calibri"/>
            <family val="2"/>
            <scheme val="minor"/>
          </rPr>
          <t>Diferença: data=nan | estados=2024-12_RIODEJANEIRO_FOMENTO.pdf</t>
        </r>
      </text>
    </comment>
    <comment ref="B367" authorId="0" shapeId="0" xr:uid="{7214A3D2-EC6E-4E66-AC39-A11246F5E0BE}">
      <text>
        <r>
          <rPr>
            <sz val="11"/>
            <color theme="1"/>
            <rFont val="Calibri"/>
            <family val="2"/>
            <scheme val="minor"/>
          </rPr>
          <t>Diferença: data=nan | estados=2024-13_RIODEJANEIRO_FOMENTO.pdf</t>
        </r>
      </text>
    </comment>
    <comment ref="B390" authorId="0" shapeId="0" xr:uid="{12404D41-740D-46F0-BE47-D1BFD7EDEAC4}">
      <text>
        <r>
          <rPr>
            <sz val="11"/>
            <color theme="1"/>
            <rFont val="Calibri"/>
            <family val="2"/>
            <scheme val="minor"/>
          </rPr>
          <t>Diferença: data=nan | estados=RIO GRANDE DO SUL_Edital_de_Fomento_2.pdf</t>
        </r>
      </text>
    </comment>
    <comment ref="B391" authorId="0" shapeId="0" xr:uid="{8FA37D01-9A2E-4FC5-864B-89E7DE8A5D6A}">
      <text>
        <r>
          <rPr>
            <sz val="11"/>
            <color theme="1"/>
            <rFont val="Calibri"/>
            <family val="2"/>
            <scheme val="minor"/>
          </rPr>
          <t>Diferença: data=nan | estados=RIO GRANDE DO SUL_Edital_de_Fomento_4.pdf</t>
        </r>
      </text>
    </comment>
    <comment ref="B407" authorId="0" shapeId="0" xr:uid="{CC898F1C-9A84-443E-9F81-02D3469EA0B7}">
      <text>
        <r>
          <rPr>
            <sz val="11"/>
            <color theme="1"/>
            <rFont val="Calibri"/>
            <family val="2"/>
            <scheme val="minor"/>
          </rPr>
          <t>Diferença: data=nan | estados=2024-09_SALVADOR_FOMENTO.pdf</t>
        </r>
      </text>
    </comment>
    <comment ref="B408" authorId="0" shapeId="0" xr:uid="{3A1C29A3-4D70-4D3D-8536-20D7FE1ED606}">
      <text>
        <r>
          <rPr>
            <sz val="11"/>
            <color theme="1"/>
            <rFont val="Calibri"/>
            <family val="2"/>
            <scheme val="minor"/>
          </rPr>
          <t>Diferença: data=nan | estados=2025-01_SALVADOR_FOMENTO.pdf</t>
        </r>
      </text>
    </comment>
    <comment ref="B409" authorId="0" shapeId="0" xr:uid="{A21C7CCB-BD7B-4E2A-B886-EDFBAEBD9652}">
      <text>
        <r>
          <rPr>
            <sz val="11"/>
            <color theme="1"/>
            <rFont val="Calibri"/>
            <family val="2"/>
            <scheme val="minor"/>
          </rPr>
          <t>Diferença: data=nan | estados=2024-03_SALVADOR_FOMENTO.pdf</t>
        </r>
      </text>
    </comment>
    <comment ref="B410" authorId="0" shapeId="0" xr:uid="{F9577A3B-2871-48C2-824C-B5678216C5E0}">
      <text>
        <r>
          <rPr>
            <sz val="11"/>
            <color theme="1"/>
            <rFont val="Calibri"/>
            <family val="2"/>
            <scheme val="minor"/>
          </rPr>
          <t>Diferença: data=nan | estados=2024-04_SALVADOR_BOLSA.pdf</t>
        </r>
      </text>
    </comment>
    <comment ref="B411" authorId="0" shapeId="0" xr:uid="{5CE8D235-DA17-4CB3-BE40-F0EC1DBE7A7E}">
      <text>
        <r>
          <rPr>
            <sz val="11"/>
            <color theme="1"/>
            <rFont val="Calibri"/>
            <family val="2"/>
            <scheme val="minor"/>
          </rPr>
          <t>Diferença: data=nan | estados=2024-07_SALVADOR_FOMENTO.pdf</t>
        </r>
      </text>
    </comment>
    <comment ref="B412" authorId="0" shapeId="0" xr:uid="{BCAD522B-EFE3-49B3-993A-2FC337766176}">
      <text>
        <r>
          <rPr>
            <sz val="11"/>
            <color theme="1"/>
            <rFont val="Calibri"/>
            <family val="2"/>
            <scheme val="minor"/>
          </rPr>
          <t>Diferença: data=nan | estados=2024-08_SALVADOR_SUBSÍDIO.pdf</t>
        </r>
      </text>
    </comment>
    <comment ref="B413" authorId="0" shapeId="0" xr:uid="{59B53DF2-4845-4BB0-89D3-8FC897D9073B}">
      <text>
        <r>
          <rPr>
            <sz val="11"/>
            <color theme="1"/>
            <rFont val="Calibri"/>
            <family val="2"/>
            <scheme val="minor"/>
          </rPr>
          <t>Diferença: data=nan | estados=2025-02_SALVADOR_CULTURAVIVA.pdf</t>
        </r>
      </text>
    </comment>
    <comment ref="B414" authorId="0" shapeId="0" xr:uid="{41E3C273-2E2E-49A5-BDCC-4AEC32CCCA86}">
      <text>
        <r>
          <rPr>
            <sz val="11"/>
            <color theme="1"/>
            <rFont val="Calibri"/>
            <family val="2"/>
            <scheme val="minor"/>
          </rPr>
          <t>Diferença: data=nan | estados=2024-10_SALVADOR_FOMENTO.pdf</t>
        </r>
      </text>
    </comment>
    <comment ref="B415" authorId="0" shapeId="0" xr:uid="{6736B8D0-07E0-483C-9D7F-8CD4339A8FE3}">
      <text>
        <r>
          <rPr>
            <sz val="11"/>
            <color theme="1"/>
            <rFont val="Calibri"/>
            <family val="2"/>
            <scheme val="minor"/>
          </rPr>
          <t>Diferença: data=nan | estados=2024-05_SALVADOR_FOMENTO.pdf</t>
        </r>
      </text>
    </comment>
    <comment ref="B416" authorId="0" shapeId="0" xr:uid="{92519066-86C5-4C97-8E3F-D53F4C7291CE}">
      <text>
        <r>
          <rPr>
            <sz val="11"/>
            <color theme="1"/>
            <rFont val="Calibri"/>
            <family val="2"/>
            <scheme val="minor"/>
          </rPr>
          <t>Diferença: data=nan | estados=SANTA CATARINA_Cultura Viva.pdf</t>
        </r>
      </text>
    </comment>
    <comment ref="B417" authorId="0" shapeId="0" xr:uid="{A330C73E-02B7-4CDB-846A-B21A10F8746B}">
      <text>
        <r>
          <rPr>
            <sz val="11"/>
            <color theme="1"/>
            <rFont val="Calibri"/>
            <family val="2"/>
            <scheme val="minor"/>
          </rPr>
          <t>Diferença: data=nan | estados=SANTA CATARINA_CULTURA_VIVA_02.pdf</t>
        </r>
      </text>
    </comment>
    <comment ref="B418" authorId="0" shapeId="0" xr:uid="{A063375C-2BC6-4FC4-A238-2E0EE7771ED3}">
      <text>
        <r>
          <rPr>
            <sz val="11"/>
            <color theme="1"/>
            <rFont val="Calibri"/>
            <family val="2"/>
            <scheme val="minor"/>
          </rPr>
          <t>Diferença: data=nan | estados=SANTA CATARINA_FOMENTO_435.pdf</t>
        </r>
      </text>
    </comment>
    <comment ref="B419" authorId="0" shapeId="0" xr:uid="{8E9DF0E8-6049-44B0-B1C7-01061A44C252}">
      <text>
        <r>
          <rPr>
            <sz val="11"/>
            <color theme="1"/>
            <rFont val="Calibri"/>
            <family val="2"/>
            <scheme val="minor"/>
          </rPr>
          <t>Diferença: data=nan | estados=SANTA CATARINA_PREMIAÇÃO.pdf</t>
        </r>
      </text>
    </comment>
    <comment ref="B420" authorId="0" shapeId="0" xr:uid="{9D493CBF-B669-4C05-A621-94F9AF0FED5D}">
      <text>
        <r>
          <rPr>
            <sz val="11"/>
            <color theme="1"/>
            <rFont val="Calibri"/>
            <family val="2"/>
            <scheme val="minor"/>
          </rPr>
          <t>Diferença: data=nan | estados=SANTA CATARINA_PREMIAÇÃO_X.pdf</t>
        </r>
      </text>
    </comment>
    <comment ref="B422" authorId="0" shapeId="0" xr:uid="{05B68BB0-29B3-4CA7-86D5-10C8198DB648}">
      <text>
        <r>
          <rPr>
            <sz val="11"/>
            <color theme="1"/>
            <rFont val="Calibri"/>
            <family val="2"/>
            <scheme val="minor"/>
          </rPr>
          <t>Diferença: data=nan | estados=2025-05_SAOLUIS_CULTURAVIVA.pdf</t>
        </r>
      </text>
    </comment>
    <comment ref="B423" authorId="0" shapeId="0" xr:uid="{ED504C93-BE0C-4D3C-8D58-F7346A858B9A}">
      <text>
        <r>
          <rPr>
            <sz val="11"/>
            <color theme="1"/>
            <rFont val="Calibri"/>
            <family val="2"/>
            <scheme val="minor"/>
          </rPr>
          <t>Diferença: data=nan | estados=2025-08_SAOLUIS_PRÊMIO.pdf</t>
        </r>
      </text>
    </comment>
    <comment ref="B424" authorId="0" shapeId="0" xr:uid="{2516BAB6-A95A-461D-9413-C57938C7C3E2}">
      <text>
        <r>
          <rPr>
            <sz val="11"/>
            <color theme="1"/>
            <rFont val="Calibri"/>
            <family val="2"/>
            <scheme val="minor"/>
          </rPr>
          <t>Diferença: data=nan | estados=2025-06_SAOLUIS_FOMENTO.pdf</t>
        </r>
      </text>
    </comment>
    <comment ref="B425" authorId="0" shapeId="0" xr:uid="{20A6B15F-7B3F-4381-A0EC-EE084D622B3D}">
      <text>
        <r>
          <rPr>
            <sz val="11"/>
            <color theme="1"/>
            <rFont val="Calibri"/>
            <family val="2"/>
            <scheme val="minor"/>
          </rPr>
          <t>Diferença: data=nan | estados=2025-07_SAOLUIS_CULTURAVIVA.pdf</t>
        </r>
      </text>
    </comment>
    <comment ref="B426" authorId="0" shapeId="0" xr:uid="{B25C15FA-C392-43D6-94F9-16546CC4378D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PAULO_Edital_de_Fomento_10.pdf</t>
        </r>
      </text>
    </comment>
    <comment ref="B427" authorId="0" shapeId="0" xr:uid="{9C9B0FC8-9673-4061-BCF6-5332AFDDD28C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PAULO_Edital_de_Fomento_12.pdf</t>
        </r>
      </text>
    </comment>
    <comment ref="B428" authorId="0" shapeId="0" xr:uid="{B2245346-428B-4453-A76A-4070D2798731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PAULO_Edital_de_Fomento_13.pdf</t>
        </r>
      </text>
    </comment>
    <comment ref="B429" authorId="0" shapeId="0" xr:uid="{F3B37783-60B5-445C-83B7-693231E32BC7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PAULO_Edital_de_Fomento_15.pdf</t>
        </r>
      </text>
    </comment>
    <comment ref="B430" authorId="0" shapeId="0" xr:uid="{E36C936D-9C5C-4E92-A89C-C1697FE5C421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PAULO_Edital_de_Fomento_16.pdf</t>
        </r>
      </text>
    </comment>
    <comment ref="B431" authorId="0" shapeId="0" xr:uid="{032B8FAD-21E1-4013-B3A3-0870D0DEE285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PAULO_Edital_de_Fomento_17.pdf</t>
        </r>
      </text>
    </comment>
    <comment ref="B432" authorId="0" shapeId="0" xr:uid="{21A04B70-AD2A-4FCE-A1F6-556D75AB2C98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PAULO_Edital_de_Fomento_18.pdf</t>
        </r>
      </text>
    </comment>
    <comment ref="B433" authorId="0" shapeId="0" xr:uid="{42B5DD64-5F9F-433E-9042-73CE5B83C943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PAULO_Edital_de_Fomento_19.pdf</t>
        </r>
      </text>
    </comment>
    <comment ref="B434" authorId="0" shapeId="0" xr:uid="{EFEB3F78-339F-4E72-B2D5-9511E8718DEA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PAULO_Edital_de_Fomento_2.pdf</t>
        </r>
      </text>
    </comment>
    <comment ref="B435" authorId="0" shapeId="0" xr:uid="{5D08AF79-AA17-4EFA-BA55-A5CF129246D4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PAULO_Edital_de_Fomento_20.pdf</t>
        </r>
      </text>
    </comment>
    <comment ref="B436" authorId="0" shapeId="0" xr:uid="{E13A6D79-51E9-4E05-BB44-C8E9408FA0FA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PAULO_Edital_de_Fomento_25.pdf</t>
        </r>
      </text>
    </comment>
    <comment ref="B437" authorId="0" shapeId="0" xr:uid="{F1F5A3E5-3312-4EBA-B55A-C412850B275A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PAULO_Edital_de_Fomento_32.pdf</t>
        </r>
      </text>
    </comment>
    <comment ref="B438" authorId="0" shapeId="0" xr:uid="{AB723A55-17DE-4561-8EDB-6DDDC5B83D52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PAULO_Edital_de_Fomento_33.pdf</t>
        </r>
      </text>
    </comment>
    <comment ref="B439" authorId="0" shapeId="0" xr:uid="{1F110D42-56A2-4780-8AEA-C67110CC007A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PAULO_Edital_de_Fomento_5.pdf</t>
        </r>
      </text>
    </comment>
    <comment ref="B440" authorId="0" shapeId="0" xr:uid="{38B7E213-DF45-430C-B4DC-E95B3F6AE8C5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PAULO_Edital_de_Fomento_6.pdf</t>
        </r>
      </text>
    </comment>
    <comment ref="B441" authorId="0" shapeId="0" xr:uid="{2CA499D7-70C2-473B-9404-75686390953A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PAULO_Edital_de_Fomento_7.pdf</t>
        </r>
      </text>
    </comment>
    <comment ref="B442" authorId="0" shapeId="0" xr:uid="{181512F6-4D68-4382-BF1D-13A54B49FA39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PAULO_Edital_de_Fomento_8.pdf</t>
        </r>
      </text>
    </comment>
    <comment ref="B443" authorId="0" shapeId="0" xr:uid="{BA1A6883-F149-47F5-9529-051794B9D4BD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PAULO_Edital_de_Fomento_9.pdf</t>
        </r>
      </text>
    </comment>
    <comment ref="B444" authorId="0" shapeId="0" xr:uid="{32DF28C7-39B6-41AC-A0B0-8AD4A32D497A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PAULO_Edital_de_Premiação_1.pdf</t>
        </r>
      </text>
    </comment>
    <comment ref="B445" authorId="0" shapeId="0" xr:uid="{199469B4-5292-4D62-B268-EAF97EC3A576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PAULO_Edital_de_Premiação_2.pdf</t>
        </r>
      </text>
    </comment>
    <comment ref="B446" authorId="0" shapeId="0" xr:uid="{01BB962A-971E-47AF-836D-689D55854C03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PAULO_Edital_de_Subsídio_1.pdf</t>
        </r>
      </text>
    </comment>
    <comment ref="B447" authorId="0" shapeId="0" xr:uid="{3A9876A0-26EE-47AA-8B45-381CAA391793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PAULO_Edital_de_Subsídio_2.pdf</t>
        </r>
      </text>
    </comment>
    <comment ref="B456" authorId="0" shapeId="0" xr:uid="{97C925BE-4140-4FEE-875D-DD2E1B17BB70}">
      <text>
        <r>
          <rPr>
            <sz val="11"/>
            <color theme="1"/>
            <rFont val="Calibri"/>
            <family val="2"/>
            <scheme val="minor"/>
          </rPr>
          <t>Diferença: data=nan | estados=2025-02_SAOPAULO_FOMENTO.pdf.pdf</t>
        </r>
      </text>
    </comment>
    <comment ref="B457" authorId="0" shapeId="0" xr:uid="{0F03BF4C-4A73-4798-BD81-2B3CAD97D5FF}">
      <text>
        <r>
          <rPr>
            <sz val="11"/>
            <color theme="1"/>
            <rFont val="Calibri"/>
            <family val="2"/>
            <scheme val="minor"/>
          </rPr>
          <t>Diferença: data=nan | estados=2025-09_SAOPAULO_FOMENTO.pdf</t>
        </r>
      </text>
    </comment>
    <comment ref="B458" authorId="0" shapeId="0" xr:uid="{5E97D2AC-3C0F-4CC2-B1EC-DB30AE7D7091}">
      <text>
        <r>
          <rPr>
            <sz val="11"/>
            <color theme="1"/>
            <rFont val="Calibri"/>
            <family val="2"/>
            <scheme val="minor"/>
          </rPr>
          <t>Diferença: data=nan | estados=2025-03_SAOPAULO_FOMENTO.pdf</t>
        </r>
      </text>
    </comment>
    <comment ref="B459" authorId="0" shapeId="0" xr:uid="{1B4AA7AD-083C-4DE6-AE1B-645706386D9B}">
      <text>
        <r>
          <rPr>
            <sz val="11"/>
            <color theme="1"/>
            <rFont val="Calibri"/>
            <family val="2"/>
            <scheme val="minor"/>
          </rPr>
          <t>Diferença: data=nan | estados=2025-06_SAOPAULO_FOMENTO.pdf</t>
        </r>
      </text>
    </comment>
    <comment ref="B460" authorId="0" shapeId="0" xr:uid="{2D961FB0-597F-4E92-8787-A8B68529AB38}">
      <text>
        <r>
          <rPr>
            <sz val="11"/>
            <color theme="1"/>
            <rFont val="Calibri"/>
            <family val="2"/>
            <scheme val="minor"/>
          </rPr>
          <t>Diferença: data=nan | estados=2024-36_SAOPAULO_CULTURAVIVA.pdf</t>
        </r>
      </text>
    </comment>
    <comment ref="B461" authorId="0" shapeId="0" xr:uid="{59AFA97D-D5A8-425A-8811-C5A2FE13CDF4}">
      <text>
        <r>
          <rPr>
            <sz val="11"/>
            <color theme="1"/>
            <rFont val="Calibri"/>
            <family val="2"/>
            <scheme val="minor"/>
          </rPr>
          <t>Diferença: data=nan | estados=2025-08_SAOPAULO_FOMENTO.pdf</t>
        </r>
      </text>
    </comment>
    <comment ref="B462" authorId="0" shapeId="0" xr:uid="{CD723BE7-6DF3-46FF-859E-3B2281B13D4D}">
      <text>
        <r>
          <rPr>
            <sz val="11"/>
            <color theme="1"/>
            <rFont val="Calibri"/>
            <family val="2"/>
            <scheme val="minor"/>
          </rPr>
          <t>Diferença: data=nan | estados=2025-01_SAOPAULO_FOMENTO.pdf</t>
        </r>
      </text>
    </comment>
    <comment ref="B463" authorId="0" shapeId="0" xr:uid="{1305EC2F-DB1D-4590-83C4-DDE2108AE59A}">
      <text>
        <r>
          <rPr>
            <sz val="11"/>
            <color theme="1"/>
            <rFont val="Calibri"/>
            <family val="2"/>
            <scheme val="minor"/>
          </rPr>
          <t>Diferença: data=nan | estados=2025-05_SAOPAULO_FOMENTO.pdf</t>
        </r>
      </text>
    </comment>
    <comment ref="B464" authorId="0" shapeId="0" xr:uid="{1CB00886-EAA4-4AE9-A76C-F31610060338}">
      <text>
        <r>
          <rPr>
            <sz val="11"/>
            <color theme="1"/>
            <rFont val="Calibri"/>
            <family val="2"/>
            <scheme val="minor"/>
          </rPr>
          <t>Diferença: data=nan | estados=2025-04_SAOPAULO_FOMENTO.pdf</t>
        </r>
      </text>
    </comment>
    <comment ref="B467" authorId="0" shapeId="0" xr:uid="{1516CFA7-D0CA-4339-B7E4-78208ECE8662}">
      <text>
        <r>
          <rPr>
            <sz val="11"/>
            <color theme="1"/>
            <rFont val="Calibri"/>
            <family val="2"/>
            <scheme val="minor"/>
          </rPr>
          <t>Diferença: data=nan | estados=SERGIPE_CULTURA VIVA_03.pdf</t>
        </r>
      </text>
    </comment>
    <comment ref="B468" authorId="0" shapeId="0" xr:uid="{9772A5E9-0902-430E-88B1-30F3356C56A7}">
      <text>
        <r>
          <rPr>
            <sz val="11"/>
            <color theme="1"/>
            <rFont val="Calibri"/>
            <family val="2"/>
            <scheme val="minor"/>
          </rPr>
          <t>Diferença: data=nan | estados=SERGIPE_CULTURA VIVA_04.pdf</t>
        </r>
      </text>
    </comment>
    <comment ref="B469" authorId="0" shapeId="0" xr:uid="{D4DA4599-470E-487A-BA2C-B443E7674851}">
      <text>
        <r>
          <rPr>
            <sz val="11"/>
            <color theme="1"/>
            <rFont val="Calibri"/>
            <family val="2"/>
            <scheme val="minor"/>
          </rPr>
          <t>Diferença: data=nan | estados=SERGIPE_CULTURA VIVA_05.pdf</t>
        </r>
      </text>
    </comment>
    <comment ref="B470" authorId="0" shapeId="0" xr:uid="{A0DDCBA6-AADB-41E2-BDF2-EC88BBDFC95D}">
      <text>
        <r>
          <rPr>
            <sz val="11"/>
            <color theme="1"/>
            <rFont val="Calibri"/>
            <family val="2"/>
            <scheme val="minor"/>
          </rPr>
          <t>Diferença: data=nan | estados=SERGIPE_FOMENTO_02.pdf</t>
        </r>
      </text>
    </comment>
    <comment ref="B471" authorId="0" shapeId="0" xr:uid="{6773D41B-494A-4377-91DA-75C9D607331F}">
      <text>
        <r>
          <rPr>
            <sz val="11"/>
            <color theme="1"/>
            <rFont val="Calibri"/>
            <family val="2"/>
            <scheme val="minor"/>
          </rPr>
          <t>Diferença: data=nan | estados=SERGIPE_FOMENTO_06.pdf</t>
        </r>
      </text>
    </comment>
    <comment ref="B472" authorId="0" shapeId="0" xr:uid="{43EE3D27-870B-4A85-9EB7-F4406E6C5241}">
      <text>
        <r>
          <rPr>
            <sz val="11"/>
            <color theme="1"/>
            <rFont val="Calibri"/>
            <family val="2"/>
            <scheme val="minor"/>
          </rPr>
          <t>Diferença: data=nan | estados=SERGIPE_FOMENTO_07.pdf</t>
        </r>
      </text>
    </comment>
    <comment ref="B473" authorId="0" shapeId="0" xr:uid="{94349603-DC58-4EF1-BE5C-1E6937CA61E0}">
      <text>
        <r>
          <rPr>
            <sz val="11"/>
            <color theme="1"/>
            <rFont val="Calibri"/>
            <family val="2"/>
            <scheme val="minor"/>
          </rPr>
          <t>Diferença: data=nan | estados=SERGIPE_FOMENTO_09.pdf</t>
        </r>
      </text>
    </comment>
    <comment ref="B475" authorId="0" shapeId="0" xr:uid="{14B7CE75-4B5E-4310-B838-7F599B24B81D}">
      <text>
        <r>
          <rPr>
            <sz val="11"/>
            <color theme="1"/>
            <rFont val="Calibri"/>
            <family val="2"/>
            <scheme val="minor"/>
          </rPr>
          <t>Diferença: data=nan | estados=2024-09_TERESINA_CULTURAVIVA.pdf</t>
        </r>
      </text>
    </comment>
    <comment ref="B476" authorId="0" shapeId="0" xr:uid="{21467C85-963B-4FE2-98BA-7A955A28218C}">
      <text>
        <r>
          <rPr>
            <sz val="11"/>
            <color theme="1"/>
            <rFont val="Calibri"/>
            <family val="2"/>
            <scheme val="minor"/>
          </rPr>
          <t>Diferença: data=nan | estados=2024-07_TERESINA_FOMENTO.pdf</t>
        </r>
      </text>
    </comment>
    <comment ref="B477" authorId="0" shapeId="0" xr:uid="{1105D0B7-1350-478C-AE0E-279CDC672579}">
      <text>
        <r>
          <rPr>
            <sz val="11"/>
            <color theme="1"/>
            <rFont val="Calibri"/>
            <family val="2"/>
            <scheme val="minor"/>
          </rPr>
          <t>Diferença: data=nan | estados=2024-08_TERESINA_PRÊMIO.pdf</t>
        </r>
      </text>
    </comment>
    <comment ref="B478" authorId="0" shapeId="0" xr:uid="{7C513762-4FEE-4D0B-BA16-94EDF2D3E476}">
      <text>
        <r>
          <rPr>
            <sz val="11"/>
            <color theme="1"/>
            <rFont val="Calibri"/>
            <family val="2"/>
            <scheme val="minor"/>
          </rPr>
          <t>Diferença: data=nan | estados=2024-10_TERESINA_CULTURAVIVA.pdf</t>
        </r>
      </text>
    </comment>
    <comment ref="B479" authorId="1" shapeId="0" xr:uid="{1E02DFFC-7094-4143-8258-D5C400CA9443}">
      <text>
        <r>
          <rPr>
            <sz val="11"/>
            <color theme="1"/>
            <rFont val="Calibri"/>
            <scheme val="minor"/>
          </rPr>
          <t>======
ID#AAABycWSoak
copilot    (2026-01-09 16:24:46)
Diferença: data=nan | estados=TOCANTINS_Edital_de_Bolsa_1.pdf</t>
        </r>
      </text>
    </comment>
    <comment ref="B480" authorId="0" shapeId="0" xr:uid="{82B2F326-3BFE-48D8-AD48-7AF2063B5B9C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estados=TOCANTINS_Edital_de_Fomento_1.pdf</t>
        </r>
      </text>
    </comment>
    <comment ref="B481" authorId="0" shapeId="0" xr:uid="{6CFF3A76-7AFE-48ED-8B7D-E799B6FBECFC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estados=TOCANTINS_Edital_de_Fomento_2.pdf</t>
        </r>
      </text>
    </comment>
    <comment ref="B482" authorId="0" shapeId="0" xr:uid="{970F78DD-7978-4BA9-9693-0312D6DEF7E7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estados=TOCANTINS_Edital_de_Fomento_3.pdf</t>
        </r>
      </text>
    </comment>
    <comment ref="B483" authorId="0" shapeId="0" xr:uid="{E3BBEE36-9835-4ECE-822C-55703F7F4D7D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estados=TOCANTINS_Edital_de_Fomento_4.pdf</t>
        </r>
      </text>
    </comment>
    <comment ref="B484" authorId="0" shapeId="0" xr:uid="{C3D147BB-6838-4256-91C1-0FF340DDAB5E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estados=TOCANTINS_Edital_de_Fomento_5.pdf</t>
        </r>
      </text>
    </comment>
    <comment ref="B485" authorId="0" shapeId="0" xr:uid="{13F61134-7A81-40B2-82E3-CCE88FA350CF}">
      <text>
        <r>
          <rPr>
            <sz val="11"/>
            <color theme="1"/>
            <rFont val="Calibri"/>
            <family val="2"/>
            <scheme val="minor"/>
          </rPr>
          <t>Diferença: data=nan | estados=TOCATINS_FOMENTO_33.pdf</t>
        </r>
      </text>
    </comment>
    <comment ref="B492" authorId="0" shapeId="0" xr:uid="{1F5F62DC-B2B1-4D37-AAF4-2300B40A65A6}">
      <text>
        <r>
          <rPr>
            <sz val="11"/>
            <color theme="1"/>
            <rFont val="Calibri"/>
            <family val="2"/>
            <scheme val="minor"/>
          </rPr>
          <t>Diferença: data=nan | estados=2024-04_VITÓRIA_FOMENTO.pdf</t>
        </r>
      </text>
    </comment>
    <comment ref="B493" authorId="0" shapeId="0" xr:uid="{B1C6FA1C-0F25-4271-BF21-368922869E64}">
      <text>
        <r>
          <rPr>
            <sz val="11"/>
            <color theme="1"/>
            <rFont val="Calibri"/>
            <family val="2"/>
            <scheme val="minor"/>
          </rPr>
          <t>Diferença: data=nan | estados=2024-02_VITÓRIA_CULTURAVIVA.pdf</t>
        </r>
      </text>
    </comment>
    <comment ref="B494" authorId="0" shapeId="0" xr:uid="{435E1BB6-EE57-4BD0-90E4-5911320BE429}">
      <text>
        <r>
          <rPr>
            <sz val="11"/>
            <color theme="1"/>
            <rFont val="Calibri"/>
            <family val="2"/>
            <scheme val="minor"/>
          </rPr>
          <t>Diferença: data=nan | estados=2024-06_VITÓRIA_FOMENTO.pdf</t>
        </r>
      </text>
    </comment>
    <comment ref="B495" authorId="0" shapeId="0" xr:uid="{13D8ADC3-8743-42D4-914C-D7E28D7CA598}">
      <text>
        <r>
          <rPr>
            <sz val="11"/>
            <color theme="1"/>
            <rFont val="Calibri"/>
            <family val="2"/>
            <scheme val="minor"/>
          </rPr>
          <t>Diferença: data=nan | estados=2024-05_VITÓRIA_SUBSÍDIO.pdf</t>
        </r>
      </text>
    </comment>
    <comment ref="B496" authorId="0" shapeId="0" xr:uid="{350D8582-DD5C-4B72-8877-CEFFF29363F4}">
      <text>
        <r>
          <rPr>
            <sz val="11"/>
            <color theme="1"/>
            <rFont val="Calibri"/>
            <family val="2"/>
            <scheme val="minor"/>
          </rPr>
          <t>Diferença: data=nan | estados=2024-07_VITÓRIA_FOMENTO.pdf</t>
        </r>
      </text>
    </comment>
    <comment ref="B497" authorId="0" shapeId="0" xr:uid="{8A1AD95E-2A40-42A3-9447-E4F962BBEB46}">
      <text>
        <r>
          <rPr>
            <sz val="11"/>
            <color theme="1"/>
            <rFont val="Calibri"/>
            <family val="2"/>
            <scheme val="minor"/>
          </rPr>
          <t>Diferença: data=nan | estados=2024-03_VITÓRIA_FOMENTO.pdf</t>
        </r>
      </text>
    </comment>
    <comment ref="B498" authorId="0" shapeId="0" xr:uid="{E8FBB5A6-348B-45DA-9CD7-DF3933BB8A58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NORTE_Edital_de_Fomento_1.pdf</t>
        </r>
      </text>
    </comment>
    <comment ref="B499" authorId="0" shapeId="0" xr:uid="{329D7739-3A65-41D9-8041-862AC4E7EE75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NORTE_Edital_de_Fomento_2.pdf</t>
        </r>
      </text>
    </comment>
    <comment ref="B500" authorId="0" shapeId="0" xr:uid="{64DD261B-A1C5-47BE-9D7A-BDEBAD582A52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NORTE_Edital_de_Fomento_3.pdf</t>
        </r>
      </text>
    </comment>
    <comment ref="B501" authorId="0" shapeId="0" xr:uid="{211D9198-DC95-45F0-B969-19A81E16CA08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NORTE_Edital_de_Fomento_4.pdf</t>
        </r>
      </text>
    </comment>
    <comment ref="B502" authorId="0" shapeId="0" xr:uid="{E4C34CD1-1D20-4B3D-B2A3-1229F25E3ED4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NORTE_Edital_de_Fomento_5.pdf</t>
        </r>
      </text>
    </comment>
    <comment ref="B503" authorId="0" shapeId="0" xr:uid="{8C9243C1-EE5B-419A-8A6C-6CF5A41C875B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NORTE_Edital_de_Fomento_6.pdf</t>
        </r>
      </text>
    </comment>
    <comment ref="B504" authorId="0" shapeId="0" xr:uid="{43A72C2D-CAE1-4C90-BB33-3A0A40FC111E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NORTE_Edital_de_Fomento_7.pdf</t>
        </r>
      </text>
    </comment>
    <comment ref="B505" authorId="0" shapeId="0" xr:uid="{4F444668-6FFB-41AF-A86B-9E265C18B030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NORTE_Edital_de_Fomento_1.pdf</t>
        </r>
      </text>
    </comment>
    <comment ref="C505" authorId="0" shapeId="0" xr:uid="{8D66E187-1625-4E05-B617-8A27A41EC878}">
      <text>
        <r>
          <rPr>
            <sz val="11"/>
            <color theme="1"/>
            <rFont val="Calibri"/>
            <family val="2"/>
            <scheme val="minor"/>
          </rPr>
          <t>Diferença: data=1480000.0 | estados=1200000</t>
        </r>
      </text>
    </comment>
    <comment ref="D505" authorId="0" shapeId="0" xr:uid="{02564A96-D39D-442B-9B3A-D5272E86FA31}">
      <text>
        <r>
          <rPr>
            <sz val="11"/>
            <color theme="1"/>
            <rFont val="Calibri"/>
            <family val="2"/>
            <scheme val="minor"/>
          </rPr>
          <t>Diferença: data=0.25 | estados=None</t>
        </r>
      </text>
    </comment>
    <comment ref="E505" authorId="0" shapeId="0" xr:uid="{EAD0945F-57BB-4472-ADB3-778E52ACA57C}">
      <text>
        <r>
          <rPr>
            <sz val="11"/>
            <color theme="1"/>
            <rFont val="Calibri"/>
            <family val="2"/>
            <scheme val="minor"/>
          </rPr>
          <t>Diferença: data=0.1 | estados=None</t>
        </r>
      </text>
    </comment>
    <comment ref="G505" authorId="0" shapeId="0" xr:uid="{59902CDA-CEC2-400F-9E4B-47F831B56178}">
      <text>
        <r>
          <rPr>
            <sz val="11"/>
            <color theme="1"/>
            <rFont val="Calibri"/>
            <family val="2"/>
            <scheme val="minor"/>
          </rPr>
          <t>Diferença: data=34.0 | estados=40</t>
        </r>
      </text>
    </comment>
    <comment ref="I505" authorId="0" shapeId="0" xr:uid="{0F47C2D1-8A7A-4576-9DF4-96C0EADB6D6F}">
      <text>
        <r>
          <rPr>
            <sz val="11"/>
            <color theme="1"/>
            <rFont val="Calibri"/>
            <family val="2"/>
            <scheme val="minor"/>
          </rPr>
          <t>Diferença: data=True | estados=0</t>
        </r>
      </text>
    </comment>
    <comment ref="B506" authorId="0" shapeId="0" xr:uid="{8E2A2409-05C8-4F57-BDEE-884145BF870E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NORTE_Edital_de_Fomento_2.pdf</t>
        </r>
      </text>
    </comment>
    <comment ref="C506" authorId="0" shapeId="0" xr:uid="{37439633-F20D-41A0-A65B-1CB273A716D3}">
      <text>
        <r>
          <rPr>
            <sz val="11"/>
            <color theme="1"/>
            <rFont val="Calibri"/>
            <family val="2"/>
            <scheme val="minor"/>
          </rPr>
          <t>Diferença: data=1240000.0 | estados=660000</t>
        </r>
      </text>
    </comment>
    <comment ref="D506" authorId="0" shapeId="0" xr:uid="{C6BD7C85-1366-4B6B-9CA7-8E8CB62948E6}">
      <text>
        <r>
          <rPr>
            <sz val="11"/>
            <color theme="1"/>
            <rFont val="Calibri"/>
            <family val="2"/>
            <scheme val="minor"/>
          </rPr>
          <t>Diferença: data=0.25 | estados=None</t>
        </r>
      </text>
    </comment>
    <comment ref="E506" authorId="0" shapeId="0" xr:uid="{5BCB9CC6-1628-41E9-BBAB-F63573448A06}">
      <text>
        <r>
          <rPr>
            <sz val="11"/>
            <color theme="1"/>
            <rFont val="Calibri"/>
            <family val="2"/>
            <scheme val="minor"/>
          </rPr>
          <t>Diferença: data=0.1 | estados=1</t>
        </r>
      </text>
    </comment>
    <comment ref="G506" authorId="0" shapeId="0" xr:uid="{48767287-FC1B-492A-B114-EF88A5F4DCEA}">
      <text>
        <r>
          <rPr>
            <sz val="11"/>
            <color theme="1"/>
            <rFont val="Calibri"/>
            <family val="2"/>
            <scheme val="minor"/>
          </rPr>
          <t>Diferença: data=34.0 | estados=22</t>
        </r>
      </text>
    </comment>
    <comment ref="B507" authorId="0" shapeId="0" xr:uid="{17B71882-1D93-4D28-A2D1-A790F81FBC22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NORTE_Edital_de_Fomento_3.pdf</t>
        </r>
      </text>
    </comment>
    <comment ref="C507" authorId="0" shapeId="0" xr:uid="{F1DF370D-CF26-4BBA-BF00-EAFA60C4F2EB}">
      <text>
        <r>
          <rPr>
            <sz val="11"/>
            <color theme="1"/>
            <rFont val="Calibri"/>
            <family val="2"/>
            <scheme val="minor"/>
          </rPr>
          <t>Diferença: data=1360000.0 | estados=1200000</t>
        </r>
      </text>
    </comment>
    <comment ref="G507" authorId="0" shapeId="0" xr:uid="{A578F36F-9F55-4519-A216-F7558CA331EF}">
      <text>
        <r>
          <rPr>
            <sz val="11"/>
            <color theme="1"/>
            <rFont val="Calibri"/>
            <family val="2"/>
            <scheme val="minor"/>
          </rPr>
          <t>Diferença: data=66.0 | estados=None</t>
        </r>
      </text>
    </comment>
    <comment ref="B508" authorId="0" shapeId="0" xr:uid="{8C09C5FD-52A7-4983-85C4-8816AF15B9D4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NORTE_Edital_de_Fomento_4.pdf</t>
        </r>
      </text>
    </comment>
    <comment ref="C508" authorId="0" shapeId="0" xr:uid="{E11031AC-12F4-4D87-BBA1-D143AE4669CA}">
      <text>
        <r>
          <rPr>
            <sz val="11"/>
            <color theme="1"/>
            <rFont val="Calibri"/>
            <family val="2"/>
            <scheme val="minor"/>
          </rPr>
          <t>Diferença: data=1800000.0 | estados=1125000</t>
        </r>
      </text>
    </comment>
    <comment ref="G508" authorId="0" shapeId="0" xr:uid="{09D471DE-E6C4-476D-8C2D-ED3235C99938}">
      <text>
        <r>
          <rPr>
            <sz val="11"/>
            <color theme="1"/>
            <rFont val="Calibri"/>
            <family val="2"/>
            <scheme val="minor"/>
          </rPr>
          <t>Diferença: data=47.0 | estados=None</t>
        </r>
      </text>
    </comment>
    <comment ref="B509" authorId="0" shapeId="0" xr:uid="{4F83B399-6806-4CB2-95F1-54BFDAE3D7C7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NORTE_FOMENTO_0044.pdf</t>
        </r>
      </text>
    </comment>
    <comment ref="B510" authorId="0" shapeId="0" xr:uid="{BED04380-D445-422D-B03D-2E86461ABD0C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NORTE_FOMENTO_01.pdf</t>
        </r>
      </text>
    </comment>
    <comment ref="B511" authorId="0" shapeId="0" xr:uid="{033DFCD9-216A-49F7-BEF5-AED6A41A299B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NORTE_Edital_de_Fomento_2.pdf</t>
        </r>
      </text>
    </comment>
    <comment ref="C511" authorId="0" shapeId="0" xr:uid="{08E981D8-8C12-4FA2-A21D-B578A25D1311}">
      <text>
        <r>
          <rPr>
            <sz val="11"/>
            <color theme="1"/>
            <rFont val="Calibri"/>
            <family val="2"/>
            <scheme val="minor"/>
          </rPr>
          <t>Diferença: data=1240000.0 | estados=620000</t>
        </r>
      </text>
    </comment>
    <comment ref="G511" authorId="0" shapeId="0" xr:uid="{AF0B228C-3EC5-4A83-B304-0F9E2EBBF2B5}">
      <text>
        <r>
          <rPr>
            <sz val="11"/>
            <color theme="1"/>
            <rFont val="Calibri"/>
            <family val="2"/>
            <scheme val="minor"/>
          </rPr>
          <t>Diferença: data=34.0 | estados=30</t>
        </r>
      </text>
    </comment>
    <comment ref="B512" authorId="0" shapeId="0" xr:uid="{A4BC4883-D118-4250-9FFA-9A858FE2BF47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NORTE_FOMENTO_22.pdf</t>
        </r>
      </text>
    </comment>
    <comment ref="B513" authorId="0" shapeId="0" xr:uid="{B390A19C-1775-49CE-8BD6-A3CBE40BD9CF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NORTE_Edital_de_Fomento_3.pdf</t>
        </r>
      </text>
    </comment>
    <comment ref="C513" authorId="0" shapeId="0" xr:uid="{B0D97E38-B02F-4B38-9D2A-015C91A2BC19}">
      <text>
        <r>
          <rPr>
            <sz val="11"/>
            <color theme="1"/>
            <rFont val="Calibri"/>
            <family val="2"/>
            <scheme val="minor"/>
          </rPr>
          <t>Diferença: data=1360000.0 | estados=620000</t>
        </r>
      </text>
    </comment>
    <comment ref="D513" authorId="0" shapeId="0" xr:uid="{0595CE15-4303-4FFE-9B21-4C242217A9F6}">
      <text>
        <r>
          <rPr>
            <sz val="11"/>
            <color theme="1"/>
            <rFont val="Calibri"/>
            <family val="2"/>
            <scheme val="minor"/>
          </rPr>
          <t>Diferença: data=0.25 | estados=1</t>
        </r>
      </text>
    </comment>
    <comment ref="E513" authorId="0" shapeId="0" xr:uid="{5DE0514F-F9BC-4F35-9A98-33F9886FCBAA}">
      <text>
        <r>
          <rPr>
            <sz val="11"/>
            <color theme="1"/>
            <rFont val="Calibri"/>
            <family val="2"/>
            <scheme val="minor"/>
          </rPr>
          <t>Diferença: data=0.1 | estados=None</t>
        </r>
      </text>
    </comment>
    <comment ref="F513" authorId="0" shapeId="0" xr:uid="{95EB14D2-B014-4BB8-8E9B-05718FA56BDC}">
      <text>
        <r>
          <rPr>
            <sz val="11"/>
            <color theme="1"/>
            <rFont val="Calibri"/>
            <family val="2"/>
            <scheme val="minor"/>
          </rPr>
          <t>Diferença: data=0.05 | estados=0.07</t>
        </r>
      </text>
    </comment>
    <comment ref="G513" authorId="0" shapeId="0" xr:uid="{19A4482D-2061-414E-9E97-B327AF7B6815}">
      <text>
        <r>
          <rPr>
            <sz val="11"/>
            <color theme="1"/>
            <rFont val="Calibri"/>
            <family val="2"/>
            <scheme val="minor"/>
          </rPr>
          <t>Diferença: data=66.0 | estados=30</t>
        </r>
      </text>
    </comment>
    <comment ref="B514" authorId="0" shapeId="0" xr:uid="{A41ED904-DE7D-471D-A234-CE121D315ACC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NORTE_FOMENTO_99.pdf</t>
        </r>
      </text>
    </comment>
    <comment ref="B515" authorId="0" shapeId="0" xr:uid="{388E189F-4353-4207-AEFF-DDE1E70B6E09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NORTE_PREMIAÇÃO_003.pdf</t>
        </r>
      </text>
    </comment>
    <comment ref="B516" authorId="0" shapeId="0" xr:uid="{1ABD6CA6-A2B2-4C2B-B0B2-B588603A84BD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NORTE_SUBSÍDIO_24.pdf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  <author/>
  </authors>
  <commentList>
    <comment ref="B2" authorId="0" shapeId="0" xr:uid="{2CCFD486-9554-4AFC-9037-0CCC90D20729}">
      <text>
        <r>
          <rPr>
            <sz val="11"/>
            <color theme="1"/>
            <rFont val="Calibri"/>
            <family val="2"/>
            <scheme val="minor"/>
          </rPr>
          <t>Diferença: data=nan | estados=ACRE_BOLSA_112024.pdf</t>
        </r>
      </text>
    </comment>
    <comment ref="B3" authorId="0" shapeId="0" xr:uid="{2EDBD22B-5819-43FA-B52E-051716A81CA2}">
      <text>
        <r>
          <rPr>
            <sz val="11"/>
            <color theme="1"/>
            <rFont val="Calibri"/>
            <family val="2"/>
            <scheme val="minor"/>
          </rPr>
          <t>Diferença: data=nan | estados=ACRE_CULTURAVIVA_012025.pdf</t>
        </r>
      </text>
    </comment>
    <comment ref="B4" authorId="0" shapeId="0" xr:uid="{E8118DFF-CF61-41E6-A40E-CB990FBD1E02}">
      <text>
        <r>
          <rPr>
            <sz val="11"/>
            <color theme="1"/>
            <rFont val="Calibri"/>
            <family val="2"/>
            <scheme val="minor"/>
          </rPr>
          <t>Diferença: data=nan | estados=ACRE_CULTURAVIVA_122024.pdf</t>
        </r>
      </text>
    </comment>
    <comment ref="B5" authorId="0" shapeId="0" xr:uid="{882CA2D4-CA8E-4D73-9619-7F04583F306D}">
      <text>
        <r>
          <rPr>
            <sz val="11"/>
            <color theme="1"/>
            <rFont val="Calibri"/>
            <family val="2"/>
            <scheme val="minor"/>
          </rPr>
          <t>Diferença: data=nan | estados=ACRE_CULTURAVIVA_132024.pdf</t>
        </r>
      </text>
    </comment>
    <comment ref="B6" authorId="0" shapeId="0" xr:uid="{836C01D1-0F70-4B36-86AF-0A9465B8E78A}">
      <text>
        <r>
          <rPr>
            <sz val="11"/>
            <color theme="1"/>
            <rFont val="Calibri"/>
            <family val="2"/>
            <scheme val="minor"/>
          </rPr>
          <t>Diferença: data=nan | estados=ACRE_FOMENTO_062024.pdf</t>
        </r>
      </text>
    </comment>
    <comment ref="B7" authorId="0" shapeId="0" xr:uid="{1D6DAA7E-81CD-4E78-B491-ADA8AE96C35A}">
      <text>
        <r>
          <rPr>
            <sz val="11"/>
            <color theme="1"/>
            <rFont val="Calibri"/>
            <family val="2"/>
            <scheme val="minor"/>
          </rPr>
          <t>Diferença: data=nan | estados=ACRE_FOMENTO_072024.pdf</t>
        </r>
      </text>
    </comment>
    <comment ref="B8" authorId="0" shapeId="0" xr:uid="{8DCA2D6B-B84A-48FA-A6E0-C6DD74F98F08}">
      <text>
        <r>
          <rPr>
            <sz val="11"/>
            <color theme="1"/>
            <rFont val="Calibri"/>
            <family val="2"/>
            <scheme val="minor"/>
          </rPr>
          <t>Diferença: data=nan | estados=ACRE_FOMENTO_082024.pdf</t>
        </r>
      </text>
    </comment>
    <comment ref="B9" authorId="0" shapeId="0" xr:uid="{C0C87C48-8F0C-431C-B9FF-E7C982D0AA27}">
      <text>
        <r>
          <rPr>
            <sz val="11"/>
            <color theme="1"/>
            <rFont val="Calibri"/>
            <family val="2"/>
            <scheme val="minor"/>
          </rPr>
          <t>Diferença: data=nan | estados=ACRE_FOMENTO_092024.pdf</t>
        </r>
      </text>
    </comment>
    <comment ref="B10" authorId="0" shapeId="0" xr:uid="{971915D7-9599-4FD8-A14E-15D60A2A87A8}">
      <text>
        <r>
          <rPr>
            <sz val="11"/>
            <color theme="1"/>
            <rFont val="Calibri"/>
            <family val="2"/>
            <scheme val="minor"/>
          </rPr>
          <t>Diferença: data=nan | estados=ACRE_PRÊMIO_142024.pdf</t>
        </r>
      </text>
    </comment>
    <comment ref="B11" authorId="0" shapeId="0" xr:uid="{A7C115D1-D44F-447B-A9F6-6366A4E34CF0}">
      <text>
        <r>
          <rPr>
            <sz val="11"/>
            <color theme="1"/>
            <rFont val="Calibri"/>
            <family val="2"/>
            <scheme val="minor"/>
          </rPr>
          <t>Diferença: data=nan | estados=ACRE_PRÊMIO_152024.pdf</t>
        </r>
      </text>
    </comment>
    <comment ref="E11" authorId="0" shapeId="0" xr:uid="{6AE019C4-9D7C-41D1-A522-FFFA1EAA0173}">
      <text>
        <r>
          <rPr>
            <sz val="11"/>
            <color theme="1"/>
            <rFont val="Calibri"/>
            <family val="2"/>
            <scheme val="minor"/>
          </rPr>
          <t>Diferença: data=nan | estados=1</t>
        </r>
      </text>
    </comment>
    <comment ref="B12" authorId="0" shapeId="0" xr:uid="{912F5A68-B6FC-4DDF-8054-1766B1D06F2B}">
      <text>
        <r>
          <rPr>
            <sz val="11"/>
            <color theme="1"/>
            <rFont val="Calibri"/>
            <family val="2"/>
            <scheme val="minor"/>
          </rPr>
          <t>Diferença: data=nan | estados=ACRE_SUBSÍDIO_102024.pdf</t>
        </r>
      </text>
    </comment>
    <comment ref="B13" authorId="0" shapeId="0" xr:uid="{39A38462-DEA9-4052-BCD6-B44B5DE23561}">
      <text>
        <r>
          <rPr>
            <sz val="11"/>
            <color theme="1"/>
            <rFont val="Calibri"/>
            <family val="2"/>
            <scheme val="minor"/>
          </rPr>
          <t>Diferença: data=nan | estados=ALAGOAS_CULTURAVIVA_012025.pdf</t>
        </r>
      </text>
    </comment>
    <comment ref="B14" authorId="0" shapeId="0" xr:uid="{AF9D144E-32B8-43C7-A98C-A5C92D96F802}">
      <text>
        <r>
          <rPr>
            <sz val="11"/>
            <color theme="1"/>
            <rFont val="Calibri"/>
            <family val="2"/>
            <scheme val="minor"/>
          </rPr>
          <t>Diferença: data=nan | estados=ALAGOAS_CULTURAVIVA_022025.pdf</t>
        </r>
      </text>
    </comment>
    <comment ref="B15" authorId="0" shapeId="0" xr:uid="{953A1C8E-5512-4DE6-AF32-2A213D61D710}">
      <text>
        <r>
          <rPr>
            <sz val="11"/>
            <color theme="1"/>
            <rFont val="Calibri"/>
            <family val="2"/>
            <scheme val="minor"/>
          </rPr>
          <t>Diferença: data=nan | estados=ALAGOAS_FOMENTO_072024.pdf</t>
        </r>
      </text>
    </comment>
    <comment ref="B16" authorId="0" shapeId="0" xr:uid="{CF0AB8DB-5E22-4B3D-97D7-A9135F8A483C}">
      <text>
        <r>
          <rPr>
            <sz val="11"/>
            <color theme="1"/>
            <rFont val="Calibri"/>
            <family val="2"/>
            <scheme val="minor"/>
          </rPr>
          <t>Diferença: data=nan | estados=ALAGOAS_FOMENTO_082024.pdf</t>
        </r>
      </text>
    </comment>
    <comment ref="B17" authorId="0" shapeId="0" xr:uid="{5E8C8A00-4234-4EB1-AF0B-408B8836A31C}">
      <text>
        <r>
          <rPr>
            <sz val="11"/>
            <color theme="1"/>
            <rFont val="Calibri"/>
            <family val="2"/>
            <scheme val="minor"/>
          </rPr>
          <t>Diferença: data=nan | estados=ALAGOAS_FOMENTO_092024.pdf</t>
        </r>
      </text>
    </comment>
    <comment ref="B18" authorId="0" shapeId="0" xr:uid="{8CFB4CAF-36DC-4FA0-94E5-E7BA194C4415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estados=ALAGOAS_FOMENTO_102024.pdf</t>
        </r>
      </text>
    </comment>
    <comment ref="B19" authorId="0" shapeId="0" xr:uid="{49F34806-4CDF-40D0-A88D-4026584BCE9C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estados=ALAGOAS_FOMENTO_112024.pdf</t>
        </r>
      </text>
    </comment>
    <comment ref="B20" authorId="0" shapeId="0" xr:uid="{96E2A9A8-ACCC-4E1C-883F-B280658B62EB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estados=ALAGOAS_FOMENTO_122024.pdf</t>
        </r>
      </text>
    </comment>
    <comment ref="B21" authorId="0" shapeId="0" xr:uid="{E60A91BA-043D-4773-9E09-BFD75D15098F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estados=ALAGOAS_FOMENTO_132024.pdf</t>
        </r>
      </text>
    </comment>
    <comment ref="B22" authorId="0" shapeId="0" xr:uid="{73CB5F5E-D930-4E88-BB34-770ACAA42BE2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estados=ALAGOAS_FOMENTO_152024.pdf</t>
        </r>
      </text>
    </comment>
    <comment ref="B23" authorId="0" shapeId="0" xr:uid="{DA0DD5E7-75C1-475E-A19B-4E6433560B72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estados=ALAGOAS_FOMENTO_172024.pdf</t>
        </r>
      </text>
    </comment>
    <comment ref="B24" authorId="0" shapeId="0" xr:uid="{4E40BAE8-5413-4A6C-B00D-66BCAB518FF3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estados=ALAGOAS_FOMENTO_182024.pdf</t>
        </r>
      </text>
    </comment>
    <comment ref="B25" authorId="0" shapeId="0" xr:uid="{E5ACBA3B-4B2E-4696-80C6-F290A52F5E59}">
      <text>
        <r>
          <rPr>
            <sz val="11"/>
            <color theme="1"/>
            <rFont val="Calibri"/>
            <family val="2"/>
            <scheme val="minor"/>
          </rPr>
          <t>Diferença: data=nan | estados=ALAGOAS_FOMENTO_192024.pdf</t>
        </r>
      </text>
    </comment>
    <comment ref="B26" authorId="0" shapeId="0" xr:uid="{B91E0229-50F2-4B07-94E0-08A24A51C2AE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estados=ALAGOAS_FOMENTO_202024.pdf</t>
        </r>
      </text>
    </comment>
    <comment ref="B27" authorId="0" shapeId="0" xr:uid="{4CAACBEA-B35A-42BC-90FC-5AAE873BE0B5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estados=ALAGOAS_FOMENTO_212024.pdf</t>
        </r>
      </text>
    </comment>
    <comment ref="B28" authorId="0" shapeId="0" xr:uid="{0E7625D7-EF74-41C6-A4BB-D3FCF249A95C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estados=ALAGOAS_FOMENTO_232024.pdf</t>
        </r>
      </text>
    </comment>
    <comment ref="B29" authorId="0" shapeId="0" xr:uid="{1B9C2A9C-15A9-43E7-B35A-EB5E584C28E0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estados=ALAGOAS_FOMENTO_242024.pdf</t>
        </r>
      </text>
    </comment>
    <comment ref="B30" authorId="0" shapeId="0" xr:uid="{E27F29F1-3728-4E84-850A-3203DCF9A77D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estados=ALAGOAS_FOMENTO_252024.pdf</t>
        </r>
      </text>
    </comment>
    <comment ref="B31" authorId="0" shapeId="0" xr:uid="{7DD64FA0-2B47-463D-B3E2-033D65F4BEB3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estados=ALAGOAS_FOMENTO_262024.pdf</t>
        </r>
      </text>
    </comment>
    <comment ref="B32" authorId="0" shapeId="0" xr:uid="{53D67115-EA03-46BB-BCF7-150CA02E3D17}">
      <text>
        <r>
          <rPr>
            <sz val="11"/>
            <color theme="1"/>
            <rFont val="Calibri"/>
            <family val="2"/>
            <scheme val="minor"/>
          </rPr>
          <t>Diferença: data=nan | estados=ALAGOAS_FOMENTO_272024.pdf</t>
        </r>
      </text>
    </comment>
    <comment ref="B33" authorId="0" shapeId="0" xr:uid="{40679AF6-6FD4-419C-AF15-034729F4D3D4}">
      <text>
        <r>
          <rPr>
            <sz val="11"/>
            <color theme="1"/>
            <rFont val="Calibri"/>
            <family val="2"/>
            <scheme val="minor"/>
          </rPr>
          <t>Diferença: data=nan | estados=ALAGOAS_PRÊMIO_062024.pdf</t>
        </r>
      </text>
    </comment>
    <comment ref="B34" authorId="0" shapeId="0" xr:uid="{80AC094B-9C8D-47BE-8631-EF8D87265B6C}">
      <text>
        <r>
          <rPr>
            <sz val="11"/>
            <color theme="1"/>
            <rFont val="Calibri"/>
            <family val="2"/>
            <scheme val="minor"/>
          </rPr>
          <t>Diferença: data=nan | estados=ALAGOAS_PRÊMIO_162024.pdf</t>
        </r>
      </text>
    </comment>
    <comment ref="B35" authorId="0" shapeId="0" xr:uid="{A82A1EDE-3426-4518-8E89-7ABDB32CB972}">
      <text>
        <r>
          <rPr>
            <sz val="11"/>
            <color theme="1"/>
            <rFont val="Calibri"/>
            <family val="2"/>
            <scheme val="minor"/>
          </rPr>
          <t>Diferença: data=nan | estados=ALAGOAS_PRÊMIO_222024.pdf</t>
        </r>
      </text>
    </comment>
    <comment ref="B36" authorId="0" shapeId="0" xr:uid="{16CBDDC3-A1C6-451E-AFEE-66E09DDCBB8F}">
      <text>
        <r>
          <rPr>
            <sz val="11"/>
            <color theme="1"/>
            <rFont val="Calibri"/>
            <family val="2"/>
            <scheme val="minor"/>
          </rPr>
          <t>Diferença: data=nan | estados=ALAGOAS_SUBSÍDIO_302024.pdf</t>
        </r>
      </text>
    </comment>
    <comment ref="B37" authorId="0" shapeId="0" xr:uid="{CCE6A708-56C0-4559-9352-9B8324B811E8}">
      <text>
        <r>
          <rPr>
            <sz val="11"/>
            <color theme="1"/>
            <rFont val="Calibri"/>
            <family val="2"/>
            <scheme val="minor"/>
          </rPr>
          <t>Diferença: data=nan | estados=AMAPÁ_CULTURAVIVA_062024.pdf</t>
        </r>
      </text>
    </comment>
    <comment ref="B38" authorId="0" shapeId="0" xr:uid="{D04B375E-73B1-4924-951C-0AA4492FE898}">
      <text>
        <r>
          <rPr>
            <sz val="11"/>
            <color theme="1"/>
            <rFont val="Calibri"/>
            <family val="2"/>
            <scheme val="minor"/>
          </rPr>
          <t>Diferença: data=nan | estados=AMAPÁ_FOMENTO_012024.pdf</t>
        </r>
      </text>
    </comment>
    <comment ref="B39" authorId="0" shapeId="0" xr:uid="{FE14FF08-F696-46B9-BEF5-2D8F40D99970}">
      <text>
        <r>
          <rPr>
            <sz val="11"/>
            <color theme="1"/>
            <rFont val="Calibri"/>
            <family val="2"/>
            <scheme val="minor"/>
          </rPr>
          <t>Diferença: data=nan | estados=AMAPÁ_FOMENTO_022024.pdf</t>
        </r>
      </text>
    </comment>
    <comment ref="B40" authorId="0" shapeId="0" xr:uid="{445F6230-893C-435C-9117-35227F137171}">
      <text>
        <r>
          <rPr>
            <sz val="11"/>
            <color theme="1"/>
            <rFont val="Calibri"/>
            <family val="2"/>
            <scheme val="minor"/>
          </rPr>
          <t>Diferença: data=nan | estados=AMAPÁ_FOMENTO_032024.pdf</t>
        </r>
      </text>
    </comment>
    <comment ref="B41" authorId="0" shapeId="0" xr:uid="{D7ECC080-A9D7-4DC2-80B3-2472495832CE}">
      <text>
        <r>
          <rPr>
            <sz val="11"/>
            <color theme="1"/>
            <rFont val="Calibri"/>
            <family val="2"/>
            <scheme val="minor"/>
          </rPr>
          <t>Diferença: data=nan | estados=AMAPÁ_FOMENTO_042024.pdf</t>
        </r>
      </text>
    </comment>
    <comment ref="B42" authorId="0" shapeId="0" xr:uid="{EFD44A22-93EF-4CDC-A7F6-EEC399D9733F}">
      <text>
        <r>
          <rPr>
            <sz val="11"/>
            <color theme="1"/>
            <rFont val="Calibri"/>
            <family val="2"/>
            <scheme val="minor"/>
          </rPr>
          <t>Diferença: data=nan | estados=AMAPÁ_SUBSÍDIO_052024.pdf</t>
        </r>
      </text>
    </comment>
    <comment ref="B43" authorId="0" shapeId="0" xr:uid="{A0ED23B8-D76F-4F63-92E0-91C04469EFF2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estados=AMAZONAS_FOMENTO_022024.pdf</t>
        </r>
      </text>
    </comment>
    <comment ref="B44" authorId="0" shapeId="0" xr:uid="{0E7FD941-179A-4D88-86E3-F343D5193984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estados=AMAZONAS_FOMENTO_032024.pdf</t>
        </r>
      </text>
    </comment>
    <comment ref="B45" authorId="0" shapeId="0" xr:uid="{987E104D-393D-419B-A913-AC30C5C4986A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estados=AMAZONAS_FOMENTO_042024.pdf</t>
        </r>
      </text>
    </comment>
    <comment ref="B46" authorId="0" shapeId="0" xr:uid="{CF1BFC26-D1ED-4DFA-BFCB-5321B5D0B177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estados=AMAZONAS_FOMENTO_052024.pdf</t>
        </r>
      </text>
    </comment>
    <comment ref="B47" authorId="0" shapeId="0" xr:uid="{DAD2FE25-EBB5-4848-80AE-3C454563DC6C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estados=AMAZONAS_FOMENTO_062024.pdf</t>
        </r>
      </text>
    </comment>
    <comment ref="B48" authorId="0" shapeId="0" xr:uid="{E469C7EF-1278-427A-82D3-57F9F3A506D0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estados=AMAZONAS_FOMENTO_072024.pdf</t>
        </r>
      </text>
    </comment>
    <comment ref="B49" authorId="0" shapeId="0" xr:uid="{05BFD7D2-46AA-42C0-B4C2-412536131ED3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estados=AMAZONAS_FOMENTO_082024.pdf</t>
        </r>
      </text>
    </comment>
    <comment ref="B50" authorId="0" shapeId="0" xr:uid="{00D1A558-3DEF-4546-946F-7EB349B066AB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estados=AMAZONAS_FOMENTO_092024.pdf</t>
        </r>
      </text>
    </comment>
    <comment ref="B51" authorId="0" shapeId="0" xr:uid="{DA64036C-9AF1-4A8A-AC60-6B2E04B467E5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estados=AMAZONAS_FOMENTO_102024.pdf</t>
        </r>
      </text>
    </comment>
    <comment ref="D51" authorId="0" shapeId="0" xr:uid="{128B7F18-962B-4FF3-821A-9FC42BBF81FC}">
      <text>
        <r>
          <rPr>
            <sz val="11"/>
            <color theme="1"/>
            <rFont val="Calibri"/>
            <family val="2"/>
            <scheme val="minor"/>
          </rPr>
          <t>Diferença: data=0.0 | estados=1</t>
        </r>
      </text>
    </comment>
    <comment ref="E51" authorId="0" shapeId="0" xr:uid="{2EF5BAE2-2361-4394-A3CB-A667AD2DF0E3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B52" authorId="0" shapeId="0" xr:uid="{A5ACD0D3-1E6C-4039-B9FB-219237029A3A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estados=AMAZONAS_FOMENTO_112024.pdf</t>
        </r>
      </text>
    </comment>
    <comment ref="D52" authorId="0" shapeId="0" xr:uid="{B1BF6191-ACBA-4508-8465-1245EDBACF90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E52" authorId="0" shapeId="0" xr:uid="{F0FF1D9C-A5AF-4E01-8AC0-E105F48B77C7}">
      <text>
        <r>
          <rPr>
            <sz val="11"/>
            <color theme="1"/>
            <rFont val="Calibri"/>
            <family val="2"/>
            <scheme val="minor"/>
          </rPr>
          <t>Diferença: data=0.0 | estados=1</t>
        </r>
      </text>
    </comment>
    <comment ref="F52" authorId="0" shapeId="0" xr:uid="{844C1D78-39EE-4F1F-B8E5-9FF761FAC4A5}">
      <text>
        <r>
          <rPr>
            <sz val="11"/>
            <color theme="1"/>
            <rFont val="Calibri"/>
            <family val="2"/>
            <scheme val="minor"/>
          </rPr>
          <t>Diferença: data=0.05 | estados=0.125</t>
        </r>
      </text>
    </comment>
    <comment ref="B53" authorId="0" shapeId="0" xr:uid="{5BE18F67-0BD3-4F9B-84F5-7998B6AAC920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estados=AMAZONAS_FOMENTO_122024.pdf</t>
        </r>
      </text>
    </comment>
    <comment ref="B54" authorId="0" shapeId="0" xr:uid="{0E641D87-28C9-40E8-B618-2D3FBC81B2FB}">
      <text>
        <r>
          <rPr>
            <sz val="11"/>
            <color theme="1"/>
            <rFont val="Calibri"/>
            <family val="2"/>
            <scheme val="minor"/>
          </rPr>
          <t>Diferença: data=nan | estados=AMAZONAS_FOMENTO_132024.pdf</t>
        </r>
      </text>
    </comment>
    <comment ref="B61" authorId="0" shapeId="0" xr:uid="{14EACD48-D50D-4DDB-B0A4-AD154022E744}">
      <text>
        <r>
          <rPr>
            <sz val="11"/>
            <color theme="1"/>
            <rFont val="Calibri"/>
            <family val="2"/>
            <scheme val="minor"/>
          </rPr>
          <t>Diferença: data=nan | estados=2024-09_ARACAJU_BOLSA.pdf.pdf</t>
        </r>
      </text>
    </comment>
    <comment ref="E61" authorId="0" shapeId="0" xr:uid="{4F2721BC-B76A-468B-A2BB-6DDCE868725F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F61" authorId="0" shapeId="0" xr:uid="{AB87BB21-FB8E-4427-B689-3D94012199BC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B62" authorId="0" shapeId="0" xr:uid="{32930ECB-0AB0-408A-A7A1-502E6F949AB2}">
      <text>
        <r>
          <rPr>
            <sz val="11"/>
            <color theme="1"/>
            <rFont val="Calibri"/>
            <family val="2"/>
            <scheme val="minor"/>
          </rPr>
          <t>Diferença: data=nan | estados=2024-11_ARACAJU_CULTURAVIVA.pdf.pdf</t>
        </r>
      </text>
    </comment>
    <comment ref="B63" authorId="0" shapeId="0" xr:uid="{E92B25E0-8AC8-45B3-AC51-46E63B68ED82}">
      <text>
        <r>
          <rPr>
            <sz val="11"/>
            <color theme="1"/>
            <rFont val="Calibri"/>
            <family val="2"/>
            <scheme val="minor"/>
          </rPr>
          <t>Diferença: data=nan | estados=2025-06_ARACAJU_FOMENTO.pdf</t>
        </r>
      </text>
    </comment>
    <comment ref="B64" authorId="0" shapeId="0" xr:uid="{10430860-9EE5-46D0-B997-9B39A7302E50}">
      <text>
        <r>
          <rPr>
            <sz val="11"/>
            <color theme="1"/>
            <rFont val="Calibri"/>
            <family val="2"/>
            <scheme val="minor"/>
          </rPr>
          <t>Diferença: data=nan | estados=2024-12_ARACAJU_CULTURAVIVA.pdf.pdf</t>
        </r>
      </text>
    </comment>
    <comment ref="B65" authorId="0" shapeId="0" xr:uid="{BB0A3CDD-64CC-47C2-90EC-B03AB4C03B31}">
      <text>
        <r>
          <rPr>
            <sz val="11"/>
            <color theme="1"/>
            <rFont val="Calibri"/>
            <family val="2"/>
            <scheme val="minor"/>
          </rPr>
          <t>Diferença: data=nan | estados=BAHIA_BOLSA_242024.pdf</t>
        </r>
      </text>
    </comment>
    <comment ref="B66" authorId="0" shapeId="0" xr:uid="{3D9BDAEB-E6DD-489F-9769-B33DB1C097C6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estados=BAHIA_CULTURAVIVA_252024.pdf</t>
        </r>
      </text>
    </comment>
    <comment ref="E66" authorId="0" shapeId="0" xr:uid="{F3F6B3B0-89E0-4207-BFD1-C2E420BE0E3A}">
      <text>
        <r>
          <rPr>
            <sz val="11"/>
            <color theme="1"/>
            <rFont val="Calibri"/>
            <family val="2"/>
            <scheme val="minor"/>
          </rPr>
          <t>Diferença: data=nan | estados=0.5</t>
        </r>
      </text>
    </comment>
    <comment ref="B67" authorId="0" shapeId="0" xr:uid="{DACCA793-F028-4D46-A432-91B6B5E22750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estados=BAHIA_CULTURAVIVA_262024.pdf</t>
        </r>
      </text>
    </comment>
    <comment ref="B68" authorId="0" shapeId="0" xr:uid="{03011C93-995C-4C5A-9FAB-7888FD4F562C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estados=BAHIA_CULTURAVIVA_272024.pdf</t>
        </r>
      </text>
    </comment>
    <comment ref="B69" authorId="0" shapeId="0" xr:uid="{A3AAC0DF-97FA-47EC-8905-C74BB5E1B9BD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estados=BAHIA_CULTURAVIVA_282024.pdf</t>
        </r>
      </text>
    </comment>
    <comment ref="B70" authorId="0" shapeId="0" xr:uid="{8B599811-54F0-4686-AF50-1BAF47FC76EE}">
      <text>
        <r>
          <rPr>
            <sz val="11"/>
            <color theme="1"/>
            <rFont val="Calibri"/>
            <family val="2"/>
            <scheme val="minor"/>
          </rPr>
          <t>Diferença: data=nan | estados=BAHIA_CULTURAVIVA_292024.pdf</t>
        </r>
      </text>
    </comment>
    <comment ref="B71" authorId="0" shapeId="0" xr:uid="{A07D9C36-3F9B-41D0-93D8-55D55A8F1A01}">
      <text>
        <r>
          <rPr>
            <sz val="11"/>
            <color theme="1"/>
            <rFont val="Calibri"/>
            <family val="2"/>
            <scheme val="minor"/>
          </rPr>
          <t>Diferença: data=nan | estados=BAHIA_FOMENTO_052024.pdf</t>
        </r>
      </text>
    </comment>
    <comment ref="B72" authorId="0" shapeId="0" xr:uid="{D69B2B75-88E8-4F2F-B6D0-CBA2A374DC60}">
      <text>
        <r>
          <rPr>
            <sz val="11"/>
            <color theme="1"/>
            <rFont val="Calibri"/>
            <family val="2"/>
            <scheme val="minor"/>
          </rPr>
          <t>Diferença: data=nan | estados=BAHIA_FOMENTO_062024.pdf</t>
        </r>
      </text>
    </comment>
    <comment ref="B73" authorId="0" shapeId="0" xr:uid="{28407732-66EB-41B5-A395-410D0DD9747F}">
      <text>
        <r>
          <rPr>
            <sz val="11"/>
            <color theme="1"/>
            <rFont val="Calibri"/>
            <family val="2"/>
            <scheme val="minor"/>
          </rPr>
          <t>Diferença: data=nan | estados=BAHIA_FOMENTO_072024.pdf</t>
        </r>
      </text>
    </comment>
    <comment ref="B74" authorId="0" shapeId="0" xr:uid="{DD1CBA38-E8A2-40F0-AE87-7A74C30CED5E}">
      <text>
        <r>
          <rPr>
            <sz val="11"/>
            <color theme="1"/>
            <rFont val="Calibri"/>
            <family val="2"/>
            <scheme val="minor"/>
          </rPr>
          <t>Diferença: data=nan | estados=BAHIA_FOMENTO_082024.pdf</t>
        </r>
      </text>
    </comment>
    <comment ref="B75" authorId="0" shapeId="0" xr:uid="{F40B4812-1B35-4F8E-9244-CAA91875D0CD}">
      <text>
        <r>
          <rPr>
            <sz val="11"/>
            <color theme="1"/>
            <rFont val="Calibri"/>
            <family val="2"/>
            <scheme val="minor"/>
          </rPr>
          <t>Diferença: data=nan | estados=BAHIA_FOMENTO_092024.pdf</t>
        </r>
      </text>
    </comment>
    <comment ref="B76" authorId="0" shapeId="0" xr:uid="{EEBACADF-7F0E-4221-A631-788F70A34EDC}">
      <text>
        <r>
          <rPr>
            <sz val="11"/>
            <color theme="1"/>
            <rFont val="Calibri"/>
            <family val="2"/>
            <scheme val="minor"/>
          </rPr>
          <t>Diferença: data=nan | estados=BAHIA_FOMENTO_102024.pdf</t>
        </r>
      </text>
    </comment>
    <comment ref="E76" authorId="0" shapeId="0" xr:uid="{8EC415E4-01FE-4F86-9EEE-0C5730601E09}">
      <text>
        <r>
          <rPr>
            <sz val="11"/>
            <color theme="1"/>
            <rFont val="Calibri"/>
            <family val="2"/>
            <scheme val="minor"/>
          </rPr>
          <t>Diferença: data=0.1 | estados=0.17</t>
        </r>
      </text>
    </comment>
    <comment ref="F76" authorId="0" shapeId="0" xr:uid="{6DEA620A-0994-4E2D-8049-024138343C6C}">
      <text>
        <r>
          <rPr>
            <sz val="11"/>
            <color theme="1"/>
            <rFont val="Calibri"/>
            <family val="2"/>
            <scheme val="minor"/>
          </rPr>
          <t>Diferença: data=nan | estados=0.08</t>
        </r>
      </text>
    </comment>
    <comment ref="B77" authorId="0" shapeId="0" xr:uid="{4A0FDD24-41FB-4CA8-B287-2D3DB8B17F0C}">
      <text>
        <r>
          <rPr>
            <sz val="11"/>
            <color theme="1"/>
            <rFont val="Calibri"/>
            <family val="2"/>
            <scheme val="minor"/>
          </rPr>
          <t>Diferença: data=nan | estados=BAHIA_FOMENTO_112024.pdf</t>
        </r>
      </text>
    </comment>
    <comment ref="F77" authorId="0" shapeId="0" xr:uid="{234BD14E-3F8A-47B4-AD99-A8E4E24FF7A6}">
      <text>
        <r>
          <rPr>
            <sz val="11"/>
            <color theme="1"/>
            <rFont val="Calibri"/>
            <family val="2"/>
            <scheme val="minor"/>
          </rPr>
          <t>Diferença: data=nan | estados=0.1</t>
        </r>
      </text>
    </comment>
    <comment ref="B78" authorId="0" shapeId="0" xr:uid="{5545EFE9-974B-4DC5-AD07-4CF49BD96012}">
      <text>
        <r>
          <rPr>
            <sz val="11"/>
            <color theme="1"/>
            <rFont val="Calibri"/>
            <family val="2"/>
            <scheme val="minor"/>
          </rPr>
          <t>Diferença: data=nan | estados=BAHIA_FOMENTO_122024.pdf</t>
        </r>
      </text>
    </comment>
    <comment ref="B79" authorId="0" shapeId="0" xr:uid="{F5C78BCE-03CE-47DC-AFA4-FBA4D71245DF}">
      <text>
        <r>
          <rPr>
            <sz val="11"/>
            <color theme="1"/>
            <rFont val="Calibri"/>
            <family val="2"/>
            <scheme val="minor"/>
          </rPr>
          <t>Diferença: data=nan | estados=BAHIA_FOMENTO_132024.pdf</t>
        </r>
      </text>
    </comment>
    <comment ref="E79" authorId="0" shapeId="0" xr:uid="{F620A51F-2D38-4246-840D-83CE2D1F36D0}">
      <text>
        <r>
          <rPr>
            <sz val="11"/>
            <color theme="1"/>
            <rFont val="Calibri"/>
            <family val="2"/>
            <scheme val="minor"/>
          </rPr>
          <t>Diferença: data=0.1 | estados=0.12</t>
        </r>
      </text>
    </comment>
    <comment ref="B80" authorId="0" shapeId="0" xr:uid="{B4B5603E-74DD-417C-88AE-AD1F33DDAFC4}">
      <text>
        <r>
          <rPr>
            <sz val="11"/>
            <color theme="1"/>
            <rFont val="Calibri"/>
            <family val="2"/>
            <scheme val="minor"/>
          </rPr>
          <t>Diferença: data=nan | estados=BAHIA_FOMENTO_142024.pdf</t>
        </r>
      </text>
    </comment>
    <comment ref="D80" authorId="0" shapeId="0" xr:uid="{637C83FA-185B-4BCA-94EC-57312AA03C3E}">
      <text>
        <r>
          <rPr>
            <sz val="11"/>
            <color theme="1"/>
            <rFont val="Calibri"/>
            <family val="2"/>
            <scheme val="minor"/>
          </rPr>
          <t>Diferença: data=0.5 | estados=0.4</t>
        </r>
      </text>
    </comment>
    <comment ref="E80" authorId="0" shapeId="0" xr:uid="{4F488CDB-5123-4F3D-83DB-122F9D79CE05}">
      <text>
        <r>
          <rPr>
            <sz val="11"/>
            <color theme="1"/>
            <rFont val="Calibri"/>
            <family val="2"/>
            <scheme val="minor"/>
          </rPr>
          <t>Diferença: data=0.1 | estados=0.2</t>
        </r>
      </text>
    </comment>
    <comment ref="B81" authorId="0" shapeId="0" xr:uid="{118C4234-8156-4D24-BABF-1B0B670420E6}">
      <text>
        <r>
          <rPr>
            <sz val="11"/>
            <color theme="1"/>
            <rFont val="Calibri"/>
            <family val="2"/>
            <scheme val="minor"/>
          </rPr>
          <t>Diferença: data=nan | estados=BAHIA_FOMENTO_152024.pdf</t>
        </r>
      </text>
    </comment>
    <comment ref="D81" authorId="0" shapeId="0" xr:uid="{24098EF0-DFD8-4CB3-896D-29A86A738D40}">
      <text>
        <r>
          <rPr>
            <sz val="11"/>
            <color theme="1"/>
            <rFont val="Calibri"/>
            <family val="2"/>
            <scheme val="minor"/>
          </rPr>
          <t>Diferença: data=0.5 | estados=0.55</t>
        </r>
      </text>
    </comment>
    <comment ref="E81" authorId="0" shapeId="0" xr:uid="{C7AC035D-BE21-435B-9C69-34C95068E212}">
      <text>
        <r>
          <rPr>
            <sz val="11"/>
            <color theme="1"/>
            <rFont val="Calibri"/>
            <family val="2"/>
            <scheme val="minor"/>
          </rPr>
          <t>Diferença: data=0.1 | estados=0.15</t>
        </r>
      </text>
    </comment>
    <comment ref="F81" authorId="0" shapeId="0" xr:uid="{0E6D60F0-B204-4E19-B762-D30C05981C50}">
      <text>
        <r>
          <rPr>
            <sz val="11"/>
            <color theme="1"/>
            <rFont val="Calibri"/>
            <family val="2"/>
            <scheme val="minor"/>
          </rPr>
          <t>Diferença: data=nan | estados=0.05</t>
        </r>
      </text>
    </comment>
    <comment ref="B82" authorId="0" shapeId="0" xr:uid="{67B12DE5-B626-4E6D-8C01-4E1E30A4BEBF}">
      <text>
        <r>
          <rPr>
            <sz val="11"/>
            <color theme="1"/>
            <rFont val="Calibri"/>
            <family val="2"/>
            <scheme val="minor"/>
          </rPr>
          <t>Diferença: data=nan | estados=BAHIA_FOMENTO_162024.pdf</t>
        </r>
      </text>
    </comment>
    <comment ref="B83" authorId="0" shapeId="0" xr:uid="{69FA3DBF-5FBD-419E-B17B-34438977DCF1}">
      <text>
        <r>
          <rPr>
            <sz val="11"/>
            <color theme="1"/>
            <rFont val="Calibri"/>
            <family val="2"/>
            <scheme val="minor"/>
          </rPr>
          <t>Diferença: data=nan | estados=BAHIA_FOMENTO_172024.pdf</t>
        </r>
      </text>
    </comment>
    <comment ref="B84" authorId="0" shapeId="0" xr:uid="{835604D5-4FC9-4F70-A798-964CA98DD6A0}">
      <text>
        <r>
          <rPr>
            <sz val="11"/>
            <color theme="1"/>
            <rFont val="Calibri"/>
            <family val="2"/>
            <scheme val="minor"/>
          </rPr>
          <t>Diferença: data=nan | estados=BAHIA_FOMENTO_182024.pdf</t>
        </r>
      </text>
    </comment>
    <comment ref="B85" authorId="0" shapeId="0" xr:uid="{96F88890-8296-441C-800E-687AF3EE7772}">
      <text>
        <r>
          <rPr>
            <sz val="11"/>
            <color theme="1"/>
            <rFont val="Calibri"/>
            <family val="2"/>
            <scheme val="minor"/>
          </rPr>
          <t>Diferença: data=nan | estados=BAHIA_FOMENTO_192024.pdf</t>
        </r>
      </text>
    </comment>
    <comment ref="B86" authorId="0" shapeId="0" xr:uid="{B2A528B4-9A61-4297-9D49-939068196524}">
      <text>
        <r>
          <rPr>
            <sz val="11"/>
            <color theme="1"/>
            <rFont val="Calibri"/>
            <family val="2"/>
            <scheme val="minor"/>
          </rPr>
          <t>Diferença: data=nan | estados=BAHIA_FOMENTO_202024.pdf</t>
        </r>
      </text>
    </comment>
    <comment ref="B87" authorId="0" shapeId="0" xr:uid="{53287B34-6974-4E4F-B243-036625DFB00A}">
      <text>
        <r>
          <rPr>
            <sz val="11"/>
            <color theme="1"/>
            <rFont val="Calibri"/>
            <family val="2"/>
            <scheme val="minor"/>
          </rPr>
          <t>Diferença: data=nan | estados=BAHIA_PRÊMIO_012024.pdf</t>
        </r>
      </text>
    </comment>
    <comment ref="B88" authorId="0" shapeId="0" xr:uid="{F46B1C8D-67C2-4E0B-9C18-0D66FE7361B4}">
      <text>
        <r>
          <rPr>
            <sz val="11"/>
            <color theme="1"/>
            <rFont val="Calibri"/>
            <family val="2"/>
            <scheme val="minor"/>
          </rPr>
          <t>Diferença: data=nan | estados=BAHIA_PRÊMIO_022024.pdf</t>
        </r>
      </text>
    </comment>
    <comment ref="B89" authorId="0" shapeId="0" xr:uid="{F074D6FF-7558-4BF0-BB75-4199481031CB}">
      <text>
        <r>
          <rPr>
            <sz val="11"/>
            <color theme="1"/>
            <rFont val="Calibri"/>
            <family val="2"/>
            <scheme val="minor"/>
          </rPr>
          <t>Diferença: data=nan | estados=BAHIA_PRÊMIO_032024.pdf</t>
        </r>
      </text>
    </comment>
    <comment ref="B90" authorId="0" shapeId="0" xr:uid="{F3B12356-53C6-4D7B-B4E7-DD9E61A83CA8}">
      <text>
        <r>
          <rPr>
            <sz val="11"/>
            <color theme="1"/>
            <rFont val="Calibri"/>
            <family val="2"/>
            <scheme val="minor"/>
          </rPr>
          <t>Diferença: data=nan | estados=BAHIA_PRÊMIO_042024.pdf</t>
        </r>
      </text>
    </comment>
    <comment ref="B91" authorId="0" shapeId="0" xr:uid="{8AAA2D20-0195-4FF7-A7CD-DD82BF1B4268}">
      <text>
        <r>
          <rPr>
            <sz val="11"/>
            <color theme="1"/>
            <rFont val="Calibri"/>
            <family val="2"/>
            <scheme val="minor"/>
          </rPr>
          <t>Diferença: data=nan | estados=BAHIA_SUBSÍDIO_212024.pdf</t>
        </r>
      </text>
    </comment>
    <comment ref="B92" authorId="0" shapeId="0" xr:uid="{77BDAEF1-ADC5-4762-BF1A-27BD7E8442EF}">
      <text>
        <r>
          <rPr>
            <sz val="11"/>
            <color theme="1"/>
            <rFont val="Calibri"/>
            <family val="2"/>
            <scheme val="minor"/>
          </rPr>
          <t>Diferença: data=nan | estados=BAHIA_SUBSÍDIO_222024.pdf</t>
        </r>
      </text>
    </comment>
    <comment ref="D92" authorId="0" shapeId="0" xr:uid="{0768E205-2726-433B-AD5A-BFBBD6DF933B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E92" authorId="0" shapeId="0" xr:uid="{DDC95403-9BE3-47AB-8766-953569E8C54D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F92" authorId="0" shapeId="0" xr:uid="{AE2427B5-1C6F-4C41-B4AB-921B19D2703C}">
      <text>
        <r>
          <rPr>
            <sz val="11"/>
            <color theme="1"/>
            <rFont val="Calibri"/>
            <family val="2"/>
            <scheme val="minor"/>
          </rPr>
          <t>Diferença: data=0.0465 | estados=0.0465116279069767</t>
        </r>
      </text>
    </comment>
    <comment ref="B93" authorId="0" shapeId="0" xr:uid="{5383CF27-BFEB-4D54-A819-D8724719A7D1}">
      <text>
        <r>
          <rPr>
            <sz val="11"/>
            <color theme="1"/>
            <rFont val="Calibri"/>
            <family val="2"/>
            <scheme val="minor"/>
          </rPr>
          <t>Diferença: data=nan | estados=BAHIA_SUBSÍDIO_232024.pdf</t>
        </r>
      </text>
    </comment>
    <comment ref="B94" authorId="0" shapeId="0" xr:uid="{C21FEE93-360F-4E36-9955-D14CC8498CB2}">
      <text>
        <r>
          <rPr>
            <sz val="11"/>
            <color theme="1"/>
            <rFont val="Calibri"/>
            <family val="2"/>
            <scheme val="minor"/>
          </rPr>
          <t>Diferença: data=nan | estados=2024-04_BELÉM_FOMENTO.pdf.pdf</t>
        </r>
      </text>
    </comment>
    <comment ref="B95" authorId="0" shapeId="0" xr:uid="{3622E072-9D13-414F-9784-33D5714AEB2F}">
      <text>
        <r>
          <rPr>
            <sz val="11"/>
            <color theme="1"/>
            <rFont val="Calibri"/>
            <family val="2"/>
            <scheme val="minor"/>
          </rPr>
          <t>Diferença: data=nan | estados=2024-01_BH_CULTURAVIVA.pdf</t>
        </r>
      </text>
    </comment>
    <comment ref="B96" authorId="0" shapeId="0" xr:uid="{803379D5-326E-4C71-A182-5561CAACBC03}">
      <text>
        <r>
          <rPr>
            <sz val="11"/>
            <color theme="1"/>
            <rFont val="Calibri"/>
            <family val="2"/>
            <scheme val="minor"/>
          </rPr>
          <t>Diferença: data=nan | estados=2024-03_BH_FOMENTO.pdf</t>
        </r>
      </text>
    </comment>
    <comment ref="B97" authorId="0" shapeId="0" xr:uid="{EE87D7EB-4155-46F1-A8A7-74DD544A8DC8}">
      <text>
        <r>
          <rPr>
            <sz val="11"/>
            <color theme="1"/>
            <rFont val="Calibri"/>
            <family val="2"/>
            <scheme val="minor"/>
          </rPr>
          <t>Diferença: data=nan | estados=2024-02_BH_PRÊMIO.pdf</t>
        </r>
      </text>
    </comment>
    <comment ref="B98" authorId="0" shapeId="0" xr:uid="{55D40E47-C9E8-4B1B-87A3-2B416F426AAC}">
      <text>
        <r>
          <rPr>
            <sz val="11"/>
            <color theme="1"/>
            <rFont val="Calibri"/>
            <family val="2"/>
            <scheme val="minor"/>
          </rPr>
          <t>Diferença: data=nan | estados=2025-05_BOAVISTA_CULTURAVIVA.pdf</t>
        </r>
      </text>
    </comment>
    <comment ref="B99" authorId="0" shapeId="0" xr:uid="{AB29EC1B-2E79-4895-A1F1-60C43E6F9CCA}">
      <text>
        <r>
          <rPr>
            <sz val="11"/>
            <color theme="1"/>
            <rFont val="Calibri"/>
            <family val="2"/>
            <scheme val="minor"/>
          </rPr>
          <t>Diferença: data=nan | estados=2025-04_BOAVISTA_FOMENTO.pdf</t>
        </r>
      </text>
    </comment>
    <comment ref="B100" authorId="0" shapeId="0" xr:uid="{864FC373-9FAE-4827-A8C8-F06906F466EA}">
      <text>
        <r>
          <rPr>
            <sz val="11"/>
            <color theme="1"/>
            <rFont val="Calibri"/>
            <family val="2"/>
            <scheme val="minor"/>
          </rPr>
          <t>Diferença: data=nan | estados=2025-06_BOAVISTA_FOMENTO.pdf</t>
        </r>
      </text>
    </comment>
    <comment ref="B101" authorId="0" shapeId="0" xr:uid="{248E75F0-94BF-4ACA-8137-0C054C72ED37}">
      <text>
        <r>
          <rPr>
            <sz val="11"/>
            <color theme="1"/>
            <rFont val="Calibri"/>
            <family val="2"/>
            <scheme val="minor"/>
          </rPr>
          <t>Diferença: data=nan | estados=2025-13_CAMPOGRANDE_FOMENTO.pdf</t>
        </r>
      </text>
    </comment>
    <comment ref="B102" authorId="0" shapeId="0" xr:uid="{1972173B-4C04-4862-A3F4-D581C29560B1}">
      <text>
        <r>
          <rPr>
            <sz val="11"/>
            <color theme="1"/>
            <rFont val="Calibri"/>
            <family val="2"/>
            <scheme val="minor"/>
          </rPr>
          <t>Diferença: data=nan | estados=2024-13_CAMPOGRANDE_FOMENTO.pdf</t>
        </r>
      </text>
    </comment>
    <comment ref="B103" authorId="0" shapeId="0" xr:uid="{C19B35F0-D40B-4E0C-9816-54C8DCC3984F}">
      <text>
        <r>
          <rPr>
            <sz val="11"/>
            <color theme="1"/>
            <rFont val="Calibri"/>
            <family val="2"/>
            <scheme val="minor"/>
          </rPr>
          <t>Diferença: data=nan | estados=2024-12_CAMPOGRANDE_SUBSÍDIO.pdf</t>
        </r>
      </text>
    </comment>
    <comment ref="B104" authorId="0" shapeId="0" xr:uid="{31274AC5-BBC0-489C-9F1D-E5280B46D616}">
      <text>
        <r>
          <rPr>
            <sz val="11"/>
            <color theme="1"/>
            <rFont val="Calibri"/>
            <family val="2"/>
            <scheme val="minor"/>
          </rPr>
          <t>Diferença: data=nan | estados=2024-14_CAMPOGRANDE_FOMENTO.pdf</t>
        </r>
      </text>
    </comment>
    <comment ref="B105" authorId="0" shapeId="0" xr:uid="{C2A96F51-2E01-4610-804C-DAF536653455}">
      <text>
        <r>
          <rPr>
            <sz val="11"/>
            <color theme="1"/>
            <rFont val="Calibri"/>
            <family val="2"/>
            <scheme val="minor"/>
          </rPr>
          <t>Diferença: data=nan | estados=CEARÁ_CULTURAVIVA_07.pdf</t>
        </r>
      </text>
    </comment>
    <comment ref="B106" authorId="0" shapeId="0" xr:uid="{B4873536-5C88-4EE2-A16A-762977701466}">
      <text>
        <r>
          <rPr>
            <sz val="11"/>
            <color theme="1"/>
            <rFont val="Calibri"/>
            <family val="2"/>
            <scheme val="minor"/>
          </rPr>
          <t>Diferença: data=nan | estados=CEARÁ_CULTURAVIVA_09.pdf</t>
        </r>
      </text>
    </comment>
    <comment ref="B107" authorId="0" shapeId="0" xr:uid="{B957D18D-0C0D-4D4E-911A-C611E49EEDE1}">
      <text>
        <r>
          <rPr>
            <sz val="11"/>
            <color theme="1"/>
            <rFont val="Calibri"/>
            <family val="2"/>
            <scheme val="minor"/>
          </rPr>
          <t>Diferença: data=nan | estados=CEARÁ_CULTURAVIVA_10.pdf</t>
        </r>
      </text>
    </comment>
    <comment ref="B108" authorId="0" shapeId="0" xr:uid="{85E300DA-9A7B-44F5-A820-D5FD0BA28005}">
      <text>
        <r>
          <rPr>
            <sz val="11"/>
            <color theme="1"/>
            <rFont val="Calibri"/>
            <family val="2"/>
            <scheme val="minor"/>
          </rPr>
          <t>Diferença: data=nan | estados=CEARÁ_CULTURAVIVA_11.pdf</t>
        </r>
      </text>
    </comment>
    <comment ref="B109" authorId="0" shapeId="0" xr:uid="{4F101F10-4224-4119-B4B5-658D87E49906}">
      <text>
        <r>
          <rPr>
            <sz val="11"/>
            <color theme="1"/>
            <rFont val="Calibri"/>
            <family val="2"/>
            <scheme val="minor"/>
          </rPr>
          <t>Diferença: data=nan | estados=CEARÁ_FOMENTO_01.pdf</t>
        </r>
      </text>
    </comment>
    <comment ref="B110" authorId="0" shapeId="0" xr:uid="{666639B9-15B4-4D26-8138-983313660FC3}">
      <text>
        <r>
          <rPr>
            <sz val="11"/>
            <color theme="1"/>
            <rFont val="Calibri"/>
            <family val="2"/>
            <scheme val="minor"/>
          </rPr>
          <t>Diferença: data=nan | estados=CEARÁ_FOMENTO_02.pdf</t>
        </r>
      </text>
    </comment>
    <comment ref="B111" authorId="0" shapeId="0" xr:uid="{D60C6042-D2FF-4950-9C2F-33323F581A37}">
      <text>
        <r>
          <rPr>
            <sz val="11"/>
            <color theme="1"/>
            <rFont val="Calibri"/>
            <family val="2"/>
            <scheme val="minor"/>
          </rPr>
          <t>Diferença: data=nan | estados=CEARÁ_FOMENTO_03.pdf</t>
        </r>
      </text>
    </comment>
    <comment ref="B112" authorId="0" shapeId="0" xr:uid="{745FA36D-2E48-40D5-B9DE-F0893F720098}">
      <text>
        <r>
          <rPr>
            <sz val="11"/>
            <color theme="1"/>
            <rFont val="Calibri"/>
            <family val="2"/>
            <scheme val="minor"/>
          </rPr>
          <t>Diferença: data=nan | estados=CEARÁ_FOMENTO_04.pdf</t>
        </r>
      </text>
    </comment>
    <comment ref="B113" authorId="0" shapeId="0" xr:uid="{0CD08312-FFAD-4598-8AA6-E599B388793C}">
      <text>
        <r>
          <rPr>
            <sz val="11"/>
            <color theme="1"/>
            <rFont val="Calibri"/>
            <family val="2"/>
            <scheme val="minor"/>
          </rPr>
          <t>Diferença: data=nan | estados=CEARÁ_FOMENTO_12.pdf</t>
        </r>
      </text>
    </comment>
    <comment ref="B114" authorId="0" shapeId="0" xr:uid="{924F6B58-4F31-4D4C-BCD3-BC14401E015E}">
      <text>
        <r>
          <rPr>
            <sz val="11"/>
            <color theme="1"/>
            <rFont val="Calibri"/>
            <family val="2"/>
            <scheme val="minor"/>
          </rPr>
          <t>Diferença: data=nan | estados=CEARÁ_FOMENTO_13.pdf</t>
        </r>
      </text>
    </comment>
    <comment ref="B115" authorId="0" shapeId="0" xr:uid="{E54F7392-0425-449D-85F2-D94E22DB266A}">
      <text>
        <r>
          <rPr>
            <sz val="11"/>
            <color theme="1"/>
            <rFont val="Calibri"/>
            <family val="2"/>
            <scheme val="minor"/>
          </rPr>
          <t>Diferença: data=nan | estados=CEARÁ_FOMENTO_14.pdf</t>
        </r>
      </text>
    </comment>
    <comment ref="B116" authorId="0" shapeId="0" xr:uid="{EAECF067-AD30-48B7-B151-E08DC5CE1642}">
      <text>
        <r>
          <rPr>
            <sz val="11"/>
            <color theme="1"/>
            <rFont val="Calibri"/>
            <family val="2"/>
            <scheme val="minor"/>
          </rPr>
          <t>Diferença: data=nan | estados=CEARÁ_FOMENTO_15.pdf</t>
        </r>
      </text>
    </comment>
    <comment ref="B117" authorId="0" shapeId="0" xr:uid="{74C57D7B-D6E4-49D9-B7B4-7725A19E7E6B}">
      <text>
        <r>
          <rPr>
            <sz val="11"/>
            <color theme="1"/>
            <rFont val="Calibri"/>
            <family val="2"/>
            <scheme val="minor"/>
          </rPr>
          <t>Diferença: data=nan | estados=CEARÁ_FOMENTO_16.pdf</t>
        </r>
      </text>
    </comment>
    <comment ref="B118" authorId="0" shapeId="0" xr:uid="{55AD7277-F63F-462B-900D-6CC080EAAA24}">
      <text>
        <r>
          <rPr>
            <sz val="11"/>
            <color theme="1"/>
            <rFont val="Calibri"/>
            <family val="2"/>
            <scheme val="minor"/>
          </rPr>
          <t>Diferença: data=nan | estados=CEARÁ_FOMENTO_17.pdf</t>
        </r>
      </text>
    </comment>
    <comment ref="B119" authorId="0" shapeId="0" xr:uid="{9E673BBA-3770-45F0-9A23-86CDF7235C71}">
      <text>
        <r>
          <rPr>
            <sz val="11"/>
            <color theme="1"/>
            <rFont val="Calibri"/>
            <family val="2"/>
            <scheme val="minor"/>
          </rPr>
          <t>Diferença: data=nan | estados=CEARÁ_PRÊMIO_06.pdf</t>
        </r>
      </text>
    </comment>
    <comment ref="B121" authorId="0" shapeId="0" xr:uid="{887A03A0-6F6A-4D54-AE70-BC4471AD0E5B}">
      <text>
        <r>
          <rPr>
            <sz val="11"/>
            <color theme="1"/>
            <rFont val="Calibri"/>
            <family val="2"/>
            <scheme val="minor"/>
          </rPr>
          <t>Diferença: data=nan | estados=2024-01_CUIABÁ_FOMENTO.pdf</t>
        </r>
      </text>
    </comment>
    <comment ref="B122" authorId="0" shapeId="0" xr:uid="{9A43F6CF-7985-4D4D-8A5A-00FAFB032A43}">
      <text>
        <r>
          <rPr>
            <sz val="11"/>
            <color theme="1"/>
            <rFont val="Calibri"/>
            <family val="2"/>
            <scheme val="minor"/>
          </rPr>
          <t>Diferença: data=nan | estados=2024-03_CUIABÁ_CULTURAVIVA.pdf</t>
        </r>
      </text>
    </comment>
    <comment ref="B123" authorId="0" shapeId="0" xr:uid="{EAEAD51C-93E6-4F66-A9EC-F5813044FA5C}">
      <text>
        <r>
          <rPr>
            <sz val="11"/>
            <color theme="1"/>
            <rFont val="Calibri"/>
            <family val="2"/>
            <scheme val="minor"/>
          </rPr>
          <t>Diferença: data=nan | estados=2024-02_CUIABÁ_SUBSÍDIO.pdf</t>
        </r>
      </text>
    </comment>
    <comment ref="B124" authorId="0" shapeId="0" xr:uid="{E9B3F4E0-58DD-4A23-8331-FD793E3F55A8}">
      <text>
        <r>
          <rPr>
            <sz val="11"/>
            <color theme="1"/>
            <rFont val="Calibri"/>
            <family val="2"/>
            <scheme val="minor"/>
          </rPr>
          <t>Diferença: data=nan | estados=2024-31_CURITIBA_CULTURAVIVA.pdf.pdf</t>
        </r>
      </text>
    </comment>
    <comment ref="B125" authorId="0" shapeId="0" xr:uid="{B1C12B6E-4CA3-41FD-B43F-F4D3EEAEB552}">
      <text>
        <r>
          <rPr>
            <sz val="11"/>
            <color theme="1"/>
            <rFont val="Calibri"/>
            <family val="2"/>
            <scheme val="minor"/>
          </rPr>
          <t>Diferença: data=nan | estados=2025-10_CURITIBA_CULTURAVIVA.pdf.pdf</t>
        </r>
      </text>
    </comment>
    <comment ref="B126" authorId="0" shapeId="0" xr:uid="{4BC15C62-5EB9-4930-BCEF-FAD734E5F9C2}">
      <text>
        <r>
          <rPr>
            <sz val="11"/>
            <color theme="1"/>
            <rFont val="Calibri"/>
            <family val="2"/>
            <scheme val="minor"/>
          </rPr>
          <t>Diferença: data=nan | estados=2024-32_CURITIBA_FOMENTO.pdf</t>
        </r>
      </text>
    </comment>
    <comment ref="B127" authorId="0" shapeId="0" xr:uid="{7349052E-0C1D-4A5D-BCB6-87E96592981A}">
      <text>
        <r>
          <rPr>
            <sz val="11"/>
            <color theme="1"/>
            <rFont val="Calibri"/>
            <family val="2"/>
            <scheme val="minor"/>
          </rPr>
          <t>Diferença: data=nan | estados=DF_CULTURAVIVA_462024.pdf</t>
        </r>
      </text>
    </comment>
    <comment ref="B128" authorId="0" shapeId="0" xr:uid="{CDD7D231-FB7D-42E1-B84F-7BA8F8FA2BA0}">
      <text>
        <r>
          <rPr>
            <sz val="11"/>
            <color theme="1"/>
            <rFont val="Calibri"/>
            <family val="2"/>
            <scheme val="minor"/>
          </rPr>
          <t>Diferença: data=nan | estados=DF_CULTURAVIVA_482024.pdf</t>
        </r>
      </text>
    </comment>
    <comment ref="B129" authorId="0" shapeId="0" xr:uid="{FF2EDEEE-3E9A-4B97-B165-D5A7B41ABF9B}">
      <text>
        <r>
          <rPr>
            <sz val="11"/>
            <color theme="1"/>
            <rFont val="Calibri"/>
            <family val="2"/>
            <scheme val="minor"/>
          </rPr>
          <t>Diferença: data=nan | estados=DF_CULTURAVIVA_492024.pdf</t>
        </r>
      </text>
    </comment>
    <comment ref="B130" authorId="0" shapeId="0" xr:uid="{2E1E0333-9C49-43A6-8A57-EA293B2B6A6E}">
      <text>
        <r>
          <rPr>
            <sz val="11"/>
            <color theme="1"/>
            <rFont val="Calibri"/>
            <family val="2"/>
            <scheme val="minor"/>
          </rPr>
          <t>Diferença: data=nan | estados=DF_FOMENTO_512024.pdf</t>
        </r>
      </text>
    </comment>
    <comment ref="B131" authorId="0" shapeId="0" xr:uid="{1CE02600-7F7C-4805-91F2-74FAAF5401C4}">
      <text>
        <r>
          <rPr>
            <sz val="11"/>
            <color theme="1"/>
            <rFont val="Calibri"/>
            <family val="2"/>
            <scheme val="minor"/>
          </rPr>
          <t>Diferença: data=nan | estados=ES_CULTURAVIVA_052024.pdf</t>
        </r>
      </text>
    </comment>
    <comment ref="B132" authorId="0" shapeId="0" xr:uid="{5BFA870D-7406-41B1-9652-EDDC0F87A01D}">
      <text>
        <r>
          <rPr>
            <sz val="11"/>
            <color theme="1"/>
            <rFont val="Calibri"/>
            <family val="2"/>
            <scheme val="minor"/>
          </rPr>
          <t>Diferença: data=nan | estados=ES_CULTURAVIVA_062024.pdf</t>
        </r>
      </text>
    </comment>
    <comment ref="B133" authorId="0" shapeId="0" xr:uid="{04B20615-AEEA-495E-B262-2D8C67E1BB06}">
      <text>
        <r>
          <rPr>
            <sz val="11"/>
            <color theme="1"/>
            <rFont val="Calibri"/>
            <family val="2"/>
            <scheme val="minor"/>
          </rPr>
          <t>Diferença: data=nan | estados=ES_CULTURAVIVA_072024.pdf</t>
        </r>
      </text>
    </comment>
    <comment ref="B134" authorId="0" shapeId="0" xr:uid="{51BDF507-6130-477D-ABE5-B6D0B537E278}">
      <text>
        <r>
          <rPr>
            <sz val="11"/>
            <color theme="1"/>
            <rFont val="Calibri"/>
            <family val="2"/>
            <scheme val="minor"/>
          </rPr>
          <t>Diferença: data=nan | estados=ES_FOMENTO_022024.pdf</t>
        </r>
      </text>
    </comment>
    <comment ref="B135" authorId="0" shapeId="0" xr:uid="{B42FDC03-216D-4872-BF78-642655AB0EAB}">
      <text>
        <r>
          <rPr>
            <sz val="11"/>
            <color theme="1"/>
            <rFont val="Calibri"/>
            <family val="2"/>
            <scheme val="minor"/>
          </rPr>
          <t>Diferença: data=nan | estados=ES_FOMENTO_032024.pdf</t>
        </r>
      </text>
    </comment>
    <comment ref="B136" authorId="0" shapeId="0" xr:uid="{C1D0CA1C-FB37-4ED5-9943-C3C18AC518C6}">
      <text>
        <r>
          <rPr>
            <sz val="11"/>
            <color theme="1"/>
            <rFont val="Calibri"/>
            <family val="2"/>
            <scheme val="minor"/>
          </rPr>
          <t>Diferença: data=nan | estados=ES_FOMENTO_042024.pdf</t>
        </r>
      </text>
    </comment>
    <comment ref="B137" authorId="0" shapeId="0" xr:uid="{E38FBFA9-EE1C-440F-AB71-E583C88815F5}">
      <text>
        <r>
          <rPr>
            <sz val="11"/>
            <color theme="1"/>
            <rFont val="Calibri"/>
            <family val="2"/>
            <scheme val="minor"/>
          </rPr>
          <t>Diferença: data=nan | estados=ES_FOMENTO_042025.pdf</t>
        </r>
      </text>
    </comment>
    <comment ref="B138" authorId="0" shapeId="0" xr:uid="{FC66F633-B41A-4C4A-9EDF-1B988470C491}">
      <text>
        <r>
          <rPr>
            <sz val="11"/>
            <color theme="1"/>
            <rFont val="Calibri"/>
            <family val="2"/>
            <scheme val="minor"/>
          </rPr>
          <t>Diferença: data=nan | estados=ES_FOMENTO_052024.pdf</t>
        </r>
      </text>
    </comment>
    <comment ref="B139" authorId="0" shapeId="0" xr:uid="{E4CC9FC2-A405-4E93-95E0-7FE2AB6423FE}">
      <text>
        <r>
          <rPr>
            <sz val="11"/>
            <color theme="1"/>
            <rFont val="Calibri"/>
            <family val="2"/>
            <scheme val="minor"/>
          </rPr>
          <t>Diferença: data=nan | estados=ES_FOMENTO_062024.pdf</t>
        </r>
      </text>
    </comment>
    <comment ref="B140" authorId="0" shapeId="0" xr:uid="{4163B348-8184-496A-8BE3-2F6D79364540}">
      <text>
        <r>
          <rPr>
            <sz val="11"/>
            <color theme="1"/>
            <rFont val="Calibri"/>
            <family val="2"/>
            <scheme val="minor"/>
          </rPr>
          <t>Diferença: data=nan | estados=ES_FOMENTO_082024.pdf</t>
        </r>
      </text>
    </comment>
    <comment ref="B141" authorId="0" shapeId="0" xr:uid="{CCB50E43-20A9-453D-98CD-6745FAA56B66}">
      <text>
        <r>
          <rPr>
            <sz val="11"/>
            <color theme="1"/>
            <rFont val="Calibri"/>
            <family val="2"/>
            <scheme val="minor"/>
          </rPr>
          <t>Diferença: data=nan | estados=ES_FOMENTO_092024.pdf</t>
        </r>
      </text>
    </comment>
    <comment ref="B142" authorId="0" shapeId="0" xr:uid="{4BC0C435-5278-4608-9751-A058853306A6}">
      <text>
        <r>
          <rPr>
            <sz val="11"/>
            <color theme="1"/>
            <rFont val="Calibri"/>
            <family val="2"/>
            <scheme val="minor"/>
          </rPr>
          <t>Diferença: data=nan | estados=ES_FOMENTO_102024.pdf</t>
        </r>
      </text>
    </comment>
    <comment ref="B143" authorId="0" shapeId="0" xr:uid="{B8A68A16-088C-4119-A369-6DE33F2168AA}">
      <text>
        <r>
          <rPr>
            <sz val="11"/>
            <color theme="1"/>
            <rFont val="Calibri"/>
            <family val="2"/>
            <scheme val="minor"/>
          </rPr>
          <t>Diferença: data=nan | estados=ES_FOMENTO_112024.pdf</t>
        </r>
      </text>
    </comment>
    <comment ref="B144" authorId="0" shapeId="0" xr:uid="{F35A676C-9687-4980-9489-A5C6E9A302C0}">
      <text>
        <r>
          <rPr>
            <sz val="11"/>
            <color theme="1"/>
            <rFont val="Calibri"/>
            <family val="2"/>
            <scheme val="minor"/>
          </rPr>
          <t>Diferença: data=nan | estados=ES_FOMENTO_122024.pdf</t>
        </r>
      </text>
    </comment>
    <comment ref="B145" authorId="0" shapeId="0" xr:uid="{C5488CB7-D538-4133-9922-A2BCD1568983}">
      <text>
        <r>
          <rPr>
            <sz val="11"/>
            <color theme="1"/>
            <rFont val="Calibri"/>
            <family val="2"/>
            <scheme val="minor"/>
          </rPr>
          <t>Diferença: data=nan | estados=ES_FOMENTO_132024.pdf</t>
        </r>
      </text>
    </comment>
    <comment ref="B146" authorId="0" shapeId="0" xr:uid="{C5291D8F-4318-4323-BA73-D62348035C57}">
      <text>
        <r>
          <rPr>
            <sz val="11"/>
            <color theme="1"/>
            <rFont val="Calibri"/>
            <family val="2"/>
            <scheme val="minor"/>
          </rPr>
          <t>Diferença: data=nan | estados=ES_FOMENTO_142024.pdf</t>
        </r>
      </text>
    </comment>
    <comment ref="B147" authorId="0" shapeId="0" xr:uid="{23F6FC03-2973-42CB-AF2E-C69B33AEC7F0}">
      <text>
        <r>
          <rPr>
            <sz val="11"/>
            <color theme="1"/>
            <rFont val="Calibri"/>
            <family val="2"/>
            <scheme val="minor"/>
          </rPr>
          <t>Diferença: data=nan | estados=ES_FOMENTO_152024.pdf</t>
        </r>
      </text>
    </comment>
    <comment ref="B148" authorId="0" shapeId="0" xr:uid="{71177642-96E5-49FF-81D1-A4FEB8D32C2E}">
      <text>
        <r>
          <rPr>
            <sz val="11"/>
            <color theme="1"/>
            <rFont val="Calibri"/>
            <family val="2"/>
            <scheme val="minor"/>
          </rPr>
          <t>Diferença: data=nan | estados=ES_FOMENTO_172024.pdf</t>
        </r>
      </text>
    </comment>
    <comment ref="B149" authorId="0" shapeId="0" xr:uid="{82075F2F-2FA8-458B-8B5C-AF87521947BD}">
      <text>
        <r>
          <rPr>
            <sz val="11"/>
            <color theme="1"/>
            <rFont val="Calibri"/>
            <family val="2"/>
            <scheme val="minor"/>
          </rPr>
          <t>Diferença: data=nan | estados=ES_FOMENTO_182024.pdf</t>
        </r>
      </text>
    </comment>
    <comment ref="B150" authorId="0" shapeId="0" xr:uid="{D1851D9E-5E98-4ECF-9D24-844A15267A47}">
      <text>
        <r>
          <rPr>
            <sz val="11"/>
            <color theme="1"/>
            <rFont val="Calibri"/>
            <family val="2"/>
            <scheme val="minor"/>
          </rPr>
          <t>Diferença: data=nan | estados=ES_FOMENTO_192024.pdf</t>
        </r>
      </text>
    </comment>
    <comment ref="B151" authorId="0" shapeId="0" xr:uid="{AC076F58-9482-47AD-8733-7476E709E1C2}">
      <text>
        <r>
          <rPr>
            <sz val="11"/>
            <color theme="1"/>
            <rFont val="Calibri"/>
            <family val="2"/>
            <scheme val="minor"/>
          </rPr>
          <t>Diferença: data=nan | estados=ES_PRÊMIO_072024.pdf</t>
        </r>
      </text>
    </comment>
    <comment ref="B152" authorId="0" shapeId="0" xr:uid="{05B6F681-D055-4050-8DA7-ABACE7CD9992}">
      <text>
        <r>
          <rPr>
            <sz val="11"/>
            <color theme="1"/>
            <rFont val="Calibri"/>
            <family val="2"/>
            <scheme val="minor"/>
          </rPr>
          <t>Diferença: data=nan | estados=ES_PRÊMIO_162024.pdf</t>
        </r>
      </text>
    </comment>
    <comment ref="B153" authorId="0" shapeId="0" xr:uid="{13ADE212-BDD5-4835-9E96-F2A6356B49E6}">
      <text>
        <r>
          <rPr>
            <sz val="11"/>
            <color theme="1"/>
            <rFont val="Calibri"/>
            <family val="2"/>
            <scheme val="minor"/>
          </rPr>
          <t>Diferença: data=nan | estados=ES_SUBSÍDIO_032025.pdf</t>
        </r>
      </text>
    </comment>
    <comment ref="B154" authorId="0" shapeId="0" xr:uid="{DC5CB011-9AE1-4651-9188-F62BEE9907DB}">
      <text>
        <r>
          <rPr>
            <sz val="11"/>
            <color theme="1"/>
            <rFont val="Calibri"/>
            <family val="2"/>
            <scheme val="minor"/>
          </rPr>
          <t>Diferença: data=nan | estados=2024-45_FLORIPA_FOMENTO.pdf.pdf</t>
        </r>
      </text>
    </comment>
    <comment ref="E154" authorId="0" shapeId="0" xr:uid="{82DD2CBB-87EC-4D09-B0C0-5E17AB6773CF}">
      <text>
        <r>
          <rPr>
            <sz val="11"/>
            <color theme="1"/>
            <rFont val="Calibri"/>
            <family val="2"/>
            <scheme val="minor"/>
          </rPr>
          <t>Diferença: data=0.1 | estados=0.0833</t>
        </r>
      </text>
    </comment>
    <comment ref="B155" authorId="0" shapeId="0" xr:uid="{38F3132A-3DA4-4A83-8DAF-B24324C1527D}">
      <text>
        <r>
          <rPr>
            <sz val="11"/>
            <color theme="1"/>
            <rFont val="Calibri"/>
            <family val="2"/>
            <scheme val="minor"/>
          </rPr>
          <t>Diferença: data=nan | estados=2024-44_FLORIPA_FOMENTO.pdf</t>
        </r>
      </text>
    </comment>
    <comment ref="B156" authorId="0" shapeId="0" xr:uid="{0A4765A1-2680-4FFC-B9F1-33A7C952A45D}">
      <text>
        <r>
          <rPr>
            <sz val="11"/>
            <color theme="1"/>
            <rFont val="Calibri"/>
            <family val="2"/>
            <scheme val="minor"/>
          </rPr>
          <t>Diferença: data=nan | estados=2024-46_FLORIPA_PRÊMIO.pdf</t>
        </r>
      </text>
    </comment>
    <comment ref="B157" authorId="0" shapeId="0" xr:uid="{62FBC44F-9283-4439-B8F1-2D31B1A907AC}">
      <text>
        <r>
          <rPr>
            <sz val="11"/>
            <color theme="1"/>
            <rFont val="Calibri"/>
            <family val="2"/>
            <scheme val="minor"/>
          </rPr>
          <t>Diferença: data=nan | estados=2024-41_FLORIPA_FOMENTO.pdf.pdf</t>
        </r>
      </text>
    </comment>
    <comment ref="B158" authorId="0" shapeId="0" xr:uid="{F5A34794-91DD-44E0-80AD-F2A33E16C2D0}">
      <text>
        <r>
          <rPr>
            <sz val="11"/>
            <color theme="1"/>
            <rFont val="Calibri"/>
            <family val="2"/>
            <scheme val="minor"/>
          </rPr>
          <t>Diferença: data=nan | estados=2024-47_FLORIPA_CULTURAVIVA.pdf</t>
        </r>
      </text>
    </comment>
    <comment ref="B159" authorId="0" shapeId="0" xr:uid="{F07F16CB-FFF4-48B1-ACC4-2E8E16432D7C}">
      <text>
        <r>
          <rPr>
            <sz val="11"/>
            <color theme="1"/>
            <rFont val="Calibri"/>
            <family val="2"/>
            <scheme val="minor"/>
          </rPr>
          <t>Diferença: data=nan | estados=2024-23_FORTALEZA_FOMENTO.pdf</t>
        </r>
      </text>
    </comment>
    <comment ref="B160" authorId="0" shapeId="0" xr:uid="{4A52D1AE-5818-41D5-BEAE-AABFF17EAEBD}">
      <text>
        <r>
          <rPr>
            <sz val="11"/>
            <color theme="1"/>
            <rFont val="Calibri"/>
            <family val="2"/>
            <scheme val="minor"/>
          </rPr>
          <t>Diferença: data=nan | estados=2024-19_FORTALEZA_FOMENTO.pdf</t>
        </r>
      </text>
    </comment>
    <comment ref="B161" authorId="0" shapeId="0" xr:uid="{40E4AEEA-948C-43C3-9E1F-BDE3144B6860}">
      <text>
        <r>
          <rPr>
            <sz val="11"/>
            <color theme="1"/>
            <rFont val="Calibri"/>
            <family val="2"/>
            <scheme val="minor"/>
          </rPr>
          <t>Diferença: data=nan | estados=2024-21_FORTALEZA_FOMENTO.pdf</t>
        </r>
      </text>
    </comment>
    <comment ref="B162" authorId="0" shapeId="0" xr:uid="{28ED9A19-3FE4-4053-B412-B4E570490927}">
      <text>
        <r>
          <rPr>
            <sz val="11"/>
            <color theme="1"/>
            <rFont val="Calibri"/>
            <family val="2"/>
            <scheme val="minor"/>
          </rPr>
          <t>Diferença: data=nan | estados=2024-22_FORTALEZA_FOMENTO.pdf</t>
        </r>
      </text>
    </comment>
    <comment ref="B163" authorId="0" shapeId="0" xr:uid="{9041304D-0D8F-4932-B908-F17EA2B4620F}">
      <text>
        <r>
          <rPr>
            <sz val="11"/>
            <color theme="1"/>
            <rFont val="Calibri"/>
            <family val="2"/>
            <scheme val="minor"/>
          </rPr>
          <t>Diferença: data=nan | estados=2024-18_FORTALEZA_FOMENTO.pdf</t>
        </r>
      </text>
    </comment>
    <comment ref="B164" authorId="0" shapeId="0" xr:uid="{0EFF06C4-2B9B-4270-AD7D-75794333EAC4}">
      <text>
        <r>
          <rPr>
            <sz val="11"/>
            <color theme="1"/>
            <rFont val="Calibri"/>
            <family val="2"/>
            <scheme val="minor"/>
          </rPr>
          <t>Diferença: data=nan | estados=2024-26_FORTALEZA_FOMENTO.pdf</t>
        </r>
      </text>
    </comment>
    <comment ref="B165" authorId="0" shapeId="0" xr:uid="{FCD8762C-9C91-4570-8FC6-1BC0CB6A14C7}">
      <text>
        <r>
          <rPr>
            <sz val="11"/>
            <color theme="1"/>
            <rFont val="Calibri"/>
            <family val="2"/>
            <scheme val="minor"/>
          </rPr>
          <t>Diferença: data=nan | estados=2025-09_FORTALEZA_PRÊMIO.pdf</t>
        </r>
      </text>
    </comment>
    <comment ref="B166" authorId="0" shapeId="0" xr:uid="{CF32668D-3FDA-4FC9-95E7-D5DE8A685074}">
      <text>
        <r>
          <rPr>
            <sz val="11"/>
            <color theme="1"/>
            <rFont val="Calibri"/>
            <family val="2"/>
            <scheme val="minor"/>
          </rPr>
          <t>Diferença: data=nan | estados=2025-01_FORTALEZA_PRÊMIO.pdf</t>
        </r>
      </text>
    </comment>
    <comment ref="B167" authorId="0" shapeId="0" xr:uid="{DD8CDE2B-EF84-4A5C-9DD5-EBBFDA049ED1}">
      <text>
        <r>
          <rPr>
            <sz val="11"/>
            <color theme="1"/>
            <rFont val="Calibri"/>
            <family val="2"/>
            <scheme val="minor"/>
          </rPr>
          <t>Diferença: data=nan | estados=2024-25_FORTALEZA_FOMENTO.pdf</t>
        </r>
      </text>
    </comment>
    <comment ref="B168" authorId="0" shapeId="0" xr:uid="{8A805ABC-3889-40EE-AB82-5F6021E0F287}">
      <text>
        <r>
          <rPr>
            <sz val="11"/>
            <color theme="1"/>
            <rFont val="Calibri"/>
            <family val="2"/>
            <scheme val="minor"/>
          </rPr>
          <t>Diferença: data=nan | estados=2025-07_FORTALEZA_PRÊMIO.pdf</t>
        </r>
      </text>
    </comment>
    <comment ref="B169" authorId="0" shapeId="0" xr:uid="{D215A62C-4EEE-4C39-A1EB-AC97E1CDC2CD}">
      <text>
        <r>
          <rPr>
            <sz val="11"/>
            <color theme="1"/>
            <rFont val="Calibri"/>
            <family val="2"/>
            <scheme val="minor"/>
          </rPr>
          <t>Diferença: data=nan | estados=2025-10_FORTALEZA_FOMENTO.pdf</t>
        </r>
      </text>
    </comment>
    <comment ref="B170" authorId="0" shapeId="0" xr:uid="{5A6A535B-2B28-4D08-A513-702EB6408A7F}">
      <text>
        <r>
          <rPr>
            <sz val="11"/>
            <color theme="1"/>
            <rFont val="Calibri"/>
            <family val="2"/>
            <scheme val="minor"/>
          </rPr>
          <t>Diferença: data=nan | estados=2024-30_FORTALEZA_FOMENTO.pdf</t>
        </r>
      </text>
    </comment>
    <comment ref="B172" authorId="0" shapeId="0" xr:uid="{68E51C67-1F02-4EDE-984C-1CA7345F14D6}">
      <text>
        <r>
          <rPr>
            <sz val="11"/>
            <color theme="1"/>
            <rFont val="Calibri"/>
            <family val="2"/>
            <scheme val="minor"/>
          </rPr>
          <t>Diferença: data=nan | estados=2024-08_GOIÂNIA_FOMENTO.pdf</t>
        </r>
      </text>
    </comment>
    <comment ref="B173" authorId="0" shapeId="0" xr:uid="{7A233663-E993-45CA-8A38-71FA7008F8B4}">
      <text>
        <r>
          <rPr>
            <sz val="11"/>
            <color theme="1"/>
            <rFont val="Calibri"/>
            <family val="2"/>
            <scheme val="minor"/>
          </rPr>
          <t>Diferença: data=nan | estados=2024-10_GOIÂNIA_FOMENTO.pdf</t>
        </r>
      </text>
    </comment>
    <comment ref="B174" authorId="0" shapeId="0" xr:uid="{B65A2311-2611-420A-9183-0E3B0A01E08C}">
      <text>
        <r>
          <rPr>
            <sz val="11"/>
            <color theme="1"/>
            <rFont val="Calibri"/>
            <family val="2"/>
            <scheme val="minor"/>
          </rPr>
          <t>Diferença: data=nan | estados=2024-09_GOIÂNIA_FOMENTO.pdf</t>
        </r>
      </text>
    </comment>
    <comment ref="B175" authorId="0" shapeId="0" xr:uid="{6561839D-8395-4B99-B426-8B310B8A3AF2}">
      <text>
        <r>
          <rPr>
            <sz val="11"/>
            <color theme="1"/>
            <rFont val="Calibri"/>
            <family val="2"/>
            <scheme val="minor"/>
          </rPr>
          <t>Diferença: data=nan | estados=2024-11_GOIÂNIA_FOMENTO.pdf</t>
        </r>
      </text>
    </comment>
    <comment ref="B176" authorId="0" shapeId="0" xr:uid="{0909697E-8F77-46F3-8438-96FF140D9CFD}">
      <text>
        <r>
          <rPr>
            <sz val="11"/>
            <color theme="1"/>
            <rFont val="Calibri"/>
            <family val="2"/>
            <scheme val="minor"/>
          </rPr>
          <t>Diferença: data=nan | estados=2024-13_GOIÂNIA_CULTURAVIVA.pdf</t>
        </r>
      </text>
    </comment>
    <comment ref="B177" authorId="0" shapeId="0" xr:uid="{BE2B92FB-A913-4B28-BADC-D5EB0AF0B695}">
      <text>
        <r>
          <rPr>
            <sz val="11"/>
            <color theme="1"/>
            <rFont val="Calibri"/>
            <family val="2"/>
            <scheme val="minor"/>
          </rPr>
          <t>Diferença: data=nan | estados=2024-12_GOIÂNIA_SUBSÍDIO.pdf</t>
        </r>
      </text>
    </comment>
    <comment ref="B178" authorId="0" shapeId="0" xr:uid="{632A53CE-909E-40B9-9358-19DB069085E1}">
      <text>
        <r>
          <rPr>
            <sz val="11"/>
            <color theme="1"/>
            <rFont val="Calibri"/>
            <family val="2"/>
            <scheme val="minor"/>
          </rPr>
          <t>Diferença: data=nan | estados=GO_CULTURAVIVA_012025.pdf</t>
        </r>
      </text>
    </comment>
    <comment ref="B179" authorId="0" shapeId="0" xr:uid="{EF5546D3-C6FF-426F-AB76-CB5C50E14ED0}">
      <text>
        <r>
          <rPr>
            <sz val="11"/>
            <color theme="1"/>
            <rFont val="Calibri"/>
            <family val="2"/>
            <scheme val="minor"/>
          </rPr>
          <t>Diferença: data=nan | estados=GO_CULTURAVIVA_182024.pdf</t>
        </r>
      </text>
    </comment>
    <comment ref="B180" authorId="0" shapeId="0" xr:uid="{26E3A530-9EC5-4A00-83B4-1E3D75EF13FA}">
      <text>
        <r>
          <rPr>
            <sz val="11"/>
            <color theme="1"/>
            <rFont val="Calibri"/>
            <family val="2"/>
            <scheme val="minor"/>
          </rPr>
          <t>Diferença: data=nan | estados=GO_CULTURAVIVA_192024.pdf</t>
        </r>
      </text>
    </comment>
    <comment ref="B181" authorId="0" shapeId="0" xr:uid="{7806EB9F-37AD-490A-90A7-75AA6205361F}">
      <text>
        <r>
          <rPr>
            <sz val="11"/>
            <color theme="1"/>
            <rFont val="Calibri"/>
            <family val="2"/>
            <scheme val="minor"/>
          </rPr>
          <t>Diferença: data=nan | estados=GO_FOMENTO_012024.pdf</t>
        </r>
      </text>
    </comment>
    <comment ref="B182" authorId="0" shapeId="0" xr:uid="{B92FD3B9-FEDB-45BF-8842-CB60B2E41688}">
      <text>
        <r>
          <rPr>
            <sz val="11"/>
            <color theme="1"/>
            <rFont val="Calibri"/>
            <family val="2"/>
            <scheme val="minor"/>
          </rPr>
          <t>Diferença: data=nan | estados=GO_FOMENTO_022024.pdf</t>
        </r>
      </text>
    </comment>
    <comment ref="B183" authorId="0" shapeId="0" xr:uid="{9845CCB2-D21B-4F27-BBC2-E0ED62A07F19}">
      <text>
        <r>
          <rPr>
            <sz val="11"/>
            <color theme="1"/>
            <rFont val="Calibri"/>
            <family val="2"/>
            <scheme val="minor"/>
          </rPr>
          <t>Diferença: data=nan | estados=GO_FOMENTO_032024.pdf</t>
        </r>
      </text>
    </comment>
    <comment ref="B184" authorId="0" shapeId="0" xr:uid="{69407113-449C-43DD-B234-1CC3CD940032}">
      <text>
        <r>
          <rPr>
            <sz val="11"/>
            <color theme="1"/>
            <rFont val="Calibri"/>
            <family val="2"/>
            <scheme val="minor"/>
          </rPr>
          <t>Diferença: data=nan | estados=GO_FOMENTO_042024.pdf</t>
        </r>
      </text>
    </comment>
    <comment ref="B185" authorId="0" shapeId="0" xr:uid="{4755CE0F-ACFD-4FF5-89A1-B63BADA5FCD8}">
      <text>
        <r>
          <rPr>
            <sz val="11"/>
            <color theme="1"/>
            <rFont val="Calibri"/>
            <family val="2"/>
            <scheme val="minor"/>
          </rPr>
          <t>Diferença: data=nan | estados=GO_FOMENTO_052024.pdf</t>
        </r>
      </text>
    </comment>
    <comment ref="B186" authorId="0" shapeId="0" xr:uid="{9F66A149-1D62-4E92-98CC-6D66FA1A70A2}">
      <text>
        <r>
          <rPr>
            <sz val="11"/>
            <color theme="1"/>
            <rFont val="Calibri"/>
            <family val="2"/>
            <scheme val="minor"/>
          </rPr>
          <t>Diferença: data=nan | estados=GO_FOMENTO_062024.pdf</t>
        </r>
      </text>
    </comment>
    <comment ref="B187" authorId="0" shapeId="0" xr:uid="{8FFF1F60-F339-4E15-AEAF-B3E8A9FE40A3}">
      <text>
        <r>
          <rPr>
            <sz val="11"/>
            <color theme="1"/>
            <rFont val="Calibri"/>
            <family val="2"/>
            <scheme val="minor"/>
          </rPr>
          <t>Diferença: data=nan | estados=GO_FOMENTO_072024.pdf</t>
        </r>
      </text>
    </comment>
    <comment ref="B188" authorId="0" shapeId="0" xr:uid="{B1386D27-D7BB-4E62-9BE8-D5A0CDE0FF30}">
      <text>
        <r>
          <rPr>
            <sz val="11"/>
            <color theme="1"/>
            <rFont val="Calibri"/>
            <family val="2"/>
            <scheme val="minor"/>
          </rPr>
          <t>Diferença: data=nan | estados=GO_FOMENTO_082024.pdf</t>
        </r>
      </text>
    </comment>
    <comment ref="B189" authorId="0" shapeId="0" xr:uid="{087A33EF-D0D5-441C-9718-61735D169A2A}">
      <text>
        <r>
          <rPr>
            <sz val="11"/>
            <color theme="1"/>
            <rFont val="Calibri"/>
            <family val="2"/>
            <scheme val="minor"/>
          </rPr>
          <t>Diferença: data=nan | estados=GO_FOMENTO_092024.pdf</t>
        </r>
      </text>
    </comment>
    <comment ref="B190" authorId="0" shapeId="0" xr:uid="{10E21CD4-279F-4867-A6EC-847860AB743A}">
      <text>
        <r>
          <rPr>
            <sz val="11"/>
            <color theme="1"/>
            <rFont val="Calibri"/>
            <family val="2"/>
            <scheme val="minor"/>
          </rPr>
          <t>Diferença: data=nan | estados=GO_FOMENTO_102024.pdf</t>
        </r>
      </text>
    </comment>
    <comment ref="B191" authorId="0" shapeId="0" xr:uid="{F0882D66-68DC-4F17-8BBE-7EFFF2860A27}">
      <text>
        <r>
          <rPr>
            <sz val="11"/>
            <color theme="1"/>
            <rFont val="Calibri"/>
            <family val="2"/>
            <scheme val="minor"/>
          </rPr>
          <t>Diferença: data=nan | estados=GO_FOMENTO_112024.pdf</t>
        </r>
      </text>
    </comment>
    <comment ref="B192" authorId="0" shapeId="0" xr:uid="{A8EA7101-272B-4876-9400-A2BC404BE29F}">
      <text>
        <r>
          <rPr>
            <sz val="11"/>
            <color theme="1"/>
            <rFont val="Calibri"/>
            <family val="2"/>
            <scheme val="minor"/>
          </rPr>
          <t>Diferença: data=nan | estados=GO_FOMENTO_122024.pdf</t>
        </r>
      </text>
    </comment>
    <comment ref="B193" authorId="0" shapeId="0" xr:uid="{6501D60E-57CF-4ADE-9B79-99A82104C923}">
      <text>
        <r>
          <rPr>
            <sz val="11"/>
            <color theme="1"/>
            <rFont val="Calibri"/>
            <family val="2"/>
            <scheme val="minor"/>
          </rPr>
          <t>Diferença: data=nan | estados=GO_FOMENTO_132024.pdf</t>
        </r>
      </text>
    </comment>
    <comment ref="B194" authorId="0" shapeId="0" xr:uid="{CAF47EFB-D3CD-4220-8362-D838D43A8549}">
      <text>
        <r>
          <rPr>
            <sz val="11"/>
            <color theme="1"/>
            <rFont val="Calibri"/>
            <family val="2"/>
            <scheme val="minor"/>
          </rPr>
          <t>Diferença: data=nan | estados=GO_FOMENTO_142024.pdf</t>
        </r>
      </text>
    </comment>
    <comment ref="B195" authorId="0" shapeId="0" xr:uid="{49AF68F2-12CD-46E1-9C2B-38DEE08B16F8}">
      <text>
        <r>
          <rPr>
            <sz val="11"/>
            <color theme="1"/>
            <rFont val="Calibri"/>
            <family val="2"/>
            <scheme val="minor"/>
          </rPr>
          <t>Diferença: data=nan | estados=GO_FOMENTO_162024.pdf</t>
        </r>
      </text>
    </comment>
    <comment ref="B196" authorId="0" shapeId="0" xr:uid="{BF52B315-1693-4E02-B564-A89B5327106F}">
      <text>
        <r>
          <rPr>
            <sz val="11"/>
            <color theme="1"/>
            <rFont val="Calibri"/>
            <family val="2"/>
            <scheme val="minor"/>
          </rPr>
          <t>Diferença: data=nan | estados=GO_FOMENTO_172024.pdf</t>
        </r>
      </text>
    </comment>
    <comment ref="B197" authorId="0" shapeId="0" xr:uid="{6939D0EC-F8EC-4C07-A2AB-090AF8E91A2C}">
      <text>
        <r>
          <rPr>
            <sz val="11"/>
            <color theme="1"/>
            <rFont val="Calibri"/>
            <family val="2"/>
            <scheme val="minor"/>
          </rPr>
          <t>Diferença: data=nan | estados=GO_SUBSÍDIO_152024.pdf</t>
        </r>
      </text>
    </comment>
    <comment ref="B198" authorId="0" shapeId="0" xr:uid="{62336BA6-14FB-4F9B-94D9-C7B1CAA5C9C0}">
      <text>
        <r>
          <rPr>
            <sz val="11"/>
            <color theme="1"/>
            <rFont val="Calibri"/>
            <family val="2"/>
            <scheme val="minor"/>
          </rPr>
          <t>Diferença: data=nan | estados=2024-05_JOAOPESSOA_CULTURAVIVA.pdf.pdf</t>
        </r>
      </text>
    </comment>
    <comment ref="B199" authorId="0" shapeId="0" xr:uid="{B8C592CE-8862-41D9-9860-F9DADE0B38DE}">
      <text>
        <r>
          <rPr>
            <sz val="11"/>
            <color theme="1"/>
            <rFont val="Calibri"/>
            <family val="2"/>
            <scheme val="minor"/>
          </rPr>
          <t>Diferença: data=nan | estados=2024-11_JOAOPESSOA_CULTURAVIVA.pdf.pdf</t>
        </r>
      </text>
    </comment>
    <comment ref="B200" authorId="0" shapeId="0" xr:uid="{7EA4B3E9-74DB-49B9-AF6E-2AE86A4E48B8}">
      <text>
        <r>
          <rPr>
            <sz val="11"/>
            <color theme="1"/>
            <rFont val="Calibri"/>
            <family val="2"/>
            <scheme val="minor"/>
          </rPr>
          <t>Diferença: data=nan | estados=2024-13_JOAOPESSOA_PRÊMIO.pdf</t>
        </r>
      </text>
    </comment>
    <comment ref="D200" authorId="0" shapeId="0" xr:uid="{90CB6434-3B40-4EE4-8C5A-13632BD8FA86}">
      <text>
        <r>
          <rPr>
            <sz val="11"/>
            <color theme="1"/>
            <rFont val="Calibri"/>
            <family val="2"/>
            <scheme val="minor"/>
          </rPr>
          <t>Diferença: data=0.43 | estados=1</t>
        </r>
      </text>
    </comment>
    <comment ref="G200" authorId="0" shapeId="0" xr:uid="{D763FBB4-D7D4-433D-8DEC-36218685746D}">
      <text>
        <r>
          <rPr>
            <sz val="11"/>
            <color theme="1"/>
            <rFont val="Calibri"/>
            <family val="2"/>
            <scheme val="minor"/>
          </rPr>
          <t>Diferença: data=40.0 | estados=30</t>
        </r>
      </text>
    </comment>
    <comment ref="B201" authorId="0" shapeId="0" xr:uid="{9744BD14-BC03-4680-8CF9-532C06F8E4AC}">
      <text>
        <r>
          <rPr>
            <sz val="11"/>
            <color theme="1"/>
            <rFont val="Calibri"/>
            <family val="2"/>
            <scheme val="minor"/>
          </rPr>
          <t>Diferença: data=nan | estados=2024-07_JOAOPESSOA_SUBSÍDIO.pdf</t>
        </r>
      </text>
    </comment>
    <comment ref="B202" authorId="0" shapeId="0" xr:uid="{FDF311D7-3681-41AB-922B-05C3AB20EB26}">
      <text>
        <r>
          <rPr>
            <sz val="11"/>
            <color theme="1"/>
            <rFont val="Calibri"/>
            <family val="2"/>
            <scheme val="minor"/>
          </rPr>
          <t>Diferença: data=nan | estados=2024-06_JOAOPESSOA_PRÊMIO.pdf.pdf</t>
        </r>
      </text>
    </comment>
    <comment ref="B203" authorId="0" shapeId="0" xr:uid="{1BF2130A-08B6-4C73-8036-DDE9296F65DD}">
      <text>
        <r>
          <rPr>
            <sz val="11"/>
            <color theme="1"/>
            <rFont val="Calibri"/>
            <family val="2"/>
            <scheme val="minor"/>
          </rPr>
          <t>Diferença: data=nan | estados=2024-09_JOAOPESSOA_SUBSÍDIO.pdf</t>
        </r>
      </text>
    </comment>
    <comment ref="B204" authorId="0" shapeId="0" xr:uid="{129987AD-EDB2-4E8E-A1C8-107CBA474F79}">
      <text>
        <r>
          <rPr>
            <sz val="11"/>
            <color theme="1"/>
            <rFont val="Calibri"/>
            <family val="2"/>
            <scheme val="minor"/>
          </rPr>
          <t>Diferença: data=nan | estados=2024-12_JOAOPESSOA_FOMENTO.pdf</t>
        </r>
      </text>
    </comment>
    <comment ref="B205" authorId="0" shapeId="0" xr:uid="{2B9A596E-66D5-428A-93E6-99DF40EC448C}">
      <text>
        <r>
          <rPr>
            <sz val="11"/>
            <color theme="1"/>
            <rFont val="Calibri"/>
            <family val="2"/>
            <scheme val="minor"/>
          </rPr>
          <t>Diferença: data=nan | estados=2024-08_JOAOPESSOA_BOLSA.pdf</t>
        </r>
      </text>
    </comment>
    <comment ref="B206" authorId="0" shapeId="0" xr:uid="{DBF93AB7-1B57-43A1-AAE9-39CD82F837E5}">
      <text>
        <r>
          <rPr>
            <sz val="11"/>
            <color theme="1"/>
            <rFont val="Calibri"/>
            <family val="2"/>
            <scheme val="minor"/>
          </rPr>
          <t>Diferença: data=nan | estados=2024-10_JOAOPESSOA_FOMENTO.pdf.pdf</t>
        </r>
      </text>
    </comment>
    <comment ref="B207" authorId="0" shapeId="0" xr:uid="{8C6A6AF0-6A1E-4FDA-ACA1-7F2655DA849A}">
      <text>
        <r>
          <rPr>
            <sz val="11"/>
            <color theme="1"/>
            <rFont val="Calibri"/>
            <family val="2"/>
            <scheme val="minor"/>
          </rPr>
          <t>Diferença: data=nan | estados=2024-05_MACAPÁ_CULTURAVIVA.pdf.pdf</t>
        </r>
      </text>
    </comment>
    <comment ref="B208" authorId="0" shapeId="0" xr:uid="{2ECB2FF0-8FB8-49F5-BD8B-2DD58872C507}">
      <text>
        <r>
          <rPr>
            <sz val="11"/>
            <color theme="1"/>
            <rFont val="Calibri"/>
            <family val="2"/>
            <scheme val="minor"/>
          </rPr>
          <t>Diferença: data=nan | estados=2024-04_MACAPÁ_FOMENTO.pdf</t>
        </r>
      </text>
    </comment>
    <comment ref="B209" authorId="0" shapeId="0" xr:uid="{2A686E81-FD30-4DA0-9307-CFA7EEAB6E16}">
      <text>
        <r>
          <rPr>
            <sz val="11"/>
            <color theme="1"/>
            <rFont val="Calibri"/>
            <family val="2"/>
            <scheme val="minor"/>
          </rPr>
          <t>Diferença: data=nan | estados=2024-03_MACAPÁ_PRÊMIO.pdf</t>
        </r>
      </text>
    </comment>
    <comment ref="B210" authorId="0" shapeId="0" xr:uid="{97300187-5202-4597-B207-815BC75113B7}">
      <text>
        <r>
          <rPr>
            <sz val="11"/>
            <color theme="1"/>
            <rFont val="Calibri"/>
            <family val="2"/>
            <scheme val="minor"/>
          </rPr>
          <t>Diferença: data=nan | estados=2024-07_MACEIÓ_FOMENTO.pdf</t>
        </r>
      </text>
    </comment>
    <comment ref="B211" authorId="0" shapeId="0" xr:uid="{453B56D1-C67C-4AEA-A6AF-125FDE1CED05}">
      <text>
        <r>
          <rPr>
            <sz val="11"/>
            <color theme="1"/>
            <rFont val="Calibri"/>
            <family val="2"/>
            <scheme val="minor"/>
          </rPr>
          <t>Diferença: data=nan | estados=2024-06_MACEIÓ_FOMENTO.pdf</t>
        </r>
      </text>
    </comment>
    <comment ref="B212" authorId="0" shapeId="0" xr:uid="{A73F0ADF-2A7E-4303-AF5B-720970C41B48}">
      <text>
        <r>
          <rPr>
            <sz val="11"/>
            <color theme="1"/>
            <rFont val="Calibri"/>
            <family val="2"/>
            <scheme val="minor"/>
          </rPr>
          <t>Diferença: data=nan | estados=2024-05_MACEIÓ_FOMENTO.pdf</t>
        </r>
      </text>
    </comment>
    <comment ref="B213" authorId="0" shapeId="0" xr:uid="{8ADCDDD0-825C-41BE-8485-8E6DD6CD69AE}">
      <text>
        <r>
          <rPr>
            <sz val="11"/>
            <color theme="1"/>
            <rFont val="Calibri"/>
            <family val="2"/>
            <scheme val="minor"/>
          </rPr>
          <t>Diferença: data=nan | estados=2024-04_MACEIÓ_FOMENTO.pdf</t>
        </r>
      </text>
    </comment>
    <comment ref="E213" authorId="0" shapeId="0" xr:uid="{5E59FED5-FBAB-4BCD-AB56-C354C570ACA0}">
      <text>
        <r>
          <rPr>
            <sz val="11"/>
            <color theme="1"/>
            <rFont val="Calibri"/>
            <family val="2"/>
            <scheme val="minor"/>
          </rPr>
          <t>Diferença: data=0.862 | estados=0.09</t>
        </r>
      </text>
    </comment>
    <comment ref="B214" authorId="0" shapeId="0" xr:uid="{B29715A0-75D2-4AC7-8FE1-279F25748113}">
      <text>
        <r>
          <rPr>
            <sz val="11"/>
            <color theme="1"/>
            <rFont val="Calibri"/>
            <family val="2"/>
            <scheme val="minor"/>
          </rPr>
          <t>Diferença: data=nan | estados=2024-03_MACEIÓ_FOMENTO.pdf</t>
        </r>
      </text>
    </comment>
    <comment ref="B215" authorId="0" shapeId="0" xr:uid="{3C92AC4A-27ED-4A12-A1E0-B212F1BE5F8F}">
      <text>
        <r>
          <rPr>
            <sz val="11"/>
            <color theme="1"/>
            <rFont val="Calibri"/>
            <family val="2"/>
            <scheme val="minor"/>
          </rPr>
          <t>Diferença: data=nan | estados=2024-10_MACEIÓ_CULTURAVIVA.pdf</t>
        </r>
      </text>
    </comment>
    <comment ref="B216" authorId="0" shapeId="0" xr:uid="{863873B6-97FE-47B8-89C8-C271367B79EE}">
      <text>
        <r>
          <rPr>
            <sz val="11"/>
            <color theme="1"/>
            <rFont val="Calibri"/>
            <family val="2"/>
            <scheme val="minor"/>
          </rPr>
          <t>Diferença: data=nan | estados=2024-08_MACEIÓ_PRÊMIO.pdf</t>
        </r>
      </text>
    </comment>
    <comment ref="B217" authorId="0" shapeId="0" xr:uid="{D9CEEFD4-9ABC-478C-9755-C5753AF7BBB5}">
      <text>
        <r>
          <rPr>
            <sz val="11"/>
            <color theme="1"/>
            <rFont val="Calibri"/>
            <family val="2"/>
            <scheme val="minor"/>
          </rPr>
          <t>Diferença: data=nan | estados=2024-09_MACEIÓ_CULTURAVIVA.pdf</t>
        </r>
      </text>
    </comment>
    <comment ref="B218" authorId="0" shapeId="0" xr:uid="{2D475DBA-5D35-4EE6-B0FD-EB3778C77B66}">
      <text>
        <r>
          <rPr>
            <sz val="11"/>
            <color theme="1"/>
            <rFont val="Calibri"/>
            <family val="2"/>
            <scheme val="minor"/>
          </rPr>
          <t>Diferença: data=nan | estados=2024-02_MANAUS_FOMENTO.pdf</t>
        </r>
      </text>
    </comment>
    <comment ref="B219" authorId="0" shapeId="0" xr:uid="{A7D5C70D-9BE6-4311-935C-B8599C911EAF}">
      <text>
        <r>
          <rPr>
            <sz val="11"/>
            <color theme="1"/>
            <rFont val="Calibri"/>
            <family val="2"/>
            <scheme val="minor"/>
          </rPr>
          <t>Diferença: data=nan | estados=2024-10_MANAUS_PRÊMIO.pdf</t>
        </r>
      </text>
    </comment>
    <comment ref="B220" authorId="0" shapeId="0" xr:uid="{1C7BD2AF-0AEB-4875-8D27-5E56792B7C85}">
      <text>
        <r>
          <rPr>
            <sz val="11"/>
            <color theme="1"/>
            <rFont val="Calibri"/>
            <family val="2"/>
            <scheme val="minor"/>
          </rPr>
          <t>Diferença: data=nan | estados=2024-09_MANAUS_FOMENTO.pdf</t>
        </r>
      </text>
    </comment>
    <comment ref="B221" authorId="0" shapeId="0" xr:uid="{011EAB2C-1CFE-4438-9127-88DCB39817D6}">
      <text>
        <r>
          <rPr>
            <sz val="11"/>
            <color theme="1"/>
            <rFont val="Calibri"/>
            <family val="2"/>
            <scheme val="minor"/>
          </rPr>
          <t>Diferença: data=nan | estados=2024-04_MANAUS_FOMENTO.pdf</t>
        </r>
      </text>
    </comment>
    <comment ref="B222" authorId="0" shapeId="0" xr:uid="{43D2E64A-A02C-48AF-BD6B-176CB6021847}">
      <text>
        <r>
          <rPr>
            <sz val="11"/>
            <color theme="1"/>
            <rFont val="Calibri"/>
            <family val="2"/>
            <scheme val="minor"/>
          </rPr>
          <t>Diferença: data=nan | estados=2024-07_MANAUS_SUBSÍDIO.pdf</t>
        </r>
      </text>
    </comment>
    <comment ref="B223" authorId="0" shapeId="0" xr:uid="{C1865301-7CC8-46F7-91CC-93CE76D337DC}">
      <text>
        <r>
          <rPr>
            <sz val="11"/>
            <color theme="1"/>
            <rFont val="Calibri"/>
            <family val="2"/>
            <scheme val="minor"/>
          </rPr>
          <t>Diferença: data=nan | estados=2024-05_MANAUS_CULTURAVIVA.pdf</t>
        </r>
      </text>
    </comment>
    <comment ref="B224" authorId="0" shapeId="0" xr:uid="{34B3CBF2-BA35-4C3F-8A3E-67F7AB7978E2}">
      <text>
        <r>
          <rPr>
            <sz val="11"/>
            <color theme="1"/>
            <rFont val="Calibri"/>
            <family val="2"/>
            <scheme val="minor"/>
          </rPr>
          <t>Diferença: data=nan | estados=2024-08_MANAUS_FOMENTO.pdf</t>
        </r>
      </text>
    </comment>
    <comment ref="B225" authorId="0" shapeId="0" xr:uid="{E211D7B8-3F4A-4DD7-97C2-6BE8E5658447}">
      <text>
        <r>
          <rPr>
            <sz val="11"/>
            <color theme="1"/>
            <rFont val="Calibri"/>
            <family val="2"/>
            <scheme val="minor"/>
          </rPr>
          <t>Diferença: data=nan | estados=2024-06_MANAUS_CULTURAVIVA.pdf</t>
        </r>
      </text>
    </comment>
    <comment ref="B226" authorId="0" shapeId="0" xr:uid="{C313F635-F494-472B-86F3-D1EBAFF9C056}">
      <text>
        <r>
          <rPr>
            <sz val="11"/>
            <color theme="1"/>
            <rFont val="Calibri"/>
            <family val="2"/>
            <scheme val="minor"/>
          </rPr>
          <t>Diferença: data=nan | estados=2024-03_MANAUS_FOMENTO.pdf</t>
        </r>
      </text>
    </comment>
    <comment ref="B227" authorId="0" shapeId="0" xr:uid="{A0BF243A-2F96-4914-8612-444D5CA68457}">
      <text>
        <r>
          <rPr>
            <sz val="11"/>
            <color theme="1"/>
            <rFont val="Calibri"/>
            <family val="2"/>
            <scheme val="minor"/>
          </rPr>
          <t>Diferença: data=nan | estados=MA_CULTURAVIVA_022025.pdf</t>
        </r>
      </text>
    </comment>
    <comment ref="B228" authorId="0" shapeId="0" xr:uid="{77DCA4BB-1196-47D6-9090-BE6B306B750D}">
      <text>
        <r>
          <rPr>
            <sz val="11"/>
            <color theme="1"/>
            <rFont val="Calibri"/>
            <family val="2"/>
            <scheme val="minor"/>
          </rPr>
          <t>Diferença: data=nan | estados=MA_FOMENTO_012025.pdf</t>
        </r>
      </text>
    </comment>
    <comment ref="B229" authorId="0" shapeId="0" xr:uid="{DB4241B7-4AB7-4426-942F-33A75D566F12}">
      <text>
        <r>
          <rPr>
            <sz val="11"/>
            <color theme="1"/>
            <rFont val="Calibri"/>
            <family val="2"/>
            <scheme val="minor"/>
          </rPr>
          <t>Diferença: data=nan | estados=MA_FOMENTO_042025.pdf</t>
        </r>
      </text>
    </comment>
    <comment ref="B230" authorId="0" shapeId="0" xr:uid="{A50599BA-484E-4490-801B-362B9E81E970}">
      <text>
        <r>
          <rPr>
            <sz val="11"/>
            <color theme="1"/>
            <rFont val="Calibri"/>
            <family val="2"/>
            <scheme val="minor"/>
          </rPr>
          <t>Diferença: data=nan | estados=MA_FOMENTO_052025.pdf</t>
        </r>
      </text>
    </comment>
    <comment ref="B231" authorId="0" shapeId="0" xr:uid="{00056474-934F-46BE-A252-855B17C18414}">
      <text>
        <r>
          <rPr>
            <sz val="11"/>
            <color theme="1"/>
            <rFont val="Calibri"/>
            <family val="2"/>
            <scheme val="minor"/>
          </rPr>
          <t>Diferença: data=nan | estados=MA_PRÊMIO_032025.pdf</t>
        </r>
      </text>
    </comment>
    <comment ref="B233" authorId="0" shapeId="0" xr:uid="{674E2218-7F9D-4CA2-AE53-7F3CC7E215B9}">
      <text>
        <r>
          <rPr>
            <sz val="11"/>
            <color theme="1"/>
            <rFont val="Calibri"/>
            <family val="2"/>
            <scheme val="minor"/>
          </rPr>
          <t>Diferença: data=nan | estados=MT_CULTURAVIVA_242024.pdf</t>
        </r>
      </text>
    </comment>
    <comment ref="B234" authorId="0" shapeId="0" xr:uid="{C3911249-A743-4A32-8A70-2270BAD863F9}">
      <text>
        <r>
          <rPr>
            <sz val="11"/>
            <color theme="1"/>
            <rFont val="Calibri"/>
            <family val="2"/>
            <scheme val="minor"/>
          </rPr>
          <t>Diferença: data=nan | estados=MT_CULTURAVIVA_252024.pdf</t>
        </r>
      </text>
    </comment>
    <comment ref="B235" authorId="0" shapeId="0" xr:uid="{E41F7585-D13F-4819-B1E1-FE2C786ACBA4}">
      <text>
        <r>
          <rPr>
            <sz val="11"/>
            <color theme="1"/>
            <rFont val="Calibri"/>
            <family val="2"/>
            <scheme val="minor"/>
          </rPr>
          <t>Diferença: data=nan | estados=MT_FOMENTO_132024.pdf</t>
        </r>
      </text>
    </comment>
    <comment ref="B236" authorId="0" shapeId="0" xr:uid="{AFB0788C-7129-4CD3-A331-7D9324B4CF96}">
      <text>
        <r>
          <rPr>
            <sz val="11"/>
            <color theme="1"/>
            <rFont val="Calibri"/>
            <family val="2"/>
            <scheme val="minor"/>
          </rPr>
          <t>Diferença: data=nan | estados=MT_FOMENTO_152024.pdf</t>
        </r>
      </text>
    </comment>
    <comment ref="B237" authorId="0" shapeId="0" xr:uid="{8F047E74-FBCC-4BAD-8795-9D232C637075}">
      <text>
        <r>
          <rPr>
            <sz val="11"/>
            <color theme="1"/>
            <rFont val="Calibri"/>
            <family val="2"/>
            <scheme val="minor"/>
          </rPr>
          <t>Diferença: data=nan | estados=MT_FOMENTO_172024.pdf</t>
        </r>
      </text>
    </comment>
    <comment ref="B238" authorId="0" shapeId="0" xr:uid="{D6803DD0-9B1E-4B03-A573-1ADBA1F47DAC}">
      <text>
        <r>
          <rPr>
            <sz val="11"/>
            <color theme="1"/>
            <rFont val="Calibri"/>
            <family val="2"/>
            <scheme val="minor"/>
          </rPr>
          <t>Diferença: data=nan | estados=MT_FOMENTO_182024.pdf</t>
        </r>
      </text>
    </comment>
    <comment ref="D238" authorId="0" shapeId="0" xr:uid="{F901F565-3CF8-45DB-BF16-115728FA4E15}">
      <text>
        <r>
          <rPr>
            <sz val="11"/>
            <color theme="1"/>
            <rFont val="Calibri"/>
            <family val="2"/>
            <scheme val="minor"/>
          </rPr>
          <t>Diferença: data=0.25 | estados=0.21</t>
        </r>
      </text>
    </comment>
    <comment ref="B239" authorId="0" shapeId="0" xr:uid="{99CC0EA6-1C38-4D9D-AE73-0EDF3BB27F7E}">
      <text>
        <r>
          <rPr>
            <sz val="11"/>
            <color theme="1"/>
            <rFont val="Calibri"/>
            <family val="2"/>
            <scheme val="minor"/>
          </rPr>
          <t>Diferença: data=nan | estados=MT_FOMENTO_232024.pdf</t>
        </r>
      </text>
    </comment>
    <comment ref="B240" authorId="0" shapeId="0" xr:uid="{0CBDD2ED-5C36-4F91-B083-CADDE08E5154}">
      <text>
        <r>
          <rPr>
            <sz val="11"/>
            <color theme="1"/>
            <rFont val="Calibri"/>
            <family val="2"/>
            <scheme val="minor"/>
          </rPr>
          <t>Diferença: data=nan | estados=MT_PRÊMIO_162024.pdf</t>
        </r>
      </text>
    </comment>
    <comment ref="B241" authorId="0" shapeId="0" xr:uid="{EBE21E4E-8743-47CC-B7A2-2338B8B0A8FB}">
      <text>
        <r>
          <rPr>
            <sz val="11"/>
            <color theme="1"/>
            <rFont val="Calibri"/>
            <family val="2"/>
            <scheme val="minor"/>
          </rPr>
          <t>Diferença: data=nan | estados=MS_BOLSA_042025.pdf</t>
        </r>
      </text>
    </comment>
    <comment ref="B242" authorId="0" shapeId="0" xr:uid="{DCD44B8C-A0C7-4F23-8689-B9262BA0069C}">
      <text>
        <r>
          <rPr>
            <sz val="11"/>
            <color theme="1"/>
            <rFont val="Calibri"/>
            <family val="2"/>
            <scheme val="minor"/>
          </rPr>
          <t>Diferença: data=nan | estados=MS_CULTURAVIVA_162024.pdf</t>
        </r>
      </text>
    </comment>
    <comment ref="B243" authorId="0" shapeId="0" xr:uid="{C194FC60-6D36-44E0-AA02-78AF5A2B1A96}">
      <text>
        <r>
          <rPr>
            <sz val="11"/>
            <color theme="1"/>
            <rFont val="Calibri"/>
            <family val="2"/>
            <scheme val="minor"/>
          </rPr>
          <t>Diferença: data=nan | estados=MS_CULTURAVIVA_172024.pdf</t>
        </r>
      </text>
    </comment>
    <comment ref="B244" authorId="0" shapeId="0" xr:uid="{4B64E889-AD98-45EB-A4BE-FA33D385B3DC}">
      <text>
        <r>
          <rPr>
            <sz val="11"/>
            <color theme="1"/>
            <rFont val="Calibri"/>
            <family val="2"/>
            <scheme val="minor"/>
          </rPr>
          <t>Diferença: data=nan | estados=MS_FOMENTO_012025.pdf</t>
        </r>
      </text>
    </comment>
    <comment ref="B245" authorId="0" shapeId="0" xr:uid="{CE374FD3-B39B-4A87-AB55-A0E447A130F7}">
      <text>
        <r>
          <rPr>
            <sz val="11"/>
            <color theme="1"/>
            <rFont val="Calibri"/>
            <family val="2"/>
            <scheme val="minor"/>
          </rPr>
          <t>Diferença: data=nan | estados=MS_FOMENTO_052025.pdf</t>
        </r>
      </text>
    </comment>
    <comment ref="B246" authorId="0" shapeId="0" xr:uid="{9E06D760-3CDA-42D2-BDAD-DE906FB6645E}">
      <text>
        <r>
          <rPr>
            <sz val="11"/>
            <color theme="1"/>
            <rFont val="Calibri"/>
            <family val="2"/>
            <scheme val="minor"/>
          </rPr>
          <t>Diferença: data=nan | estados=MS_FOMENTO_062025.pdf</t>
        </r>
      </text>
    </comment>
    <comment ref="B247" authorId="0" shapeId="0" xr:uid="{42055791-7296-453F-808B-852B90BC1C24}">
      <text>
        <r>
          <rPr>
            <sz val="11"/>
            <color theme="1"/>
            <rFont val="Calibri"/>
            <family val="2"/>
            <scheme val="minor"/>
          </rPr>
          <t>Diferença: data=nan | estados=MS_FOMENTO_072025.pdf</t>
        </r>
      </text>
    </comment>
    <comment ref="B248" authorId="0" shapeId="0" xr:uid="{E43BD9EF-6F7C-4B4B-895D-8F0658C9725D}">
      <text>
        <r>
          <rPr>
            <sz val="11"/>
            <color theme="1"/>
            <rFont val="Calibri"/>
            <family val="2"/>
            <scheme val="minor"/>
          </rPr>
          <t>Diferença: data=nan | estados=MS_FOMENTO_082025.pdf</t>
        </r>
      </text>
    </comment>
    <comment ref="B249" authorId="0" shapeId="0" xr:uid="{6444EAA5-42B3-47CC-90D2-F3436939D0AC}">
      <text>
        <r>
          <rPr>
            <sz val="11"/>
            <color theme="1"/>
            <rFont val="Calibri"/>
            <family val="2"/>
            <scheme val="minor"/>
          </rPr>
          <t>Diferença: data=nan | estados=MS_FOMENTO_092025.pdf</t>
        </r>
      </text>
    </comment>
    <comment ref="B250" authorId="0" shapeId="0" xr:uid="{4C207D56-0155-4524-809B-34B5E810FF74}">
      <text>
        <r>
          <rPr>
            <sz val="11"/>
            <color theme="1"/>
            <rFont val="Calibri"/>
            <family val="2"/>
            <scheme val="minor"/>
          </rPr>
          <t>Diferença: data=nan | estados=MS_FOMENTO_102025.pdf</t>
        </r>
      </text>
    </comment>
    <comment ref="D250" authorId="0" shapeId="0" xr:uid="{AE1A5FB1-6A59-457C-B6C0-AD3997218D9C}">
      <text>
        <r>
          <rPr>
            <sz val="11"/>
            <color theme="1"/>
            <rFont val="Calibri"/>
            <family val="2"/>
            <scheme val="minor"/>
          </rPr>
          <t>Diferença: data=0.285 | estados=0.25</t>
        </r>
      </text>
    </comment>
    <comment ref="E250" authorId="0" shapeId="0" xr:uid="{4B0E2CB3-AB0B-4CBB-8E46-B7AB1266A1EE}">
      <text>
        <r>
          <rPr>
            <sz val="11"/>
            <color theme="1"/>
            <rFont val="Calibri"/>
            <family val="2"/>
            <scheme val="minor"/>
          </rPr>
          <t>Diferença: data=0.142 | estados=0.1</t>
        </r>
      </text>
    </comment>
    <comment ref="F250" authorId="0" shapeId="0" xr:uid="{947B144C-A618-4084-931B-DA1673CC042A}">
      <text>
        <r>
          <rPr>
            <sz val="11"/>
            <color theme="1"/>
            <rFont val="Calibri"/>
            <family val="2"/>
            <scheme val="minor"/>
          </rPr>
          <t>Diferença: data=0.142 | estados=0.05</t>
        </r>
      </text>
    </comment>
    <comment ref="B251" authorId="0" shapeId="0" xr:uid="{26F18876-E628-4FE2-9E69-4C3C979C4462}">
      <text>
        <r>
          <rPr>
            <sz val="11"/>
            <color theme="1"/>
            <rFont val="Calibri"/>
            <family val="2"/>
            <scheme val="minor"/>
          </rPr>
          <t>Diferença: data=nan | estados=MS_FOMENTO_132024.pdf</t>
        </r>
      </text>
    </comment>
    <comment ref="C251" authorId="0" shapeId="0" xr:uid="{356EB304-7189-426B-B476-1D1EE142773A}">
      <text>
        <r>
          <rPr>
            <sz val="11"/>
            <color theme="1"/>
            <rFont val="Calibri"/>
            <family val="2"/>
            <scheme val="minor"/>
          </rPr>
          <t>Diferença: data=400.0 | estados=400000</t>
        </r>
      </text>
    </comment>
    <comment ref="B252" authorId="0" shapeId="0" xr:uid="{6AD99B18-E409-4B45-8866-EB8041759DEA}">
      <text>
        <r>
          <rPr>
            <sz val="11"/>
            <color theme="1"/>
            <rFont val="Calibri"/>
            <family val="2"/>
            <scheme val="minor"/>
          </rPr>
          <t>Diferença: data=nan | estados=MS_FOMENTO_142024.pdf</t>
        </r>
      </text>
    </comment>
    <comment ref="B253" authorId="0" shapeId="0" xr:uid="{4BDE4810-CACD-4E53-A0E5-36C783698B65}">
      <text>
        <r>
          <rPr>
            <sz val="11"/>
            <color theme="1"/>
            <rFont val="Calibri"/>
            <family val="2"/>
            <scheme val="minor"/>
          </rPr>
          <t>Diferença: data=nan | estados=MS_FOMENTO_152024.pdf</t>
        </r>
      </text>
    </comment>
    <comment ref="B254" authorId="0" shapeId="0" xr:uid="{57BD91B3-E9FC-42D5-BE88-35248EA3FDD3}">
      <text>
        <r>
          <rPr>
            <sz val="11"/>
            <color theme="1"/>
            <rFont val="Calibri"/>
            <family val="2"/>
            <scheme val="minor"/>
          </rPr>
          <t>Diferença: data=nan | estados=MS_FOMENTO_182024.pdf</t>
        </r>
      </text>
    </comment>
    <comment ref="C254" authorId="0" shapeId="0" xr:uid="{2F069DFA-38DD-4653-9BBE-4305EC81A6D4}">
      <text>
        <r>
          <rPr>
            <sz val="11"/>
            <color theme="1"/>
            <rFont val="Calibri"/>
            <family val="2"/>
            <scheme val="minor"/>
          </rPr>
          <t>Diferença: data=600.0 | estados=600000</t>
        </r>
      </text>
    </comment>
    <comment ref="B255" authorId="0" shapeId="0" xr:uid="{5EF2D7F8-52F7-4285-BBC4-BE833CF5C0E2}">
      <text>
        <r>
          <rPr>
            <sz val="11"/>
            <color theme="1"/>
            <rFont val="Calibri"/>
            <family val="2"/>
            <scheme val="minor"/>
          </rPr>
          <t>Diferença: data=nan | estados=MS_FOMENTO_192024.pdf</t>
        </r>
      </text>
    </comment>
    <comment ref="B256" authorId="0" shapeId="0" xr:uid="{381CAF14-7C27-4FCB-8F3A-77A56B11D0F1}">
      <text>
        <r>
          <rPr>
            <sz val="11"/>
            <color theme="1"/>
            <rFont val="Calibri"/>
            <family val="2"/>
            <scheme val="minor"/>
          </rPr>
          <t>Diferença: data=nan | estados=MS_FOMENTO_202024.pdf</t>
        </r>
      </text>
    </comment>
    <comment ref="D256" authorId="0" shapeId="0" xr:uid="{F4DE2C06-2B5A-427A-9F52-2D014F6EE33E}">
      <text>
        <r>
          <rPr>
            <sz val="11"/>
            <color theme="1"/>
            <rFont val="Calibri"/>
            <family val="2"/>
            <scheme val="minor"/>
          </rPr>
          <t>Diferença: data=0.2461 | estados=0.25</t>
        </r>
      </text>
    </comment>
    <comment ref="E256" authorId="0" shapeId="0" xr:uid="{5D08AC12-B70F-4AA5-96C3-11769C1D5983}">
      <text>
        <r>
          <rPr>
            <sz val="11"/>
            <color theme="1"/>
            <rFont val="Calibri"/>
            <family val="2"/>
            <scheme val="minor"/>
          </rPr>
          <t>Diferença: data=0.2076 | estados=0.2</t>
        </r>
      </text>
    </comment>
    <comment ref="F256" authorId="0" shapeId="0" xr:uid="{DE914E7D-EC17-4DE7-A2C4-E9A6ECAD5828}">
      <text>
        <r>
          <rPr>
            <sz val="11"/>
            <color theme="1"/>
            <rFont val="Calibri"/>
            <family val="2"/>
            <scheme val="minor"/>
          </rPr>
          <t>Diferença: data=0.4615 | estados=0.05</t>
        </r>
      </text>
    </comment>
    <comment ref="G256" authorId="0" shapeId="0" xr:uid="{CD29B2EF-F7F7-428B-AFBE-E6BD0BA46324}">
      <text>
        <r>
          <rPr>
            <sz val="11"/>
            <color theme="1"/>
            <rFont val="Calibri"/>
            <family val="2"/>
            <scheme val="minor"/>
          </rPr>
          <t>Diferença: data=100.0 | estados=130</t>
        </r>
      </text>
    </comment>
    <comment ref="B257" authorId="0" shapeId="0" xr:uid="{36C99032-AA33-480B-8B42-349A2D67F9E3}">
      <text>
        <r>
          <rPr>
            <sz val="11"/>
            <color theme="1"/>
            <rFont val="Calibri"/>
            <family val="2"/>
            <scheme val="minor"/>
          </rPr>
          <t>Diferença: data=nan | estados=MS_FOMENTO_222024.pdf</t>
        </r>
      </text>
    </comment>
    <comment ref="C257" authorId="0" shapeId="0" xr:uid="{02BFC9CE-DB2A-43F7-8C9F-87421AE691D9}">
      <text>
        <r>
          <rPr>
            <sz val="11"/>
            <color theme="1"/>
            <rFont val="Calibri"/>
            <family val="2"/>
            <scheme val="minor"/>
          </rPr>
          <t>Diferença: data=900.0 | estados=900000</t>
        </r>
      </text>
    </comment>
    <comment ref="B258" authorId="0" shapeId="0" xr:uid="{F5473A6B-C8F0-42E1-B2E8-8F0DDFB9FE1E}">
      <text>
        <r>
          <rPr>
            <sz val="11"/>
            <color theme="1"/>
            <rFont val="Calibri"/>
            <family val="2"/>
            <scheme val="minor"/>
          </rPr>
          <t>Diferença: data=nan | estados=MS_FOMENTO_232024.pdf</t>
        </r>
      </text>
    </comment>
    <comment ref="D258" authorId="0" shapeId="0" xr:uid="{58EDE21D-2914-4E98-B126-58625C3FE099}">
      <text>
        <r>
          <rPr>
            <sz val="11"/>
            <color theme="1"/>
            <rFont val="Calibri"/>
            <family val="2"/>
            <scheme val="minor"/>
          </rPr>
          <t>Diferença: data=0.2333 | estados=0.23</t>
        </r>
      </text>
    </comment>
    <comment ref="E258" authorId="0" shapeId="0" xr:uid="{667305B0-83E2-444B-87D4-139B83A811F9}">
      <text>
        <r>
          <rPr>
            <sz val="11"/>
            <color theme="1"/>
            <rFont val="Calibri"/>
            <family val="2"/>
            <scheme val="minor"/>
          </rPr>
          <t>Diferença: data=0.2333 | estados=0.23</t>
        </r>
      </text>
    </comment>
    <comment ref="F258" authorId="0" shapeId="0" xr:uid="{F949CA7C-012B-4A9A-98FB-F064D8C95B95}">
      <text>
        <r>
          <rPr>
            <sz val="11"/>
            <color theme="1"/>
            <rFont val="Calibri"/>
            <family val="2"/>
            <scheme val="minor"/>
          </rPr>
          <t>Diferença: data=0.333 | estados=0.03</t>
        </r>
      </text>
    </comment>
    <comment ref="B259" authorId="0" shapeId="0" xr:uid="{79B14A8D-9036-42B2-975A-8B3FFE050370}">
      <text>
        <r>
          <rPr>
            <sz val="11"/>
            <color theme="1"/>
            <rFont val="Calibri"/>
            <family val="2"/>
            <scheme val="minor"/>
          </rPr>
          <t>Diferença: data=nan | estados=MS_FOMENTO_242024.pdf</t>
        </r>
      </text>
    </comment>
    <comment ref="B260" authorId="0" shapeId="0" xr:uid="{076BCCF3-31B2-4EF7-9704-563A39E478C5}">
      <text>
        <r>
          <rPr>
            <sz val="11"/>
            <color theme="1"/>
            <rFont val="Calibri"/>
            <family val="2"/>
            <scheme val="minor"/>
          </rPr>
          <t>Diferença: data=nan | estados=MS_FOMENTO_252024.pdf</t>
        </r>
      </text>
    </comment>
    <comment ref="B261" authorId="0" shapeId="0" xr:uid="{39018410-9705-4F81-8F5F-708ACD98C6DD}">
      <text>
        <r>
          <rPr>
            <sz val="11"/>
            <color theme="1"/>
            <rFont val="Calibri"/>
            <family val="2"/>
            <scheme val="minor"/>
          </rPr>
          <t>Diferença: data=nan | estados=MS_FOMENTO_262024.pdf</t>
        </r>
      </text>
    </comment>
    <comment ref="C261" authorId="0" shapeId="0" xr:uid="{07DE3378-9599-4AFE-A8D7-31F261630E5D}">
      <text>
        <r>
          <rPr>
            <sz val="11"/>
            <color theme="1"/>
            <rFont val="Calibri"/>
            <family val="2"/>
            <scheme val="minor"/>
          </rPr>
          <t>Diferença: data=1500.0 | estados=1500000</t>
        </r>
      </text>
    </comment>
    <comment ref="B262" authorId="0" shapeId="0" xr:uid="{45B5F8D3-30F8-487E-B273-F9D93F0352EC}">
      <text>
        <r>
          <rPr>
            <sz val="11"/>
            <color theme="1"/>
            <rFont val="Calibri"/>
            <family val="2"/>
            <scheme val="minor"/>
          </rPr>
          <t>Diferença: data=nan | estados=MS_FOMENTO_272024.pdf</t>
        </r>
      </text>
    </comment>
    <comment ref="B263" authorId="0" shapeId="0" xr:uid="{CF34D6A0-963A-47BF-A154-E5F9E9B3387C}">
      <text>
        <r>
          <rPr>
            <sz val="11"/>
            <color theme="1"/>
            <rFont val="Calibri"/>
            <family val="2"/>
            <scheme val="minor"/>
          </rPr>
          <t>Diferença: data=nan | estados=MS_PRÊMIO_022025.pdf</t>
        </r>
      </text>
    </comment>
    <comment ref="E263" authorId="0" shapeId="0" xr:uid="{F5FF5C65-4148-4791-91DA-E1A615ED8C6A}">
      <text>
        <r>
          <rPr>
            <sz val="11"/>
            <color theme="1"/>
            <rFont val="Calibri"/>
            <family val="2"/>
            <scheme val="minor"/>
          </rPr>
          <t>Diferença: data=0.1 | estados=0.15</t>
        </r>
      </text>
    </comment>
    <comment ref="B264" authorId="0" shapeId="0" xr:uid="{83B451D2-CB8C-4A9D-87A2-7F7CEC5B35C8}">
      <text>
        <r>
          <rPr>
            <sz val="11"/>
            <color theme="1"/>
            <rFont val="Calibri"/>
            <family val="2"/>
            <scheme val="minor"/>
          </rPr>
          <t>Diferença: data=nan | estados=MS_PRÊMIO_102024.pdf</t>
        </r>
      </text>
    </comment>
    <comment ref="D264" authorId="0" shapeId="0" xr:uid="{FB84052E-116A-4650-B619-D4E76DFC1E70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E264" authorId="0" shapeId="0" xr:uid="{18598BDB-F90E-4B1F-93EB-840A43BDD52E}">
      <text>
        <r>
          <rPr>
            <sz val="11"/>
            <color theme="1"/>
            <rFont val="Calibri"/>
            <family val="2"/>
            <scheme val="minor"/>
          </rPr>
          <t>Diferença: data=0.0 | estados=1</t>
        </r>
      </text>
    </comment>
    <comment ref="F264" authorId="0" shapeId="0" xr:uid="{E6E87B36-1F53-4B47-A1A7-BE2C0926F07D}">
      <text>
        <r>
          <rPr>
            <sz val="11"/>
            <color theme="1"/>
            <rFont val="Calibri"/>
            <family val="2"/>
            <scheme val="minor"/>
          </rPr>
          <t>Diferença: data=0.066 | estados=0.06</t>
        </r>
      </text>
    </comment>
    <comment ref="B265" authorId="0" shapeId="0" xr:uid="{DA35A227-EC05-4694-AD83-762ACC22861A}">
      <text>
        <r>
          <rPr>
            <sz val="11"/>
            <color theme="1"/>
            <rFont val="Calibri"/>
            <family val="2"/>
            <scheme val="minor"/>
          </rPr>
          <t>Diferença: data=nan | estados=MS_PRÊMIO_112024.pdf</t>
        </r>
      </text>
    </comment>
    <comment ref="B266" authorId="0" shapeId="0" xr:uid="{11C6D419-48B5-4635-99B0-0EA59E4110BD}">
      <text>
        <r>
          <rPr>
            <sz val="11"/>
            <color theme="1"/>
            <rFont val="Calibri"/>
            <family val="2"/>
            <scheme val="minor"/>
          </rPr>
          <t>Diferença: data=nan | estados=MS_PRÊMIO_112025.pdf</t>
        </r>
      </text>
    </comment>
    <comment ref="B267" authorId="0" shapeId="0" xr:uid="{03F36739-F5D1-4525-A0C7-BBFD83A7857A}">
      <text>
        <r>
          <rPr>
            <sz val="11"/>
            <color theme="1"/>
            <rFont val="Calibri"/>
            <family val="2"/>
            <scheme val="minor"/>
          </rPr>
          <t>Diferença: data=nan | estados=MG_BOLSA_122024.pdf</t>
        </r>
      </text>
    </comment>
    <comment ref="B268" authorId="0" shapeId="0" xr:uid="{F78A2166-AAAB-4577-BDC5-23A67023CD72}">
      <text>
        <r>
          <rPr>
            <sz val="11"/>
            <color theme="1"/>
            <rFont val="Calibri"/>
            <family val="2"/>
            <scheme val="minor"/>
          </rPr>
          <t>Diferença: data=nan | estados=MG_BOLSA_132024.pdf</t>
        </r>
      </text>
    </comment>
    <comment ref="D268" authorId="0" shapeId="0" xr:uid="{8D7F6DCF-C664-4607-9C52-7971520BD0C2}">
      <text>
        <r>
          <rPr>
            <sz val="11"/>
            <color theme="1"/>
            <rFont val="Calibri"/>
            <family val="2"/>
            <scheme val="minor"/>
          </rPr>
          <t>Diferença: data=0.259 | estados=0.26</t>
        </r>
      </text>
    </comment>
    <comment ref="F268" authorId="0" shapeId="0" xr:uid="{EE6CBFEA-E4F2-4979-941C-F634FAF8D1B8}">
      <text>
        <r>
          <rPr>
            <sz val="11"/>
            <color theme="1"/>
            <rFont val="Calibri"/>
            <family val="2"/>
            <scheme val="minor"/>
          </rPr>
          <t>Diferença: data=0.048 | estados=0.05</t>
        </r>
      </text>
    </comment>
    <comment ref="B269" authorId="0" shapeId="0" xr:uid="{FCE4C872-6325-4575-8F55-59178D42C3C4}">
      <text>
        <r>
          <rPr>
            <sz val="11"/>
            <color theme="1"/>
            <rFont val="Calibri"/>
            <family val="2"/>
            <scheme val="minor"/>
          </rPr>
          <t>Diferença: data=nan | estados=MG_CULTURAVIVA_032024.pdf</t>
        </r>
      </text>
    </comment>
    <comment ref="B270" authorId="0" shapeId="0" xr:uid="{DEA64BEE-0BE8-4D66-B810-F4649B94B5E7}">
      <text>
        <r>
          <rPr>
            <sz val="11"/>
            <color theme="1"/>
            <rFont val="Calibri"/>
            <family val="2"/>
            <scheme val="minor"/>
          </rPr>
          <t>Diferença: data=nan | estados=MG_CULTURAVIVA_042024.pdf</t>
        </r>
      </text>
    </comment>
    <comment ref="B271" authorId="0" shapeId="0" xr:uid="{7D675CB3-4597-4B7F-BD42-6B5E1FC17E34}">
      <text>
        <r>
          <rPr>
            <sz val="11"/>
            <color theme="1"/>
            <rFont val="Calibri"/>
            <family val="2"/>
            <scheme val="minor"/>
          </rPr>
          <t>Diferença: data=nan | estados=MG_FOMENTO_052024.pdf</t>
        </r>
      </text>
    </comment>
    <comment ref="B272" authorId="0" shapeId="0" xr:uid="{0AD18577-DB58-4F4D-8B3A-5B52CC3FD810}">
      <text>
        <r>
          <rPr>
            <sz val="11"/>
            <color theme="1"/>
            <rFont val="Calibri"/>
            <family val="2"/>
            <scheme val="minor"/>
          </rPr>
          <t>Diferença: data=nan | estados=MG_FOMENTO_062024.pdf</t>
        </r>
      </text>
    </comment>
    <comment ref="F272" authorId="0" shapeId="0" xr:uid="{AD7114E3-1F22-466F-8705-1B7B2D0A965D}">
      <text>
        <r>
          <rPr>
            <sz val="11"/>
            <color theme="1"/>
            <rFont val="Calibri"/>
            <family val="2"/>
            <scheme val="minor"/>
          </rPr>
          <t>Diferença: data=0.049 | estados=0.05</t>
        </r>
      </text>
    </comment>
    <comment ref="B273" authorId="0" shapeId="0" xr:uid="{6B6A908D-076B-4D98-AAA6-E03E4B97A2AF}">
      <text>
        <r>
          <rPr>
            <sz val="11"/>
            <color theme="1"/>
            <rFont val="Calibri"/>
            <family val="2"/>
            <scheme val="minor"/>
          </rPr>
          <t>Diferença: data=nan | estados=MG_FOMENTO_072024.pdf</t>
        </r>
      </text>
    </comment>
    <comment ref="D273" authorId="0" shapeId="0" xr:uid="{CF4D572E-E209-4666-86BE-ECA79E95B7A7}">
      <text>
        <r>
          <rPr>
            <sz val="11"/>
            <color theme="1"/>
            <rFont val="Calibri"/>
            <family val="2"/>
            <scheme val="minor"/>
          </rPr>
          <t>Diferença: data=0.2279 | estados=0.23</t>
        </r>
      </text>
    </comment>
    <comment ref="E273" authorId="0" shapeId="0" xr:uid="{220C67B6-8B3B-40A9-9A39-BDBC34F72593}">
      <text>
        <r>
          <rPr>
            <sz val="11"/>
            <color theme="1"/>
            <rFont val="Calibri"/>
            <family val="2"/>
            <scheme val="minor"/>
          </rPr>
          <t>Diferença: data=0.116 | estados=0.11</t>
        </r>
      </text>
    </comment>
    <comment ref="F273" authorId="0" shapeId="0" xr:uid="{90F63BD9-3CE6-4364-B17F-E9AB1ED356FE}">
      <text>
        <r>
          <rPr>
            <sz val="11"/>
            <color theme="1"/>
            <rFont val="Calibri"/>
            <family val="2"/>
            <scheme val="minor"/>
          </rPr>
          <t>Diferença: data=0.041 | estados=0.04</t>
        </r>
      </text>
    </comment>
    <comment ref="B274" authorId="0" shapeId="0" xr:uid="{4608EA19-23AE-435F-BAB8-AD65C54C8F56}">
      <text>
        <r>
          <rPr>
            <sz val="11"/>
            <color theme="1"/>
            <rFont val="Calibri"/>
            <family val="2"/>
            <scheme val="minor"/>
          </rPr>
          <t>Diferença: data=nan | estados=MG_FOMENTO_082024.pdf</t>
        </r>
      </text>
    </comment>
    <comment ref="D274" authorId="0" shapeId="0" xr:uid="{AC0018D9-6504-480D-9426-455852B99A50}">
      <text>
        <r>
          <rPr>
            <sz val="11"/>
            <color theme="1"/>
            <rFont val="Calibri"/>
            <family val="2"/>
            <scheme val="minor"/>
          </rPr>
          <t>Diferença: data=0.241 | estados=0.25</t>
        </r>
      </text>
    </comment>
    <comment ref="E274" authorId="0" shapeId="0" xr:uid="{29E75936-F66A-439D-AA3E-69B1110CB175}">
      <text>
        <r>
          <rPr>
            <sz val="11"/>
            <color theme="1"/>
            <rFont val="Calibri"/>
            <family val="2"/>
            <scheme val="minor"/>
          </rPr>
          <t>Diferença: data=0.095 | estados=0.1</t>
        </r>
      </text>
    </comment>
    <comment ref="B275" authorId="0" shapeId="0" xr:uid="{6BEB0093-D575-409C-B000-F283BBF845C4}">
      <text>
        <r>
          <rPr>
            <sz val="11"/>
            <color theme="1"/>
            <rFont val="Calibri"/>
            <family val="2"/>
            <scheme val="minor"/>
          </rPr>
          <t>Diferença: data=nan | estados=MG_FOMENTO_102024.pdf</t>
        </r>
      </text>
    </comment>
    <comment ref="D275" authorId="0" shapeId="0" xr:uid="{2EC1CE32-20AA-4782-B68B-E87C32A70D91}">
      <text>
        <r>
          <rPr>
            <sz val="11"/>
            <color theme="1"/>
            <rFont val="Calibri"/>
            <family val="2"/>
            <scheme val="minor"/>
          </rPr>
          <t>Diferença: data=0.258 | estados=0.26</t>
        </r>
      </text>
    </comment>
    <comment ref="E275" authorId="0" shapeId="0" xr:uid="{1E2A4ACF-1F6A-45BE-96F8-92F5C2AAFD20}">
      <text>
        <r>
          <rPr>
            <sz val="11"/>
            <color theme="1"/>
            <rFont val="Calibri"/>
            <family val="2"/>
            <scheme val="minor"/>
          </rPr>
          <t>Diferença: data=0.109 | estados=0.11</t>
        </r>
      </text>
    </comment>
    <comment ref="F275" authorId="0" shapeId="0" xr:uid="{CE36ABAE-F089-44B0-9692-D435B659E411}">
      <text>
        <r>
          <rPr>
            <sz val="11"/>
            <color theme="1"/>
            <rFont val="Calibri"/>
            <family val="2"/>
            <scheme val="minor"/>
          </rPr>
          <t>Diferença: data=0.048 | estados=0.045</t>
        </r>
      </text>
    </comment>
    <comment ref="B276" authorId="0" shapeId="0" xr:uid="{6A7820DE-6D9B-4FEA-82A8-F72326470DF9}">
      <text>
        <r>
          <rPr>
            <sz val="11"/>
            <color theme="1"/>
            <rFont val="Calibri"/>
            <family val="2"/>
            <scheme val="minor"/>
          </rPr>
          <t>Diferença: data=nan | estados=MG_FOMENTO_112024.pdf</t>
        </r>
      </text>
    </comment>
    <comment ref="B277" authorId="0" shapeId="0" xr:uid="{2007B640-4AD9-4108-901F-FAA5549870CD}">
      <text>
        <r>
          <rPr>
            <sz val="11"/>
            <color theme="1"/>
            <rFont val="Calibri"/>
            <family val="2"/>
            <scheme val="minor"/>
          </rPr>
          <t>Diferença: data=nan | estados=MG_PRÊMIO_022024.pdf</t>
        </r>
      </text>
    </comment>
    <comment ref="B278" authorId="0" shapeId="0" xr:uid="{8069C8B0-1375-4D19-91CD-41769DCD5625}">
      <text>
        <r>
          <rPr>
            <sz val="11"/>
            <color theme="1"/>
            <rFont val="Calibri"/>
            <family val="2"/>
            <scheme val="minor"/>
          </rPr>
          <t>Diferença: data=nan | estados=MG_SUBSÍDIO_092024.pdf</t>
        </r>
      </text>
    </comment>
    <comment ref="D278" authorId="0" shapeId="0" xr:uid="{46FF508C-E7F0-4912-BC43-BC5D9D7F9BD4}">
      <text>
        <r>
          <rPr>
            <sz val="11"/>
            <color theme="1"/>
            <rFont val="Calibri"/>
            <family val="2"/>
            <scheme val="minor"/>
          </rPr>
          <t>Diferença: data=0.257 | estados=0.26</t>
        </r>
      </text>
    </comment>
    <comment ref="F278" authorId="0" shapeId="0" xr:uid="{246327F8-9955-47D1-A4CD-74621EA8AF1C}">
      <text>
        <r>
          <rPr>
            <sz val="11"/>
            <color theme="1"/>
            <rFont val="Calibri"/>
            <family val="2"/>
            <scheme val="minor"/>
          </rPr>
          <t>Diferença: data=0.042 | estados=0.043</t>
        </r>
      </text>
    </comment>
    <comment ref="B279" authorId="0" shapeId="0" xr:uid="{237E1E3B-4327-4DCB-AC99-F2F08A4AD216}">
      <text>
        <r>
          <rPr>
            <sz val="11"/>
            <color theme="1"/>
            <rFont val="Calibri"/>
            <family val="2"/>
            <scheme val="minor"/>
          </rPr>
          <t>Diferença: data=nan | estados=2024-16_NATAL_CULTURAVIVA.pdf</t>
        </r>
      </text>
    </comment>
    <comment ref="B280" authorId="0" shapeId="0" xr:uid="{6261E487-6EFE-4177-812F-DC95077335C8}">
      <text>
        <r>
          <rPr>
            <sz val="11"/>
            <color theme="1"/>
            <rFont val="Calibri"/>
            <family val="2"/>
            <scheme val="minor"/>
          </rPr>
          <t>Diferença: data=nan | estados=2024-10_NATAL_SUBSÍDIO.pdf.pdf</t>
        </r>
      </text>
    </comment>
    <comment ref="B281" authorId="0" shapeId="0" xr:uid="{65FBCC02-BB81-46B5-AD47-AF5E874FF55B}">
      <text>
        <r>
          <rPr>
            <sz val="11"/>
            <color theme="1"/>
            <rFont val="Calibri"/>
            <family val="2"/>
            <scheme val="minor"/>
          </rPr>
          <t>Diferença: data=nan | estados=2024-12_NATAL_FOMENTO.pdf.pdf</t>
        </r>
      </text>
    </comment>
    <comment ref="B282" authorId="0" shapeId="0" xr:uid="{2C2C5A35-16FC-44D3-88B8-046629166811}">
      <text>
        <r>
          <rPr>
            <sz val="11"/>
            <color theme="1"/>
            <rFont val="Calibri"/>
            <family val="2"/>
            <scheme val="minor"/>
          </rPr>
          <t>Diferença: data=nan | estados=2024-15_NATAL_CULTURAVIVA.pdf</t>
        </r>
      </text>
    </comment>
    <comment ref="B283" authorId="0" shapeId="0" xr:uid="{1D908D5B-22CF-4219-BBE7-A4FAC21CA3DE}">
      <text>
        <r>
          <rPr>
            <sz val="11"/>
            <color theme="1"/>
            <rFont val="Calibri"/>
            <family val="2"/>
            <scheme val="minor"/>
          </rPr>
          <t>Diferença: data=nan | estados=2024-11_NATAL_PRÊMIO.pdf</t>
        </r>
      </text>
    </comment>
    <comment ref="B284" authorId="0" shapeId="0" xr:uid="{7D0C27F4-0D79-4877-84B2-C548686226B7}">
      <text>
        <r>
          <rPr>
            <sz val="11"/>
            <color theme="1"/>
            <rFont val="Calibri"/>
            <family val="2"/>
            <scheme val="minor"/>
          </rPr>
          <t>Diferença: data=nan | estados=2024-08_NATAL_FOMENTO.pdf</t>
        </r>
      </text>
    </comment>
    <comment ref="B285" authorId="0" shapeId="0" xr:uid="{61C9C390-10AE-454A-9FBB-32F65F21527F}">
      <text>
        <r>
          <rPr>
            <sz val="11"/>
            <color theme="1"/>
            <rFont val="Calibri"/>
            <family val="2"/>
            <scheme val="minor"/>
          </rPr>
          <t>Diferença: data=nan | estados=2024-09_NATAL_BOLSA.pdf</t>
        </r>
      </text>
    </comment>
    <comment ref="B286" authorId="0" shapeId="0" xr:uid="{0DD92F13-A76A-4D5C-B0CD-2476F5008961}">
      <text>
        <r>
          <rPr>
            <sz val="11"/>
            <color theme="1"/>
            <rFont val="Calibri"/>
            <family val="2"/>
            <scheme val="minor"/>
          </rPr>
          <t>Diferença: data=nan | estados=2024-17_PALMAS_CULTURAVIVA.pdf</t>
        </r>
      </text>
    </comment>
    <comment ref="B287" authorId="0" shapeId="0" xr:uid="{66BE9FF6-B98A-48B8-BB7F-699ABD05FE93}">
      <text>
        <r>
          <rPr>
            <sz val="11"/>
            <color theme="1"/>
            <rFont val="Calibri"/>
            <family val="2"/>
            <scheme val="minor"/>
          </rPr>
          <t>Diferença: data=nan | estados=2024-15_PALMAS_FOMENTO.pdf</t>
        </r>
      </text>
    </comment>
    <comment ref="B288" authorId="0" shapeId="0" xr:uid="{02B9F6C4-7EB7-4EA7-BA4E-5F4630683BC8}">
      <text>
        <r>
          <rPr>
            <sz val="11"/>
            <color theme="1"/>
            <rFont val="Calibri"/>
            <family val="2"/>
            <scheme val="minor"/>
          </rPr>
          <t>Diferença: data=nan | estados=2024-16_PALMAS_FOMENTO.pdf</t>
        </r>
      </text>
    </comment>
    <comment ref="B289" authorId="0" shapeId="0" xr:uid="{94E40EBC-A4D8-46D2-B0E9-5D4162D64612}">
      <text>
        <r>
          <rPr>
            <sz val="11"/>
            <color theme="1"/>
            <rFont val="Calibri"/>
            <family val="2"/>
            <scheme val="minor"/>
          </rPr>
          <t>Diferença: data=nan | estados=2024-18_PALMAS_CULTURAVIVA.pdf</t>
        </r>
      </text>
    </comment>
    <comment ref="B290" authorId="0" shapeId="0" xr:uid="{5F0C3A37-FBBF-4F2D-A357-64569E0628AA}">
      <text>
        <r>
          <rPr>
            <sz val="11"/>
            <color theme="1"/>
            <rFont val="Calibri"/>
            <family val="2"/>
            <scheme val="minor"/>
          </rPr>
          <t>Diferença: data=nan | estados=2024-19_PALMAS_SUBSÍDIO.pdf</t>
        </r>
      </text>
    </comment>
    <comment ref="B291" authorId="0" shapeId="0" xr:uid="{25DEE396-43F7-4C1E-BFBC-D471E078940C}">
      <text>
        <r>
          <rPr>
            <sz val="11"/>
            <color theme="1"/>
            <rFont val="Calibri"/>
            <family val="2"/>
            <scheme val="minor"/>
          </rPr>
          <t>Diferença: data=nan | estados=PARÁ_CULTURA_VIVA_003.pdf</t>
        </r>
      </text>
    </comment>
    <comment ref="B292" authorId="0" shapeId="0" xr:uid="{9C85A602-BA6A-42E4-B8FD-AA3CE711E8F4}">
      <text>
        <r>
          <rPr>
            <sz val="11"/>
            <color theme="1"/>
            <rFont val="Calibri"/>
            <family val="2"/>
            <scheme val="minor"/>
          </rPr>
          <t>Diferença: data=nan | estados=PARÁ_FOMENTO_002_2025.pdf</t>
        </r>
      </text>
    </comment>
    <comment ref="B293" authorId="0" shapeId="0" xr:uid="{493BD1B7-25A2-4502-AAC8-75EFD8AFCE39}">
      <text>
        <r>
          <rPr>
            <sz val="11"/>
            <color theme="1"/>
            <rFont val="Calibri"/>
            <family val="2"/>
            <scheme val="minor"/>
          </rPr>
          <t>Diferença: data=nan | estados=PARÁ_FOMENTO_004.pdf</t>
        </r>
      </text>
    </comment>
    <comment ref="B294" authorId="0" shapeId="0" xr:uid="{3E3D0E09-249A-415E-A9C7-EFE4512BDE18}">
      <text>
        <r>
          <rPr>
            <sz val="11"/>
            <color theme="1"/>
            <rFont val="Calibri"/>
            <family val="2"/>
            <scheme val="minor"/>
          </rPr>
          <t>Diferença: data=nan | estados=PARÁ_FOMENTO_005.pdf</t>
        </r>
      </text>
    </comment>
    <comment ref="B295" authorId="0" shapeId="0" xr:uid="{BB8F5B4F-8FED-4237-944F-14F445BB47F1}">
      <text>
        <r>
          <rPr>
            <sz val="11"/>
            <color theme="1"/>
            <rFont val="Calibri"/>
            <family val="2"/>
            <scheme val="minor"/>
          </rPr>
          <t>Diferença: data=nan | estados=PARÁ_PREMIAÇÃO_006.pdf</t>
        </r>
      </text>
    </comment>
    <comment ref="B296" authorId="0" shapeId="0" xr:uid="{63E35A9B-51ED-4AF5-9E36-E2410F67DA98}">
      <text>
        <r>
          <rPr>
            <sz val="11"/>
            <color theme="1"/>
            <rFont val="Calibri"/>
            <family val="2"/>
            <scheme val="minor"/>
          </rPr>
          <t>Diferença: data=nan | estados=PARÁ_PREMIAÇÃO_008_2025.pdf</t>
        </r>
      </text>
    </comment>
    <comment ref="B297" authorId="0" shapeId="0" xr:uid="{A1DC751E-D17E-49BC-87A2-63E39855A40E}">
      <text>
        <r>
          <rPr>
            <sz val="11"/>
            <color theme="1"/>
            <rFont val="Calibri"/>
            <family val="2"/>
            <scheme val="minor"/>
          </rPr>
          <t>Diferença: data=nan | estados=PARÁ_SUBSÍDIO_007.pdf</t>
        </r>
      </text>
    </comment>
    <comment ref="B298" authorId="0" shapeId="0" xr:uid="{79A79C88-0A4A-4B8E-8344-C909199F568B}">
      <text>
        <r>
          <rPr>
            <sz val="11"/>
            <color theme="1"/>
            <rFont val="Calibri"/>
            <family val="2"/>
            <scheme val="minor"/>
          </rPr>
          <t>Diferença: data=nan | estados=PARAÍBA_CULTURA_VIVA_12.pdf</t>
        </r>
      </text>
    </comment>
    <comment ref="B299" authorId="0" shapeId="0" xr:uid="{F56DFF8A-ABC8-4429-9DC5-E67ED0389055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estados=PARAÍBA_Edital_de_Bolsa_1.pdf</t>
        </r>
      </text>
    </comment>
    <comment ref="B300" authorId="0" shapeId="0" xr:uid="{BC563879-B999-4891-8EAE-37029DCED936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estados=PARAÍBA_Edital_de_Premiação_1.pdf</t>
        </r>
      </text>
    </comment>
    <comment ref="B301" authorId="0" shapeId="0" xr:uid="{C17E13BB-2658-4334-9D1E-89E35F530F13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estados=PARAÍBA_Edital_de_Premiação_2.pdf</t>
        </r>
      </text>
    </comment>
    <comment ref="B302" authorId="0" shapeId="0" xr:uid="{36ABBD55-15CC-432A-AD79-C30D8262CB07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estados=PARAÍBA_Edital_de_Premiação_3.pdf</t>
        </r>
      </text>
    </comment>
    <comment ref="B303" authorId="0" shapeId="0" xr:uid="{D63BEE77-8C92-4E36-9E1B-E9647D51590C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estados=PARAÍBA_Edital_de_Premiação_4.pdf</t>
        </r>
      </text>
    </comment>
    <comment ref="B304" authorId="0" shapeId="0" xr:uid="{DBA6879D-A2A8-4A4B-A44F-A2555A7C6B22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estados=PARAÍBA_Edital_de_Premiação_7.pdf</t>
        </r>
      </text>
    </comment>
    <comment ref="D304" authorId="0" shapeId="0" xr:uid="{6636E937-D8DF-48D1-A01C-03E8A696078F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E304" authorId="0" shapeId="0" xr:uid="{295FA2B5-C485-4317-8368-5EA87E32AB9D}">
      <text>
        <r>
          <rPr>
            <sz val="11"/>
            <color theme="1"/>
            <rFont val="Calibri"/>
            <family val="2"/>
            <scheme val="minor"/>
          </rPr>
          <t>Diferença: data=0.0 | estados=1</t>
        </r>
      </text>
    </comment>
    <comment ref="B305" authorId="0" shapeId="0" xr:uid="{C85B2C66-9A37-4710-88EF-687A142FC0DE}">
      <text>
        <r>
          <rPr>
            <sz val="11"/>
            <color theme="1"/>
            <rFont val="Calibri"/>
            <family val="2"/>
            <scheme val="minor"/>
          </rPr>
          <t>Diferença: data=nan | estados=PARAÍBA_Edital_de_Premiação_8.pdf</t>
        </r>
      </text>
    </comment>
    <comment ref="B306" authorId="0" shapeId="0" xr:uid="{344B268A-EDD8-4FE4-9F92-0C09D397371A}">
      <text>
        <r>
          <rPr>
            <sz val="11"/>
            <color theme="1"/>
            <rFont val="Calibri"/>
            <family val="2"/>
            <scheme val="minor"/>
          </rPr>
          <t>Diferença: data=nan | estados=PARAÍBA_FOMENTO_ 0013.pdf</t>
        </r>
      </text>
    </comment>
    <comment ref="B307" authorId="0" shapeId="0" xr:uid="{FB667954-6204-4DF5-8DB3-9E0972EB4123}">
      <text>
        <r>
          <rPr>
            <sz val="11"/>
            <color theme="1"/>
            <rFont val="Calibri"/>
            <family val="2"/>
            <scheme val="minor"/>
          </rPr>
          <t>Diferença: data=nan | estados=PARAÍBA_FOMENTO_014.pdf</t>
        </r>
      </text>
    </comment>
    <comment ref="B308" authorId="0" shapeId="0" xr:uid="{97B55C0A-DCDB-4896-901C-27663B1E6CB3}">
      <text>
        <r>
          <rPr>
            <sz val="11"/>
            <color theme="1"/>
            <rFont val="Calibri"/>
            <family val="2"/>
            <scheme val="minor"/>
          </rPr>
          <t>Diferença: data=nan | estados=PARAÍBA_PREMIAÇÃO CULTURAL_009.pdf</t>
        </r>
      </text>
    </comment>
    <comment ref="B309" authorId="0" shapeId="0" xr:uid="{1CD33291-C1DE-4B6F-98BC-D08EE12A45B0}">
      <text>
        <r>
          <rPr>
            <sz val="11"/>
            <color theme="1"/>
            <rFont val="Calibri"/>
            <family val="2"/>
            <scheme val="minor"/>
          </rPr>
          <t>Diferença: data=nan | estados=PARAÍBA_PREMIAÇÃO_0018.pdf</t>
        </r>
      </text>
    </comment>
    <comment ref="B310" authorId="0" shapeId="0" xr:uid="{039A6FF9-70F5-4080-B75F-99C6971A3293}">
      <text>
        <r>
          <rPr>
            <sz val="11"/>
            <color theme="1"/>
            <rFont val="Calibri"/>
            <family val="2"/>
            <scheme val="minor"/>
          </rPr>
          <t>Diferença: data=nan | estados=PARAÍBA_PREMIAÇÃO_011.pdf</t>
        </r>
      </text>
    </comment>
    <comment ref="B311" authorId="0" shapeId="0" xr:uid="{DB4157A7-D384-4429-A577-D7F3344EC969}">
      <text>
        <r>
          <rPr>
            <sz val="11"/>
            <color theme="1"/>
            <rFont val="Calibri"/>
            <family val="2"/>
            <scheme val="minor"/>
          </rPr>
          <t>Diferença: data=nan | estados=PARAÍBA_PREMIAÇÃO_10.pdf</t>
        </r>
      </text>
    </comment>
    <comment ref="B314" authorId="0" shapeId="0" xr:uid="{39892D48-7FE0-4AAB-BE6D-EA4A1E60CF9E}">
      <text>
        <r>
          <rPr>
            <sz val="11"/>
            <color theme="1"/>
            <rFont val="Calibri"/>
            <family val="2"/>
            <scheme val="minor"/>
          </rPr>
          <t>Diferença: data=nan | estados=PARANÁ_CULTURA_VIVA_002.pdf</t>
        </r>
      </text>
    </comment>
    <comment ref="B315" authorId="0" shapeId="0" xr:uid="{5EBA0391-4EB9-4258-B622-C72413992D7E}">
      <text>
        <r>
          <rPr>
            <sz val="11"/>
            <color theme="1"/>
            <rFont val="Calibri"/>
            <family val="2"/>
            <scheme val="minor"/>
          </rPr>
          <t>Diferença: data=nan | estados=PARANÁ_CULTURA_VIVA_004.pdf</t>
        </r>
      </text>
    </comment>
    <comment ref="B316" authorId="0" shapeId="0" xr:uid="{0E62F6A9-D777-48AD-8CD6-17470DF0A08F}">
      <text>
        <r>
          <rPr>
            <sz val="11"/>
            <color theme="1"/>
            <rFont val="Calibri"/>
            <family val="2"/>
            <scheme val="minor"/>
          </rPr>
          <t>Diferença: data=nan | estados=PARANÁ_CULTURA_VIVA_006.pdf</t>
        </r>
      </text>
    </comment>
    <comment ref="B317" authorId="1" shapeId="0" xr:uid="{3D308D04-3401-479B-88F1-4F6D0D26586D}">
      <text>
        <r>
          <rPr>
            <sz val="11"/>
            <color theme="1"/>
            <rFont val="Calibri"/>
            <scheme val="minor"/>
          </rPr>
          <t>======
ID#AAABycWSoa0
copilot    (2026-01-09 16:24:46)
Diferença: data=nan | estados=PARANÁ_FOMENTO_001.pdf</t>
        </r>
      </text>
    </comment>
    <comment ref="B318" authorId="0" shapeId="0" xr:uid="{625320A6-41F2-4DF8-996A-B2CEAAAF6D4B}">
      <text>
        <r>
          <rPr>
            <sz val="11"/>
            <color theme="1"/>
            <rFont val="Calibri"/>
            <family val="2"/>
            <scheme val="minor"/>
          </rPr>
          <t>Diferença: data=nan | estados=PARANÁ_FOMENTO_0022.pdf</t>
        </r>
      </text>
    </comment>
    <comment ref="B319" authorId="1" shapeId="0" xr:uid="{5A7C58DA-2AA4-4A7C-A3CF-CD024B16E2F7}">
      <text>
        <r>
          <rPr>
            <sz val="11"/>
            <color theme="1"/>
            <rFont val="Calibri"/>
            <scheme val="minor"/>
          </rPr>
          <t>======
ID#AAABycWSoaQ
copilot    (2026-01-09 16:24:46)
Diferença: data=nan | estados=PARANÁ_FOMENTO_1233.pdf</t>
        </r>
      </text>
    </comment>
    <comment ref="B320" authorId="0" shapeId="0" xr:uid="{EEF301BC-EBBD-4ADC-BB04-033B3445C358}">
      <text>
        <r>
          <rPr>
            <sz val="11"/>
            <color theme="1"/>
            <rFont val="Calibri"/>
            <family val="2"/>
            <scheme val="minor"/>
          </rPr>
          <t>Diferença: data=nan | estados=PARANÁ_PREMIO_02.pdf</t>
        </r>
      </text>
    </comment>
    <comment ref="B321" authorId="0" shapeId="0" xr:uid="{F31D229B-3651-4BDE-8DE0-00B92A50DF14}">
      <text>
        <r>
          <rPr>
            <sz val="11"/>
            <color theme="1"/>
            <rFont val="Calibri"/>
            <family val="2"/>
            <scheme val="minor"/>
          </rPr>
          <t>Diferença: data=nan | estados=PARANÁ_SUBISIDIO_008.pdf</t>
        </r>
      </text>
    </comment>
    <comment ref="B322" authorId="0" shapeId="0" xr:uid="{29FC6E2F-295B-410B-8F0E-D7EAD990340B}">
      <text>
        <r>
          <rPr>
            <sz val="11"/>
            <color theme="1"/>
            <rFont val="Calibri"/>
            <family val="2"/>
            <scheme val="minor"/>
          </rPr>
          <t>Diferença: data=nan | estados=PARANÁ_SUBSÍDIO_X.pdf</t>
        </r>
      </text>
    </comment>
    <comment ref="B323" authorId="0" shapeId="0" xr:uid="{C2029F83-3E5A-4CA8-8003-27FA7181EB74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estados=PERNAMBUCO_Edital_de_Bolsas_1.pdf</t>
        </r>
      </text>
    </comment>
    <comment ref="B324" authorId="0" shapeId="0" xr:uid="{9E73EE47-2DAB-45C5-A090-BE00740447FF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estados=PERNAMBUCO_Edital_de_Fomento_1.pdf</t>
        </r>
      </text>
    </comment>
    <comment ref="B325" authorId="0" shapeId="0" xr:uid="{AAD80BDC-2E2E-4154-A642-D61AE17C4DD2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estados=PERNAMBUCO_Edital_de_Premiação_1.pdf</t>
        </r>
      </text>
    </comment>
    <comment ref="B326" authorId="0" shapeId="0" xr:uid="{8BD20C4F-B6FF-4266-8DDD-1CB002537F99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estados=PERNAMBUCO_Edital_de_Premiação_3.pdf</t>
        </r>
      </text>
    </comment>
    <comment ref="B327" authorId="0" shapeId="0" xr:uid="{4439B366-D63E-4E18-9407-C8FFDB94B88E}">
      <text>
        <r>
          <rPr>
            <sz val="11"/>
            <color theme="1"/>
            <rFont val="Calibri"/>
            <family val="2"/>
            <scheme val="minor"/>
          </rPr>
          <t>Diferença: data=nan | estados=PERNAMBUCO_Edital_de_Premiação_5.pdf</t>
        </r>
      </text>
    </comment>
    <comment ref="B330" authorId="0" shapeId="0" xr:uid="{14AFA52E-4D04-43A4-B9DD-EAF1DEE1A40C}">
      <text>
        <r>
          <rPr>
            <sz val="11"/>
            <color theme="1"/>
            <rFont val="Calibri"/>
            <family val="2"/>
            <scheme val="minor"/>
          </rPr>
          <t>Diferença: data=nan | estados=PIAUÍ_Edital_de_Fomento_1.pdf</t>
        </r>
      </text>
    </comment>
    <comment ref="B331" authorId="0" shapeId="0" xr:uid="{15334AF8-B66D-4D6E-841C-F420AFCAFB20}">
      <text>
        <r>
          <rPr>
            <sz val="11"/>
            <color theme="1"/>
            <rFont val="Calibri"/>
            <family val="2"/>
            <scheme val="minor"/>
          </rPr>
          <t>Diferença: data=nan | estados=PIAUÍ_Edital_de_Fomento_2.pdf</t>
        </r>
      </text>
    </comment>
    <comment ref="B332" authorId="0" shapeId="0" xr:uid="{42A6FF29-CA4F-4955-A935-AC0FE289910F}">
      <text>
        <r>
          <rPr>
            <sz val="11"/>
            <color theme="1"/>
            <rFont val="Calibri"/>
            <family val="2"/>
            <scheme val="minor"/>
          </rPr>
          <t>Diferença: data=nan | estados=PIAUÍ_Edital_de_Premiação_1.pdf</t>
        </r>
      </text>
    </comment>
    <comment ref="B335" authorId="0" shapeId="0" xr:uid="{F8B3A425-0632-4942-A9AF-9EDA6051EE6E}">
      <text>
        <r>
          <rPr>
            <sz val="11"/>
            <color theme="1"/>
            <rFont val="Calibri"/>
            <family val="2"/>
            <scheme val="minor"/>
          </rPr>
          <t>Diferença: data=nan | estados=2024-05_PORTOALEGRE_PRÊMIO.pdf</t>
        </r>
      </text>
    </comment>
    <comment ref="B336" authorId="0" shapeId="0" xr:uid="{2FA4F791-B7C8-47E3-BDA9-6161E8FC2E85}">
      <text>
        <r>
          <rPr>
            <sz val="11"/>
            <color theme="1"/>
            <rFont val="Calibri"/>
            <family val="2"/>
            <scheme val="minor"/>
          </rPr>
          <t>Diferença: data=nan | estados=2024-02_PORTOALEGRE_PRÊMIO.pdf</t>
        </r>
      </text>
    </comment>
    <comment ref="B337" authorId="0" shapeId="0" xr:uid="{FA4AEB69-443F-45C1-B766-9CE45C123419}">
      <text>
        <r>
          <rPr>
            <sz val="11"/>
            <color theme="1"/>
            <rFont val="Calibri"/>
            <family val="2"/>
            <scheme val="minor"/>
          </rPr>
          <t>Diferença: data=nan | estados=2024-03_PORTOALEGRE_CULTURAVIVA.pdf</t>
        </r>
      </text>
    </comment>
    <comment ref="B338" authorId="0" shapeId="0" xr:uid="{ABA1BE95-F4E9-486C-9F39-61B37945FC9E}">
      <text>
        <r>
          <rPr>
            <sz val="11"/>
            <color theme="1"/>
            <rFont val="Calibri"/>
            <family val="2"/>
            <scheme val="minor"/>
          </rPr>
          <t>Diferença: data=nan | estados=2024-04_PORTOALEGRE_PRÊMIO.pdf.pdf</t>
        </r>
      </text>
    </comment>
    <comment ref="B339" authorId="0" shapeId="0" xr:uid="{67639C8B-56D6-4A5A-81BB-B9DD2F65C2AC}">
      <text>
        <r>
          <rPr>
            <sz val="11"/>
            <color theme="1"/>
            <rFont val="Calibri"/>
            <family val="2"/>
            <scheme val="minor"/>
          </rPr>
          <t>Diferença: data=nan | estados=2025-01_PORTOALEGRE_CULTURAVIVA.pdf</t>
        </r>
      </text>
    </comment>
    <comment ref="B340" authorId="0" shapeId="0" xr:uid="{F06C97C9-DC33-4308-940C-E0E1BAB498CF}">
      <text>
        <r>
          <rPr>
            <sz val="11"/>
            <color theme="1"/>
            <rFont val="Calibri"/>
            <family val="2"/>
            <scheme val="minor"/>
          </rPr>
          <t>Diferença: data=nan | estados=2025-08_PORTOVELHO_FOMENTO.pdf</t>
        </r>
      </text>
    </comment>
    <comment ref="B341" authorId="0" shapeId="0" xr:uid="{D2DAC16D-D6FE-4AE2-AD45-94D1E6595F1D}">
      <text>
        <r>
          <rPr>
            <sz val="11"/>
            <color theme="1"/>
            <rFont val="Calibri"/>
            <family val="2"/>
            <scheme val="minor"/>
          </rPr>
          <t>Diferença: data=nan | estados=2025-07_PORTOVELHO_CULTURAVIVA.pdf</t>
        </r>
      </text>
    </comment>
    <comment ref="B342" authorId="0" shapeId="0" xr:uid="{B4D2CEC3-BCFD-461B-9012-A65EEF983462}">
      <text>
        <r>
          <rPr>
            <sz val="11"/>
            <color theme="1"/>
            <rFont val="Calibri"/>
            <family val="2"/>
            <scheme val="minor"/>
          </rPr>
          <t>Diferença: data=nan | estados=2025-05_PORTOVELHO_CULTURAVIVA.pdf</t>
        </r>
      </text>
    </comment>
    <comment ref="B343" authorId="0" shapeId="0" xr:uid="{1241976B-6CBB-45D8-92DF-F2A033330477}">
      <text>
        <r>
          <rPr>
            <sz val="11"/>
            <color theme="1"/>
            <rFont val="Calibri"/>
            <family val="2"/>
            <scheme val="minor"/>
          </rPr>
          <t>Diferença: data=nan | estados=2025-06_PORTOVELHO_SUBSÍDIO.pdf</t>
        </r>
      </text>
    </comment>
    <comment ref="B344" authorId="0" shapeId="0" xr:uid="{F1FEB961-51C7-4488-A46F-4C1F5F3348A1}">
      <text>
        <r>
          <rPr>
            <sz val="11"/>
            <color theme="1"/>
            <rFont val="Calibri"/>
            <family val="2"/>
            <scheme val="minor"/>
          </rPr>
          <t>Diferença: data=nan | estados=2024-01_RECIFE_FOMENTO.pdf</t>
        </r>
      </text>
    </comment>
    <comment ref="B345" authorId="0" shapeId="0" xr:uid="{B60F7249-2512-4B0F-A86F-D3B42844DF21}">
      <text>
        <r>
          <rPr>
            <sz val="11"/>
            <color theme="1"/>
            <rFont val="Calibri"/>
            <family val="2"/>
            <scheme val="minor"/>
          </rPr>
          <t>Diferença: data=nan | estados=2024-02_RECIFE_FOMENTO.pdf.pdf</t>
        </r>
      </text>
    </comment>
    <comment ref="B346" authorId="0" shapeId="0" xr:uid="{D161455D-3A97-49AC-8087-5303ED8CD6BE}">
      <text>
        <r>
          <rPr>
            <sz val="11"/>
            <color theme="1"/>
            <rFont val="Calibri"/>
            <family val="2"/>
            <scheme val="minor"/>
          </rPr>
          <t>Diferença: data=nan | estados=2025-01_RECIFE_CULTURAVIVA.pdf.pdf</t>
        </r>
      </text>
    </comment>
    <comment ref="B347" authorId="0" shapeId="0" xr:uid="{4FF19A27-2BF0-479C-B020-50564B40CE4E}">
      <text>
        <r>
          <rPr>
            <sz val="11"/>
            <color theme="1"/>
            <rFont val="Calibri"/>
            <family val="2"/>
            <scheme val="minor"/>
          </rPr>
          <t>Diferença: data=nan | estados=2024-03_RECIFE_FOMENTO.pdf.pdf</t>
        </r>
      </text>
    </comment>
    <comment ref="B348" authorId="0" shapeId="0" xr:uid="{1A12ED85-3B53-4D89-9E18-5C2B6A35611A}">
      <text>
        <r>
          <rPr>
            <sz val="11"/>
            <color theme="1"/>
            <rFont val="Calibri"/>
            <family val="2"/>
            <scheme val="minor"/>
          </rPr>
          <t>Diferença: data=nan | estados=2024-06_RIOBRANCO_BOLSA.pdf</t>
        </r>
      </text>
    </comment>
    <comment ref="B349" authorId="0" shapeId="0" xr:uid="{FA68D4CE-82DC-4DB0-A77E-DF9C25E4586C}">
      <text>
        <r>
          <rPr>
            <sz val="11"/>
            <color theme="1"/>
            <rFont val="Calibri"/>
            <family val="2"/>
            <scheme val="minor"/>
          </rPr>
          <t>Diferença: data=nan | estados=2024-08_RIOBRANCO_FOMENTO.pdf</t>
        </r>
      </text>
    </comment>
    <comment ref="D349" authorId="0" shapeId="0" xr:uid="{B0EE9788-854B-4025-869A-F1EE502489DE}">
      <text>
        <r>
          <rPr>
            <sz val="11"/>
            <color theme="1"/>
            <rFont val="Calibri"/>
            <family val="2"/>
            <scheme val="minor"/>
          </rPr>
          <t>Diferença: data=0.26 | estados=0.2</t>
        </r>
      </text>
    </comment>
    <comment ref="B350" authorId="0" shapeId="0" xr:uid="{92536CD1-2B15-49AC-B675-A78896605D67}">
      <text>
        <r>
          <rPr>
            <sz val="11"/>
            <color theme="1"/>
            <rFont val="Calibri"/>
            <family val="2"/>
            <scheme val="minor"/>
          </rPr>
          <t>Diferença: data=nan | estados=2024-11_RIOBRANCO_CULTURAVIVA.pdf</t>
        </r>
      </text>
    </comment>
    <comment ref="B351" authorId="0" shapeId="0" xr:uid="{9B79915C-F274-4A05-8212-76AD5ED75B72}">
      <text>
        <r>
          <rPr>
            <sz val="11"/>
            <color theme="1"/>
            <rFont val="Calibri"/>
            <family val="2"/>
            <scheme val="minor"/>
          </rPr>
          <t>Diferença: data=nan | estados=2024-09_RIOBRANCO_PRÊMIO.pdf</t>
        </r>
      </text>
    </comment>
    <comment ref="D351" authorId="0" shapeId="0" xr:uid="{C6CE9613-069D-4883-A97A-D80E79A0135D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F351" authorId="0" shapeId="0" xr:uid="{7C0B6EDA-FD96-4358-8911-189576E43EB3}">
      <text>
        <r>
          <rPr>
            <sz val="11"/>
            <color theme="1"/>
            <rFont val="Calibri"/>
            <family val="2"/>
            <scheme val="minor"/>
          </rPr>
          <t>Diferença: data=0.0 | estados=None</t>
        </r>
      </text>
    </comment>
    <comment ref="B352" authorId="0" shapeId="0" xr:uid="{6F826EB8-1A3D-437B-8658-8D74E0F242B6}">
      <text>
        <r>
          <rPr>
            <sz val="11"/>
            <color theme="1"/>
            <rFont val="Calibri"/>
            <family val="2"/>
            <scheme val="minor"/>
          </rPr>
          <t>Diferença: data=nan | estados=2024-10_RIOBRANCO_PRÊMIO.pdf</t>
        </r>
      </text>
    </comment>
    <comment ref="B353" authorId="0" shapeId="0" xr:uid="{51444864-621E-4FFB-8970-09B0CD5F6CBF}">
      <text>
        <r>
          <rPr>
            <sz val="11"/>
            <color theme="1"/>
            <rFont val="Calibri"/>
            <family val="2"/>
            <scheme val="minor"/>
          </rPr>
          <t>Diferença: data=nan | estados=2025-01_RIOBRANCO_CULTURAVIVA.pdf</t>
        </r>
      </text>
    </comment>
    <comment ref="B354" authorId="0" shapeId="0" xr:uid="{D9F80F09-55A6-444F-B1CD-ED7DF7F354FF}">
      <text>
        <r>
          <rPr>
            <sz val="11"/>
            <color theme="1"/>
            <rFont val="Calibri"/>
            <family val="2"/>
            <scheme val="minor"/>
          </rPr>
          <t>Diferença: data=nan | estados=2024-07_RIOBRANCO_FOMENTO.pdf</t>
        </r>
      </text>
    </comment>
    <comment ref="B355" authorId="0" shapeId="0" xr:uid="{6BF3450A-9084-4394-86D9-83BFAF4B4352}">
      <text>
        <r>
          <rPr>
            <sz val="11"/>
            <color theme="1"/>
            <rFont val="Calibri"/>
            <family val="2"/>
            <scheme val="minor"/>
          </rPr>
          <t>Diferença: data=nan | estados=RIO DE JANEIRO_CULTURA VIVA_2.pdf</t>
        </r>
      </text>
    </comment>
    <comment ref="B356" authorId="0" shapeId="0" xr:uid="{24113D81-693C-416F-AFBE-3FB9AA0911BF}">
      <text>
        <r>
          <rPr>
            <sz val="11"/>
            <color theme="1"/>
            <rFont val="Calibri"/>
            <family val="2"/>
            <scheme val="minor"/>
          </rPr>
          <t>Diferença: data=nan | estados=RIO DE JANEIRO_CULTURA_VIVA.pdf</t>
        </r>
      </text>
    </comment>
    <comment ref="B357" authorId="0" shapeId="0" xr:uid="{F989A3E0-4999-4915-A043-C9AB12477DF3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JANEIRO_Edital_de_Fomento_1.pdf</t>
        </r>
      </text>
    </comment>
    <comment ref="B358" authorId="0" shapeId="0" xr:uid="{A796EA1A-1754-4613-A237-1390F0D553C3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JANEIRO_Edital_de_Fomento_2.pdf</t>
        </r>
      </text>
    </comment>
    <comment ref="B359" authorId="0" shapeId="0" xr:uid="{04291F40-F0A9-4389-94B6-593E3F3DD75F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JANEIRO_Edital_de_Fomento_3.pdf</t>
        </r>
      </text>
    </comment>
    <comment ref="B360" authorId="0" shapeId="0" xr:uid="{B0B8B48A-2AE9-4E77-B360-146DA95FA329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JANEIRO_Edital_de_Fomento_4.pdf</t>
        </r>
      </text>
    </comment>
    <comment ref="B361" authorId="0" shapeId="0" xr:uid="{DAC8BA2D-92B5-40EB-8DAE-962F353BF15E}">
      <text>
        <r>
          <rPr>
            <sz val="11"/>
            <color theme="1"/>
            <rFont val="Calibri"/>
            <family val="2"/>
            <scheme val="minor"/>
          </rPr>
          <t>Diferença: data=nan | estados=RIO DE JANEIRO_Edital_de_Fomento_5.pdf</t>
        </r>
      </text>
    </comment>
    <comment ref="B362" authorId="0" shapeId="0" xr:uid="{31A07866-06B4-45E1-AF79-3D70A637D27F}">
      <text>
        <r>
          <rPr>
            <sz val="11"/>
            <color theme="1"/>
            <rFont val="Calibri"/>
            <family val="2"/>
            <scheme val="minor"/>
          </rPr>
          <t>Diferença: data=nan | estados=2024-07_RIODEJANEIRO_CULTURAVIVA.pdf</t>
        </r>
      </text>
    </comment>
    <comment ref="B363" authorId="0" shapeId="0" xr:uid="{649C8DCF-82F0-4BA0-829A-0DF2E16DD2C9}">
      <text>
        <r>
          <rPr>
            <sz val="11"/>
            <color theme="1"/>
            <rFont val="Calibri"/>
            <family val="2"/>
            <scheme val="minor"/>
          </rPr>
          <t>Diferença: data=nan | estados=2023-07_RIODEJANEIRO_FOMENTO.pdf</t>
        </r>
      </text>
    </comment>
    <comment ref="F363" authorId="0" shapeId="0" xr:uid="{63832659-2BF0-46A5-9BD2-EEB1223C6945}">
      <text>
        <r>
          <rPr>
            <sz val="11"/>
            <color theme="1"/>
            <rFont val="Calibri"/>
            <family val="2"/>
            <scheme val="minor"/>
          </rPr>
          <t>Diferença: data=0.07 | estados=0.05</t>
        </r>
      </text>
    </comment>
    <comment ref="B364" authorId="0" shapeId="0" xr:uid="{A3A4B753-4FF6-4295-8721-5024B6BD3F28}">
      <text>
        <r>
          <rPr>
            <sz val="11"/>
            <color theme="1"/>
            <rFont val="Calibri"/>
            <family val="2"/>
            <scheme val="minor"/>
          </rPr>
          <t>Diferença: data=nan | estados=2024-06_RIODEJANEIRO_CULTURAVIVA.pdf</t>
        </r>
      </text>
    </comment>
    <comment ref="B365" authorId="0" shapeId="0" xr:uid="{5F384A1C-8B46-4D88-834F-94B08579F6CF}">
      <text>
        <r>
          <rPr>
            <sz val="11"/>
            <color theme="1"/>
            <rFont val="Calibri"/>
            <family val="2"/>
            <scheme val="minor"/>
          </rPr>
          <t>Diferença: data=nan | estados=2024-11_RIODEJANEIRO_CULTURAVIVA.pdf</t>
        </r>
      </text>
    </comment>
    <comment ref="B366" authorId="0" shapeId="0" xr:uid="{6C6BC958-8189-4E3F-980A-8EA8F2D59B3C}">
      <text>
        <r>
          <rPr>
            <sz val="11"/>
            <color theme="1"/>
            <rFont val="Calibri"/>
            <family val="2"/>
            <scheme val="minor"/>
          </rPr>
          <t>Diferença: data=nan | estados=2024-12_RIODEJANEIRO_FOMENTO.pdf</t>
        </r>
      </text>
    </comment>
    <comment ref="B367" authorId="0" shapeId="0" xr:uid="{A3BD2693-A226-4A61-8E63-6790C4195F43}">
      <text>
        <r>
          <rPr>
            <sz val="11"/>
            <color theme="1"/>
            <rFont val="Calibri"/>
            <family val="2"/>
            <scheme val="minor"/>
          </rPr>
          <t>Diferença: data=nan | estados=2024-13_RIODEJANEIRO_FOMENTO.pdf</t>
        </r>
      </text>
    </comment>
    <comment ref="B390" authorId="0" shapeId="0" xr:uid="{0CE09DD6-2517-49CE-9ECD-0966C5EEE91B}">
      <text>
        <r>
          <rPr>
            <sz val="11"/>
            <color theme="1"/>
            <rFont val="Calibri"/>
            <family val="2"/>
            <scheme val="minor"/>
          </rPr>
          <t>Diferença: data=nan | estados=RIO GRANDE DO SUL_Edital_de_Fomento_2.pdf</t>
        </r>
      </text>
    </comment>
    <comment ref="B391" authorId="0" shapeId="0" xr:uid="{B987CC0F-A2B8-4AB7-BFA9-0737C68D9947}">
      <text>
        <r>
          <rPr>
            <sz val="11"/>
            <color theme="1"/>
            <rFont val="Calibri"/>
            <family val="2"/>
            <scheme val="minor"/>
          </rPr>
          <t>Diferença: data=nan | estados=RIO GRANDE DO SUL_Edital_de_Fomento_4.pdf</t>
        </r>
      </text>
    </comment>
    <comment ref="B407" authorId="0" shapeId="0" xr:uid="{4FD31D50-E4CA-4C0E-88C6-65EB34D24DC5}">
      <text>
        <r>
          <rPr>
            <sz val="11"/>
            <color theme="1"/>
            <rFont val="Calibri"/>
            <family val="2"/>
            <scheme val="minor"/>
          </rPr>
          <t>Diferença: data=nan | estados=2024-09_SALVADOR_FOMENTO.pdf</t>
        </r>
      </text>
    </comment>
    <comment ref="B408" authorId="0" shapeId="0" xr:uid="{14619A01-EFC3-4AC1-B769-74B38569BD79}">
      <text>
        <r>
          <rPr>
            <sz val="11"/>
            <color theme="1"/>
            <rFont val="Calibri"/>
            <family val="2"/>
            <scheme val="minor"/>
          </rPr>
          <t>Diferença: data=nan | estados=2025-01_SALVADOR_FOMENTO.pdf</t>
        </r>
      </text>
    </comment>
    <comment ref="B409" authorId="0" shapeId="0" xr:uid="{F81D3309-E1CF-4D88-A243-E04BE3AB34D4}">
      <text>
        <r>
          <rPr>
            <sz val="11"/>
            <color theme="1"/>
            <rFont val="Calibri"/>
            <family val="2"/>
            <scheme val="minor"/>
          </rPr>
          <t>Diferença: data=nan | estados=2024-03_SALVADOR_FOMENTO.pdf</t>
        </r>
      </text>
    </comment>
    <comment ref="B410" authorId="0" shapeId="0" xr:uid="{778E60E5-86A4-460E-BC1B-882163CFC00A}">
      <text>
        <r>
          <rPr>
            <sz val="11"/>
            <color theme="1"/>
            <rFont val="Calibri"/>
            <family val="2"/>
            <scheme val="minor"/>
          </rPr>
          <t>Diferença: data=nan | estados=2024-04_SALVADOR_BOLSA.pdf</t>
        </r>
      </text>
    </comment>
    <comment ref="B411" authorId="0" shapeId="0" xr:uid="{644AB6FA-6FCF-4ACD-93CC-6D40E9627B0A}">
      <text>
        <r>
          <rPr>
            <sz val="11"/>
            <color theme="1"/>
            <rFont val="Calibri"/>
            <family val="2"/>
            <scheme val="minor"/>
          </rPr>
          <t>Diferença: data=nan | estados=2024-07_SALVADOR_FOMENTO.pdf</t>
        </r>
      </text>
    </comment>
    <comment ref="B412" authorId="0" shapeId="0" xr:uid="{6C50046A-38E3-452C-A26E-C5007503FEC5}">
      <text>
        <r>
          <rPr>
            <sz val="11"/>
            <color theme="1"/>
            <rFont val="Calibri"/>
            <family val="2"/>
            <scheme val="minor"/>
          </rPr>
          <t>Diferença: data=nan | estados=2024-08_SALVADOR_SUBSÍDIO.pdf</t>
        </r>
      </text>
    </comment>
    <comment ref="B413" authorId="0" shapeId="0" xr:uid="{C5F6980F-79CB-4408-9A3E-020675500E6B}">
      <text>
        <r>
          <rPr>
            <sz val="11"/>
            <color theme="1"/>
            <rFont val="Calibri"/>
            <family val="2"/>
            <scheme val="minor"/>
          </rPr>
          <t>Diferença: data=nan | estados=2025-02_SALVADOR_CULTURAVIVA.pdf</t>
        </r>
      </text>
    </comment>
    <comment ref="B414" authorId="0" shapeId="0" xr:uid="{7907D4B4-0D6C-4922-9223-B4E7A0538682}">
      <text>
        <r>
          <rPr>
            <sz val="11"/>
            <color theme="1"/>
            <rFont val="Calibri"/>
            <family val="2"/>
            <scheme val="minor"/>
          </rPr>
          <t>Diferença: data=nan | estados=2024-10_SALVADOR_FOMENTO.pdf</t>
        </r>
      </text>
    </comment>
    <comment ref="B415" authorId="0" shapeId="0" xr:uid="{D4FEFB5B-918D-4E53-8632-10A30B13BD41}">
      <text>
        <r>
          <rPr>
            <sz val="11"/>
            <color theme="1"/>
            <rFont val="Calibri"/>
            <family val="2"/>
            <scheme val="minor"/>
          </rPr>
          <t>Diferença: data=nan | estados=2024-05_SALVADOR_FOMENTO.pdf</t>
        </r>
      </text>
    </comment>
    <comment ref="B416" authorId="0" shapeId="0" xr:uid="{31314120-49D0-4FE9-85B0-37B0BC7457AE}">
      <text>
        <r>
          <rPr>
            <sz val="11"/>
            <color theme="1"/>
            <rFont val="Calibri"/>
            <family val="2"/>
            <scheme val="minor"/>
          </rPr>
          <t>Diferença: data=nan | estados=SANTA CATARINA_Cultura Viva.pdf</t>
        </r>
      </text>
    </comment>
    <comment ref="B417" authorId="0" shapeId="0" xr:uid="{B031794F-22B0-478A-B9F2-D91E18530A95}">
      <text>
        <r>
          <rPr>
            <sz val="11"/>
            <color theme="1"/>
            <rFont val="Calibri"/>
            <family val="2"/>
            <scheme val="minor"/>
          </rPr>
          <t>Diferença: data=nan | estados=SANTA CATARINA_CULTURA_VIVA_02.pdf</t>
        </r>
      </text>
    </comment>
    <comment ref="B418" authorId="0" shapeId="0" xr:uid="{DAF1BA04-A916-4984-A4C6-9D990CA94838}">
      <text>
        <r>
          <rPr>
            <sz val="11"/>
            <color theme="1"/>
            <rFont val="Calibri"/>
            <family val="2"/>
            <scheme val="minor"/>
          </rPr>
          <t>Diferença: data=nan | estados=SANTA CATARINA_FOMENTO_435.pdf</t>
        </r>
      </text>
    </comment>
    <comment ref="B419" authorId="0" shapeId="0" xr:uid="{F06A5498-4503-4752-949A-40A868AC7A2D}">
      <text>
        <r>
          <rPr>
            <sz val="11"/>
            <color theme="1"/>
            <rFont val="Calibri"/>
            <family val="2"/>
            <scheme val="minor"/>
          </rPr>
          <t>Diferença: data=nan | estados=SANTA CATARINA_PREMIAÇÃO.pdf</t>
        </r>
      </text>
    </comment>
    <comment ref="B420" authorId="0" shapeId="0" xr:uid="{D70566A3-0AD6-452D-AA8C-DCE7CEE96395}">
      <text>
        <r>
          <rPr>
            <sz val="11"/>
            <color theme="1"/>
            <rFont val="Calibri"/>
            <family val="2"/>
            <scheme val="minor"/>
          </rPr>
          <t>Diferença: data=nan | estados=SANTA CATARINA_PREMIAÇÃO_X.pdf</t>
        </r>
      </text>
    </comment>
    <comment ref="B422" authorId="0" shapeId="0" xr:uid="{EB8D5AA5-7A6C-4881-9B17-2859C0D2F7FE}">
      <text>
        <r>
          <rPr>
            <sz val="11"/>
            <color theme="1"/>
            <rFont val="Calibri"/>
            <family val="2"/>
            <scheme val="minor"/>
          </rPr>
          <t>Diferença: data=nan | estados=2025-05_SAOLUIS_CULTURAVIVA.pdf</t>
        </r>
      </text>
    </comment>
    <comment ref="B423" authorId="0" shapeId="0" xr:uid="{DF56048C-565C-4233-8453-871E3C966E26}">
      <text>
        <r>
          <rPr>
            <sz val="11"/>
            <color theme="1"/>
            <rFont val="Calibri"/>
            <family val="2"/>
            <scheme val="minor"/>
          </rPr>
          <t>Diferença: data=nan | estados=2025-08_SAOLUIS_PRÊMIO.pdf</t>
        </r>
      </text>
    </comment>
    <comment ref="B424" authorId="0" shapeId="0" xr:uid="{C2938ABA-F128-4058-A09A-45FB87F1B1AF}">
      <text>
        <r>
          <rPr>
            <sz val="11"/>
            <color theme="1"/>
            <rFont val="Calibri"/>
            <family val="2"/>
            <scheme val="minor"/>
          </rPr>
          <t>Diferença: data=nan | estados=2025-06_SAOLUIS_FOMENTO.pdf</t>
        </r>
      </text>
    </comment>
    <comment ref="B425" authorId="0" shapeId="0" xr:uid="{92A98206-DDE1-47C8-9840-08F8D8B5DF44}">
      <text>
        <r>
          <rPr>
            <sz val="11"/>
            <color theme="1"/>
            <rFont val="Calibri"/>
            <family val="2"/>
            <scheme val="minor"/>
          </rPr>
          <t>Diferença: data=nan | estados=2025-07_SAOLUIS_CULTURAVIVA.pdf</t>
        </r>
      </text>
    </comment>
    <comment ref="B426" authorId="0" shapeId="0" xr:uid="{32221883-CD7C-4120-AE10-86D33702F604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PAULO_Edital_de_Fomento_10.pdf</t>
        </r>
      </text>
    </comment>
    <comment ref="B427" authorId="0" shapeId="0" xr:uid="{6F71C067-22CF-48E7-B19F-C74A6BCB8FAB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PAULO_Edital_de_Fomento_12.pdf</t>
        </r>
      </text>
    </comment>
    <comment ref="B428" authorId="0" shapeId="0" xr:uid="{84E28490-4CD2-4B2C-A444-40065AC9E4EC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PAULO_Edital_de_Fomento_13.pdf</t>
        </r>
      </text>
    </comment>
    <comment ref="B429" authorId="0" shapeId="0" xr:uid="{2597D4E6-ACBC-4ABE-8CD2-739FAF3BE373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PAULO_Edital_de_Fomento_15.pdf</t>
        </r>
      </text>
    </comment>
    <comment ref="B430" authorId="0" shapeId="0" xr:uid="{311B7A55-0912-4D41-A59B-4A86CC2860C0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PAULO_Edital_de_Fomento_16.pdf</t>
        </r>
      </text>
    </comment>
    <comment ref="B431" authorId="0" shapeId="0" xr:uid="{808DD04C-2B2B-4437-9662-235BE5137CED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PAULO_Edital_de_Fomento_17.pdf</t>
        </r>
      </text>
    </comment>
    <comment ref="B432" authorId="0" shapeId="0" xr:uid="{70BA7781-A1A3-4595-954C-68619DAEF20F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PAULO_Edital_de_Fomento_18.pdf</t>
        </r>
      </text>
    </comment>
    <comment ref="B433" authorId="0" shapeId="0" xr:uid="{C43682BF-6AC8-4AE2-B0BA-42DEF3902A93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PAULO_Edital_de_Fomento_19.pdf</t>
        </r>
      </text>
    </comment>
    <comment ref="B434" authorId="0" shapeId="0" xr:uid="{28946D93-01A4-4CA6-94E1-303563EE6CD4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PAULO_Edital_de_Fomento_2.pdf</t>
        </r>
      </text>
    </comment>
    <comment ref="B435" authorId="0" shapeId="0" xr:uid="{36EE4751-1CF7-4109-8864-1DBB29375543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PAULO_Edital_de_Fomento_20.pdf</t>
        </r>
      </text>
    </comment>
    <comment ref="B436" authorId="0" shapeId="0" xr:uid="{BA64FD40-9231-4EB3-A84F-F4FD7ADC2AEB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PAULO_Edital_de_Fomento_25.pdf</t>
        </r>
      </text>
    </comment>
    <comment ref="B437" authorId="0" shapeId="0" xr:uid="{5319F1A7-2C3D-42AB-81AF-AB26C6E87AB7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PAULO_Edital_de_Fomento_32.pdf</t>
        </r>
      </text>
    </comment>
    <comment ref="B438" authorId="0" shapeId="0" xr:uid="{1396629E-08EB-47BA-BE85-B1EEE4CBCB17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PAULO_Edital_de_Fomento_33.pdf</t>
        </r>
      </text>
    </comment>
    <comment ref="B439" authorId="0" shapeId="0" xr:uid="{7FD7AE09-6129-471F-B7E8-4ABDBA1AD718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PAULO_Edital_de_Fomento_5.pdf</t>
        </r>
      </text>
    </comment>
    <comment ref="B440" authorId="0" shapeId="0" xr:uid="{77C090C1-7489-42A1-9258-3809DE114402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PAULO_Edital_de_Fomento_6.pdf</t>
        </r>
      </text>
    </comment>
    <comment ref="B441" authorId="0" shapeId="0" xr:uid="{5DBB06C4-9DBE-4751-84EF-C152153C8761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PAULO_Edital_de_Fomento_7.pdf</t>
        </r>
      </text>
    </comment>
    <comment ref="B442" authorId="0" shapeId="0" xr:uid="{02D05910-5393-4BEA-B60B-2A140D1419C4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PAULO_Edital_de_Fomento_8.pdf</t>
        </r>
      </text>
    </comment>
    <comment ref="B443" authorId="0" shapeId="0" xr:uid="{976680FE-EEFE-402C-844F-D4F0F8FEA13C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PAULO_Edital_de_Fomento_9.pdf</t>
        </r>
      </text>
    </comment>
    <comment ref="B444" authorId="0" shapeId="0" xr:uid="{40BBDCF8-56A9-42D2-9C29-31842665E82F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PAULO_Edital_de_Premiação_1.pdf</t>
        </r>
      </text>
    </comment>
    <comment ref="B445" authorId="0" shapeId="0" xr:uid="{9BFCC216-8313-4065-B726-4549E7A20155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PAULO_Edital_de_Premiação_2.pdf</t>
        </r>
      </text>
    </comment>
    <comment ref="B446" authorId="0" shapeId="0" xr:uid="{BB4516B4-CA49-4F7F-A888-B0FCA99E9532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PAULO_Edital_de_Subsídio_1.pdf</t>
        </r>
      </text>
    </comment>
    <comment ref="B447" authorId="0" shapeId="0" xr:uid="{5250651E-D2E7-465E-82F1-835DBB36663D}">
      <text>
        <r>
          <rPr>
            <sz val="11"/>
            <color theme="1"/>
            <rFont val="Calibri"/>
            <family val="2"/>
            <scheme val="minor"/>
          </rPr>
          <t>Diferença: data=nan | estados=SÃO PAULO_Edital_de_Subsídio_2.pdf</t>
        </r>
      </text>
    </comment>
    <comment ref="B456" authorId="0" shapeId="0" xr:uid="{0CE0C029-477B-4256-840A-10750F6E40C7}">
      <text>
        <r>
          <rPr>
            <sz val="11"/>
            <color theme="1"/>
            <rFont val="Calibri"/>
            <family val="2"/>
            <scheme val="minor"/>
          </rPr>
          <t>Diferença: data=nan | estados=2025-02_SAOPAULO_FOMENTO.pdf.pdf</t>
        </r>
      </text>
    </comment>
    <comment ref="B457" authorId="0" shapeId="0" xr:uid="{BDD79A04-2E7D-4786-A0B3-6721575A95BD}">
      <text>
        <r>
          <rPr>
            <sz val="11"/>
            <color theme="1"/>
            <rFont val="Calibri"/>
            <family val="2"/>
            <scheme val="minor"/>
          </rPr>
          <t>Diferença: data=nan | estados=2025-09_SAOPAULO_FOMENTO.pdf</t>
        </r>
      </text>
    </comment>
    <comment ref="B458" authorId="0" shapeId="0" xr:uid="{1837A278-1645-4536-B4B6-CC89458DBCBF}">
      <text>
        <r>
          <rPr>
            <sz val="11"/>
            <color theme="1"/>
            <rFont val="Calibri"/>
            <family val="2"/>
            <scheme val="minor"/>
          </rPr>
          <t>Diferença: data=nan | estados=2025-03_SAOPAULO_FOMENTO.pdf</t>
        </r>
      </text>
    </comment>
    <comment ref="B459" authorId="0" shapeId="0" xr:uid="{02E74E36-61CB-4734-B7AA-504BB0EAFAA6}">
      <text>
        <r>
          <rPr>
            <sz val="11"/>
            <color theme="1"/>
            <rFont val="Calibri"/>
            <family val="2"/>
            <scheme val="minor"/>
          </rPr>
          <t>Diferença: data=nan | estados=2025-06_SAOPAULO_FOMENTO.pdf</t>
        </r>
      </text>
    </comment>
    <comment ref="B460" authorId="0" shapeId="0" xr:uid="{879C046D-13DB-4BA9-92F6-F75D41D8CED6}">
      <text>
        <r>
          <rPr>
            <sz val="11"/>
            <color theme="1"/>
            <rFont val="Calibri"/>
            <family val="2"/>
            <scheme val="minor"/>
          </rPr>
          <t>Diferença: data=nan | estados=2024-36_SAOPAULO_CULTURAVIVA.pdf</t>
        </r>
      </text>
    </comment>
    <comment ref="B461" authorId="0" shapeId="0" xr:uid="{568F3137-3A9D-4BF2-9897-F49211B09DAA}">
      <text>
        <r>
          <rPr>
            <sz val="11"/>
            <color theme="1"/>
            <rFont val="Calibri"/>
            <family val="2"/>
            <scheme val="minor"/>
          </rPr>
          <t>Diferença: data=nan | estados=2025-08_SAOPAULO_FOMENTO.pdf</t>
        </r>
      </text>
    </comment>
    <comment ref="B462" authorId="0" shapeId="0" xr:uid="{E101C96E-A578-4F21-955F-CAF5BBB8E053}">
      <text>
        <r>
          <rPr>
            <sz val="11"/>
            <color theme="1"/>
            <rFont val="Calibri"/>
            <family val="2"/>
            <scheme val="minor"/>
          </rPr>
          <t>Diferença: data=nan | estados=2025-01_SAOPAULO_FOMENTO.pdf</t>
        </r>
      </text>
    </comment>
    <comment ref="B463" authorId="0" shapeId="0" xr:uid="{C8B7F929-E16F-49E5-87DC-470517A4ABD2}">
      <text>
        <r>
          <rPr>
            <sz val="11"/>
            <color theme="1"/>
            <rFont val="Calibri"/>
            <family val="2"/>
            <scheme val="minor"/>
          </rPr>
          <t>Diferença: data=nan | estados=2025-05_SAOPAULO_FOMENTO.pdf</t>
        </r>
      </text>
    </comment>
    <comment ref="B464" authorId="0" shapeId="0" xr:uid="{FA96B758-EFE3-4A8C-94B9-2347B3C9065D}">
      <text>
        <r>
          <rPr>
            <sz val="11"/>
            <color theme="1"/>
            <rFont val="Calibri"/>
            <family val="2"/>
            <scheme val="minor"/>
          </rPr>
          <t>Diferença: data=nan | estados=2025-04_SAOPAULO_FOMENTO.pdf</t>
        </r>
      </text>
    </comment>
    <comment ref="B467" authorId="0" shapeId="0" xr:uid="{95DB8D95-4F31-4402-BFF6-7CD01C155EFB}">
      <text>
        <r>
          <rPr>
            <sz val="11"/>
            <color theme="1"/>
            <rFont val="Calibri"/>
            <family val="2"/>
            <scheme val="minor"/>
          </rPr>
          <t>Diferença: data=nan | estados=SERGIPE_CULTURA VIVA_03.pdf</t>
        </r>
      </text>
    </comment>
    <comment ref="B468" authorId="0" shapeId="0" xr:uid="{F53B992A-3D4F-48EE-86B8-6238A1D7D4B7}">
      <text>
        <r>
          <rPr>
            <sz val="11"/>
            <color theme="1"/>
            <rFont val="Calibri"/>
            <family val="2"/>
            <scheme val="minor"/>
          </rPr>
          <t>Diferença: data=nan | estados=SERGIPE_CULTURA VIVA_04.pdf</t>
        </r>
      </text>
    </comment>
    <comment ref="B469" authorId="0" shapeId="0" xr:uid="{486709DD-2548-4CCD-B6B9-64FDDD050F5B}">
      <text>
        <r>
          <rPr>
            <sz val="11"/>
            <color theme="1"/>
            <rFont val="Calibri"/>
            <family val="2"/>
            <scheme val="minor"/>
          </rPr>
          <t>Diferença: data=nan | estados=SERGIPE_CULTURA VIVA_05.pdf</t>
        </r>
      </text>
    </comment>
    <comment ref="B470" authorId="0" shapeId="0" xr:uid="{D5A1A42F-9422-4FE2-8079-40B7914C1DDB}">
      <text>
        <r>
          <rPr>
            <sz val="11"/>
            <color theme="1"/>
            <rFont val="Calibri"/>
            <family val="2"/>
            <scheme val="minor"/>
          </rPr>
          <t>Diferença: data=nan | estados=SERGIPE_FOMENTO_02.pdf</t>
        </r>
      </text>
    </comment>
    <comment ref="B471" authorId="0" shapeId="0" xr:uid="{85930C23-7C6B-482A-80D3-5CC9DAA7317B}">
      <text>
        <r>
          <rPr>
            <sz val="11"/>
            <color theme="1"/>
            <rFont val="Calibri"/>
            <family val="2"/>
            <scheme val="minor"/>
          </rPr>
          <t>Diferença: data=nan | estados=SERGIPE_FOMENTO_06.pdf</t>
        </r>
      </text>
    </comment>
    <comment ref="B472" authorId="0" shapeId="0" xr:uid="{C87AF098-2F95-46AD-A453-29C1B5C6EBFB}">
      <text>
        <r>
          <rPr>
            <sz val="11"/>
            <color theme="1"/>
            <rFont val="Calibri"/>
            <family val="2"/>
            <scheme val="minor"/>
          </rPr>
          <t>Diferença: data=nan | estados=SERGIPE_FOMENTO_07.pdf</t>
        </r>
      </text>
    </comment>
    <comment ref="B473" authorId="0" shapeId="0" xr:uid="{BDF8ECB9-6E86-477C-AB4B-646D87C24BA6}">
      <text>
        <r>
          <rPr>
            <sz val="11"/>
            <color theme="1"/>
            <rFont val="Calibri"/>
            <family val="2"/>
            <scheme val="minor"/>
          </rPr>
          <t>Diferença: data=nan | estados=SERGIPE_FOMENTO_09.pdf</t>
        </r>
      </text>
    </comment>
    <comment ref="B475" authorId="0" shapeId="0" xr:uid="{1B25F4D4-1932-444D-8E36-32213F5241A5}">
      <text>
        <r>
          <rPr>
            <sz val="11"/>
            <color theme="1"/>
            <rFont val="Calibri"/>
            <family val="2"/>
            <scheme val="minor"/>
          </rPr>
          <t>Diferença: data=nan | estados=2024-09_TERESINA_CULTURAVIVA.pdf</t>
        </r>
      </text>
    </comment>
    <comment ref="B476" authorId="0" shapeId="0" xr:uid="{A95218A2-F10E-4E22-9C1D-1A07A66075F6}">
      <text>
        <r>
          <rPr>
            <sz val="11"/>
            <color theme="1"/>
            <rFont val="Calibri"/>
            <family val="2"/>
            <scheme val="minor"/>
          </rPr>
          <t>Diferença: data=nan | estados=2024-07_TERESINA_FOMENTO.pdf</t>
        </r>
      </text>
    </comment>
    <comment ref="B477" authorId="0" shapeId="0" xr:uid="{826ADC5E-4284-4737-9CAC-BE911D941349}">
      <text>
        <r>
          <rPr>
            <sz val="11"/>
            <color theme="1"/>
            <rFont val="Calibri"/>
            <family val="2"/>
            <scheme val="minor"/>
          </rPr>
          <t>Diferença: data=nan | estados=2024-08_TERESINA_PRÊMIO.pdf</t>
        </r>
      </text>
    </comment>
    <comment ref="B478" authorId="0" shapeId="0" xr:uid="{9CF333E0-D305-419E-8DDB-50E8964BC7C4}">
      <text>
        <r>
          <rPr>
            <sz val="11"/>
            <color theme="1"/>
            <rFont val="Calibri"/>
            <family val="2"/>
            <scheme val="minor"/>
          </rPr>
          <t>Diferença: data=nan | estados=2024-10_TERESINA_CULTURAVIVA.pdf</t>
        </r>
      </text>
    </comment>
    <comment ref="B479" authorId="1" shapeId="0" xr:uid="{FB50792F-DBBF-4F27-AC1E-EFDD3305C3D5}">
      <text>
        <r>
          <rPr>
            <sz val="11"/>
            <color theme="1"/>
            <rFont val="Calibri"/>
            <scheme val="minor"/>
          </rPr>
          <t>======
ID#AAABycWSoak
copilot    (2026-01-09 16:24:46)
Diferença: data=nan | estados=TOCANTINS_Edital_de_Bolsa_1.pdf</t>
        </r>
      </text>
    </comment>
    <comment ref="B480" authorId="0" shapeId="0" xr:uid="{72F306C0-6DAE-4E1B-8507-F6A5CC658809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estados=TOCANTINS_Edital_de_Fomento_1.pdf</t>
        </r>
      </text>
    </comment>
    <comment ref="B481" authorId="0" shapeId="0" xr:uid="{AC21CF46-F9A6-4280-9C55-E9E1E5F62E80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estados=TOCANTINS_Edital_de_Fomento_2.pdf</t>
        </r>
      </text>
    </comment>
    <comment ref="B482" authorId="0" shapeId="0" xr:uid="{A6419E53-A8A7-42C4-80B0-B302A885534D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estados=TOCANTINS_Edital_de_Fomento_3.pdf</t>
        </r>
      </text>
    </comment>
    <comment ref="B483" authorId="0" shapeId="0" xr:uid="{80DBF944-28DC-47A0-8E02-0CC072A2AC12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estados=TOCANTINS_Edital_de_Fomento_4.pdf</t>
        </r>
      </text>
    </comment>
    <comment ref="B484" authorId="0" shapeId="0" xr:uid="{92506C10-B934-4CD8-9E4C-420B91B1F90A}">
      <text>
        <r>
          <rPr>
            <sz val="11"/>
            <color theme="1"/>
            <rFont val="Calibri"/>
            <family val="2"/>
            <scheme val="minor"/>
          </rPr>
          <t>Diferença: data=nan | estados=TOCANTINS_Edital_de_Fomento_5.pdf</t>
        </r>
      </text>
    </comment>
    <comment ref="B485" authorId="0" shapeId="0" xr:uid="{BE23C192-747D-4271-A051-7049E3A497E5}">
      <text>
        <r>
          <rPr>
            <sz val="11"/>
            <color theme="1"/>
            <rFont val="Calibri"/>
            <family val="2"/>
            <scheme val="minor"/>
          </rPr>
          <t>Diferença: data=nan | estados=TOCATINS_FOMENTO_33.pdf</t>
        </r>
      </text>
    </comment>
    <comment ref="B492" authorId="0" shapeId="0" xr:uid="{C13D9692-7A45-4575-BBD3-429A2DCDC7C8}">
      <text>
        <r>
          <rPr>
            <sz val="11"/>
            <color theme="1"/>
            <rFont val="Calibri"/>
            <family val="2"/>
            <scheme val="minor"/>
          </rPr>
          <t>Diferença: data=nan | estados=2024-04_VITÓRIA_FOMENTO.pdf</t>
        </r>
      </text>
    </comment>
    <comment ref="B493" authorId="0" shapeId="0" xr:uid="{432A2D55-C549-42BB-BB5B-EFFC1B20F916}">
      <text>
        <r>
          <rPr>
            <sz val="11"/>
            <color theme="1"/>
            <rFont val="Calibri"/>
            <family val="2"/>
            <scheme val="minor"/>
          </rPr>
          <t>Diferença: data=nan | estados=2024-02_VITÓRIA_CULTURAVIVA.pdf</t>
        </r>
      </text>
    </comment>
    <comment ref="B494" authorId="0" shapeId="0" xr:uid="{ED894E37-A08D-434D-B9B2-D8B61819FE67}">
      <text>
        <r>
          <rPr>
            <sz val="11"/>
            <color theme="1"/>
            <rFont val="Calibri"/>
            <family val="2"/>
            <scheme val="minor"/>
          </rPr>
          <t>Diferença: data=nan | estados=2024-06_VITÓRIA_FOMENTO.pdf</t>
        </r>
      </text>
    </comment>
    <comment ref="B495" authorId="0" shapeId="0" xr:uid="{B70AB5DC-07B6-4C07-AF0E-C4E74536EE3C}">
      <text>
        <r>
          <rPr>
            <sz val="11"/>
            <color theme="1"/>
            <rFont val="Calibri"/>
            <family val="2"/>
            <scheme val="minor"/>
          </rPr>
          <t>Diferença: data=nan | estados=2024-05_VITÓRIA_SUBSÍDIO.pdf</t>
        </r>
      </text>
    </comment>
    <comment ref="B496" authorId="0" shapeId="0" xr:uid="{42FAD41B-B4D7-4E86-96D4-71ECE5DAF08D}">
      <text>
        <r>
          <rPr>
            <sz val="11"/>
            <color theme="1"/>
            <rFont val="Calibri"/>
            <family val="2"/>
            <scheme val="minor"/>
          </rPr>
          <t>Diferença: data=nan | estados=2024-07_VITÓRIA_FOMENTO.pdf</t>
        </r>
      </text>
    </comment>
    <comment ref="B497" authorId="0" shapeId="0" xr:uid="{E868007A-239B-4B2E-BFFC-A9E7BDB3655B}">
      <text>
        <r>
          <rPr>
            <sz val="11"/>
            <color theme="1"/>
            <rFont val="Calibri"/>
            <family val="2"/>
            <scheme val="minor"/>
          </rPr>
          <t>Diferença: data=nan | estados=2024-03_VITÓRIA_FOMENTO.pdf</t>
        </r>
      </text>
    </comment>
    <comment ref="B498" authorId="0" shapeId="0" xr:uid="{F2B46F0B-6369-4AF2-90E1-D21491BE67D4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NORTE_Edital_de_Fomento_1.pdf</t>
        </r>
      </text>
    </comment>
    <comment ref="B499" authorId="0" shapeId="0" xr:uid="{4F6F9D9B-8642-4924-BF54-C593F9F434D2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NORTE_Edital_de_Fomento_2.pdf</t>
        </r>
      </text>
    </comment>
    <comment ref="B500" authorId="0" shapeId="0" xr:uid="{A6A1EFD9-CA15-438C-BF51-4EACCDAD900D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NORTE_Edital_de_Fomento_3.pdf</t>
        </r>
      </text>
    </comment>
    <comment ref="B501" authorId="0" shapeId="0" xr:uid="{E9179250-A9AB-4B5F-84E7-0DEB196CE7AE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NORTE_Edital_de_Fomento_4.pdf</t>
        </r>
      </text>
    </comment>
    <comment ref="B502" authorId="0" shapeId="0" xr:uid="{E51DDE4C-F3C4-43EB-9E6F-94EDD820E334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NORTE_Edital_de_Fomento_5.pdf</t>
        </r>
      </text>
    </comment>
    <comment ref="B503" authorId="0" shapeId="0" xr:uid="{9B13C714-D65F-4752-A724-C730E53CACE8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NORTE_Edital_de_Fomento_6.pdf</t>
        </r>
      </text>
    </comment>
    <comment ref="B504" authorId="0" shapeId="0" xr:uid="{AEBDE1DA-F770-4392-92DA-9E9A7DCFB5AC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NORTE_Edital_de_Fomento_7.pdf</t>
        </r>
      </text>
    </comment>
    <comment ref="B505" authorId="0" shapeId="0" xr:uid="{D3BB5A77-1C28-465E-91A6-F3EA89B5F25F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NORTE_Edital_de_Fomento_1.pdf</t>
        </r>
      </text>
    </comment>
    <comment ref="C505" authorId="0" shapeId="0" xr:uid="{E0D3676C-B633-4915-B347-33A7C8333309}">
      <text>
        <r>
          <rPr>
            <sz val="11"/>
            <color theme="1"/>
            <rFont val="Calibri"/>
            <family val="2"/>
            <scheme val="minor"/>
          </rPr>
          <t>Diferença: data=1480000.0 | estados=1200000</t>
        </r>
      </text>
    </comment>
    <comment ref="D505" authorId="0" shapeId="0" xr:uid="{13CBA0F8-2A28-49AE-A4FE-C1A65514BBB8}">
      <text>
        <r>
          <rPr>
            <sz val="11"/>
            <color theme="1"/>
            <rFont val="Calibri"/>
            <family val="2"/>
            <scheme val="minor"/>
          </rPr>
          <t>Diferença: data=0.25 | estados=None</t>
        </r>
      </text>
    </comment>
    <comment ref="E505" authorId="0" shapeId="0" xr:uid="{3F092B23-D73D-46D2-89F0-67F70042DBAB}">
      <text>
        <r>
          <rPr>
            <sz val="11"/>
            <color theme="1"/>
            <rFont val="Calibri"/>
            <family val="2"/>
            <scheme val="minor"/>
          </rPr>
          <t>Diferença: data=0.1 | estados=None</t>
        </r>
      </text>
    </comment>
    <comment ref="G505" authorId="0" shapeId="0" xr:uid="{95D4539B-B692-4659-B14C-867E4DC2DC16}">
      <text>
        <r>
          <rPr>
            <sz val="11"/>
            <color theme="1"/>
            <rFont val="Calibri"/>
            <family val="2"/>
            <scheme val="minor"/>
          </rPr>
          <t>Diferença: data=34.0 | estados=40</t>
        </r>
      </text>
    </comment>
    <comment ref="I505" authorId="0" shapeId="0" xr:uid="{3653A65D-DD74-4B9D-931A-59F1D5A887F5}">
      <text>
        <r>
          <rPr>
            <sz val="11"/>
            <color theme="1"/>
            <rFont val="Calibri"/>
            <family val="2"/>
            <scheme val="minor"/>
          </rPr>
          <t>Diferença: data=True | estados=0</t>
        </r>
      </text>
    </comment>
    <comment ref="B506" authorId="0" shapeId="0" xr:uid="{3C4F438A-7E8F-42B3-BD23-FFD793425CC1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NORTE_Edital_de_Fomento_2.pdf</t>
        </r>
      </text>
    </comment>
    <comment ref="C506" authorId="0" shapeId="0" xr:uid="{7CEA156C-A2C3-423A-8E1C-5EE335831D49}">
      <text>
        <r>
          <rPr>
            <sz val="11"/>
            <color theme="1"/>
            <rFont val="Calibri"/>
            <family val="2"/>
            <scheme val="minor"/>
          </rPr>
          <t>Diferença: data=1240000.0 | estados=660000</t>
        </r>
      </text>
    </comment>
    <comment ref="D506" authorId="0" shapeId="0" xr:uid="{43174AF5-E2A3-4573-BE1B-C893DEA3EF56}">
      <text>
        <r>
          <rPr>
            <sz val="11"/>
            <color theme="1"/>
            <rFont val="Calibri"/>
            <family val="2"/>
            <scheme val="minor"/>
          </rPr>
          <t>Diferença: data=0.25 | estados=None</t>
        </r>
      </text>
    </comment>
    <comment ref="E506" authorId="0" shapeId="0" xr:uid="{D01EB37E-2C34-4236-979E-6EA97CA15CB4}">
      <text>
        <r>
          <rPr>
            <sz val="11"/>
            <color theme="1"/>
            <rFont val="Calibri"/>
            <family val="2"/>
            <scheme val="minor"/>
          </rPr>
          <t>Diferença: data=0.1 | estados=1</t>
        </r>
      </text>
    </comment>
    <comment ref="G506" authorId="0" shapeId="0" xr:uid="{602888A2-0EA1-4935-9745-AADFC2D15645}">
      <text>
        <r>
          <rPr>
            <sz val="11"/>
            <color theme="1"/>
            <rFont val="Calibri"/>
            <family val="2"/>
            <scheme val="minor"/>
          </rPr>
          <t>Diferença: data=34.0 | estados=22</t>
        </r>
      </text>
    </comment>
    <comment ref="B507" authorId="0" shapeId="0" xr:uid="{93B9A00D-3DE0-450D-BC8D-968059E38B78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NORTE_Edital_de_Fomento_3.pdf</t>
        </r>
      </text>
    </comment>
    <comment ref="C507" authorId="0" shapeId="0" xr:uid="{EBADD96E-12DD-447C-BA72-D54EB08869F8}">
      <text>
        <r>
          <rPr>
            <sz val="11"/>
            <color theme="1"/>
            <rFont val="Calibri"/>
            <family val="2"/>
            <scheme val="minor"/>
          </rPr>
          <t>Diferença: data=1360000.0 | estados=1200000</t>
        </r>
      </text>
    </comment>
    <comment ref="G507" authorId="0" shapeId="0" xr:uid="{BC521627-8695-4C2D-8D27-54445E0ED1A6}">
      <text>
        <r>
          <rPr>
            <sz val="11"/>
            <color theme="1"/>
            <rFont val="Calibri"/>
            <family val="2"/>
            <scheme val="minor"/>
          </rPr>
          <t>Diferença: data=66.0 | estados=None</t>
        </r>
      </text>
    </comment>
    <comment ref="B508" authorId="0" shapeId="0" xr:uid="{55D50378-0A3F-41EB-87E8-31A0B3205A9C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NORTE_Edital_de_Fomento_4.pdf</t>
        </r>
      </text>
    </comment>
    <comment ref="C508" authorId="0" shapeId="0" xr:uid="{51AD3138-60C2-4107-806F-46F4BFDD93DE}">
      <text>
        <r>
          <rPr>
            <sz val="11"/>
            <color theme="1"/>
            <rFont val="Calibri"/>
            <family val="2"/>
            <scheme val="minor"/>
          </rPr>
          <t>Diferença: data=1800000.0 | estados=1125000</t>
        </r>
      </text>
    </comment>
    <comment ref="G508" authorId="0" shapeId="0" xr:uid="{EE6281EB-632A-4C87-838A-732563318881}">
      <text>
        <r>
          <rPr>
            <sz val="11"/>
            <color theme="1"/>
            <rFont val="Calibri"/>
            <family val="2"/>
            <scheme val="minor"/>
          </rPr>
          <t>Diferença: data=47.0 | estados=None</t>
        </r>
      </text>
    </comment>
    <comment ref="B509" authorId="0" shapeId="0" xr:uid="{3B56509E-9FD1-44B7-9349-9E6F442BACD2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NORTE_FOMENTO_0044.pdf</t>
        </r>
      </text>
    </comment>
    <comment ref="B510" authorId="0" shapeId="0" xr:uid="{A84ADBA5-33F6-40CB-8A12-9219C715FF62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NORTE_FOMENTO_01.pdf</t>
        </r>
      </text>
    </comment>
    <comment ref="B511" authorId="0" shapeId="0" xr:uid="{A9437658-A40C-4F2D-A488-3961D136DBB2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NORTE_Edital_de_Fomento_2.pdf</t>
        </r>
      </text>
    </comment>
    <comment ref="C511" authorId="0" shapeId="0" xr:uid="{43E4B515-2F94-4835-81EE-A9AE51E29B03}">
      <text>
        <r>
          <rPr>
            <sz val="11"/>
            <color theme="1"/>
            <rFont val="Calibri"/>
            <family val="2"/>
            <scheme val="minor"/>
          </rPr>
          <t>Diferença: data=1240000.0 | estados=620000</t>
        </r>
      </text>
    </comment>
    <comment ref="G511" authorId="0" shapeId="0" xr:uid="{777882CE-EB1E-44E3-8A7F-71EA915D3997}">
      <text>
        <r>
          <rPr>
            <sz val="11"/>
            <color theme="1"/>
            <rFont val="Calibri"/>
            <family val="2"/>
            <scheme val="minor"/>
          </rPr>
          <t>Diferença: data=34.0 | estados=30</t>
        </r>
      </text>
    </comment>
    <comment ref="B512" authorId="0" shapeId="0" xr:uid="{663E16A7-3066-496D-B54B-B0EB5C0DB881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NORTE_FOMENTO_22.pdf</t>
        </r>
      </text>
    </comment>
    <comment ref="B513" authorId="0" shapeId="0" xr:uid="{3E1F394E-C52E-4D30-BC7C-F0EA7C7058E7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NORTE_Edital_de_Fomento_3.pdf</t>
        </r>
      </text>
    </comment>
    <comment ref="C513" authorId="0" shapeId="0" xr:uid="{2835717A-E12B-454E-813C-C03B58C4E5DA}">
      <text>
        <r>
          <rPr>
            <sz val="11"/>
            <color theme="1"/>
            <rFont val="Calibri"/>
            <family val="2"/>
            <scheme val="minor"/>
          </rPr>
          <t>Diferença: data=1360000.0 | estados=620000</t>
        </r>
      </text>
    </comment>
    <comment ref="D513" authorId="0" shapeId="0" xr:uid="{390C2AC3-3C7F-447D-8796-013660A29F0E}">
      <text>
        <r>
          <rPr>
            <sz val="11"/>
            <color theme="1"/>
            <rFont val="Calibri"/>
            <family val="2"/>
            <scheme val="minor"/>
          </rPr>
          <t>Diferença: data=0.25 | estados=1</t>
        </r>
      </text>
    </comment>
    <comment ref="E513" authorId="0" shapeId="0" xr:uid="{66F84343-A67F-4B9C-AD41-C8928281626E}">
      <text>
        <r>
          <rPr>
            <sz val="11"/>
            <color theme="1"/>
            <rFont val="Calibri"/>
            <family val="2"/>
            <scheme val="minor"/>
          </rPr>
          <t>Diferença: data=0.1 | estados=None</t>
        </r>
      </text>
    </comment>
    <comment ref="F513" authorId="0" shapeId="0" xr:uid="{2C1FBC57-3077-48AE-A348-81E601C3B22F}">
      <text>
        <r>
          <rPr>
            <sz val="11"/>
            <color theme="1"/>
            <rFont val="Calibri"/>
            <family val="2"/>
            <scheme val="minor"/>
          </rPr>
          <t>Diferença: data=0.05 | estados=0.07</t>
        </r>
      </text>
    </comment>
    <comment ref="G513" authorId="0" shapeId="0" xr:uid="{849D0FAB-5C78-4CF8-BA15-BCA2000A3662}">
      <text>
        <r>
          <rPr>
            <sz val="11"/>
            <color theme="1"/>
            <rFont val="Calibri"/>
            <family val="2"/>
            <scheme val="minor"/>
          </rPr>
          <t>Diferença: data=66.0 | estados=30</t>
        </r>
      </text>
    </comment>
    <comment ref="B514" authorId="0" shapeId="0" xr:uid="{0FE0284A-2620-4EE6-9C73-E77A056999A7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NORTE_FOMENTO_99.pdf</t>
        </r>
      </text>
    </comment>
    <comment ref="B515" authorId="0" shapeId="0" xr:uid="{0E134FB8-BD94-4090-A694-344A689B48B2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NORTE_PREMIAÇÃO_003.pdf</t>
        </r>
      </text>
    </comment>
    <comment ref="B516" authorId="0" shapeId="0" xr:uid="{6C6D5F72-3027-46F5-B6F7-51187B7177C3}">
      <text>
        <r>
          <rPr>
            <sz val="11"/>
            <color theme="1"/>
            <rFont val="Calibri"/>
            <family val="2"/>
            <scheme val="minor"/>
          </rPr>
          <t>Diferença: data=nan | estados=RIO GRANDE DO NORTE_SUBSÍDIO_24.pdf</t>
        </r>
      </text>
    </comment>
  </commentList>
</comments>
</file>

<file path=xl/sharedStrings.xml><?xml version="1.0" encoding="utf-8"?>
<sst xmlns="http://schemas.openxmlformats.org/spreadsheetml/2006/main" count="5412" uniqueCount="794">
  <si>
    <t>Rótulos de Linha</t>
  </si>
  <si>
    <t>Contagem de específico</t>
  </si>
  <si>
    <t>PESSOAS IDOSAS</t>
  </si>
  <si>
    <t>PESSOAS E POVOS INDÍGENAS</t>
  </si>
  <si>
    <t>PESSOAS LGBTQIAPN+</t>
  </si>
  <si>
    <t>MESTRAS/ MULHER</t>
  </si>
  <si>
    <t>MESTRES E MESTRAS</t>
  </si>
  <si>
    <t xml:space="preserve">MESTRES E MESTRAS </t>
  </si>
  <si>
    <t>MULHER</t>
  </si>
  <si>
    <t>MULHER / NEGRA</t>
  </si>
  <si>
    <t xml:space="preserve">PESSOAS NEGRAS </t>
  </si>
  <si>
    <t>PESSOAS COM DEFICIÊNCIA (PCD)</t>
  </si>
  <si>
    <t>PERIFERIAS</t>
  </si>
  <si>
    <t>POVOS E COMUNIDADES TRADICIONAIS</t>
  </si>
  <si>
    <t>POVOS E COMUNIDADES TRADICIONAIS (QUILOMBOLA)</t>
  </si>
  <si>
    <t>(vazio)</t>
  </si>
  <si>
    <t>INFÂNCIA</t>
  </si>
  <si>
    <t xml:space="preserve">POVOS E COMUNIDADES TRADICIONAIS </t>
  </si>
  <si>
    <t>JUVENTUDE</t>
  </si>
  <si>
    <t>INFÂNCIA / JUVENTUDE</t>
  </si>
  <si>
    <t>Total Geral</t>
  </si>
  <si>
    <t>Soma de valor_total</t>
  </si>
  <si>
    <t>Soma de valor_cotas_negras</t>
  </si>
  <si>
    <t>Soma de valor_cotas_indigenas</t>
  </si>
  <si>
    <t>Soma de valor_cotas_pcd</t>
  </si>
  <si>
    <t>Média de perc_cotas_negras</t>
  </si>
  <si>
    <t>Média de perc_cotas_indigenas</t>
  </si>
  <si>
    <t>Média de perc_cotas_pcd</t>
  </si>
  <si>
    <t>Soma de vagas_totais</t>
  </si>
  <si>
    <t>Soma de vagas_cotas_negras</t>
  </si>
  <si>
    <t>Soma de vagas_cotas_indigenas</t>
  </si>
  <si>
    <t>Soma de vagas_cotas_pcd</t>
  </si>
  <si>
    <t>Contagem de nome_pdf_pk</t>
  </si>
  <si>
    <t>CAPITAL</t>
  </si>
  <si>
    <t>ESTADO</t>
  </si>
  <si>
    <t>tipo_ente</t>
  </si>
  <si>
    <t>BOLSA</t>
  </si>
  <si>
    <t>CULTURA VIVA</t>
  </si>
  <si>
    <t>FOMENTO</t>
  </si>
  <si>
    <t>PRÊMIO</t>
  </si>
  <si>
    <t>SUBSÍDIO</t>
  </si>
  <si>
    <t>PROJETOS CULTURAIS</t>
  </si>
  <si>
    <t>PREMIAÇÃO</t>
  </si>
  <si>
    <t>SUBSÍDIO A ESPAÇOS CULTURAIS</t>
  </si>
  <si>
    <t>Valor reservados às cotas - geral</t>
  </si>
  <si>
    <t>Pessoas negras</t>
  </si>
  <si>
    <t>Pessoas indígenas</t>
  </si>
  <si>
    <t>Pessoas com deficiência</t>
  </si>
  <si>
    <t>Ampla concorrência</t>
  </si>
  <si>
    <t>Soma de valor_por_vaga</t>
  </si>
  <si>
    <t>perc_valor_pcd</t>
  </si>
  <si>
    <t>perc_valor_indigena</t>
  </si>
  <si>
    <t>perc_valor_negras</t>
  </si>
  <si>
    <t>perc_vaga_pcd</t>
  </si>
  <si>
    <t>ARACAJU</t>
  </si>
  <si>
    <t>BELÉM</t>
  </si>
  <si>
    <t>BELO HORIZONTE</t>
  </si>
  <si>
    <t>BOA VISTA</t>
  </si>
  <si>
    <t>CAMPO GRANDE</t>
  </si>
  <si>
    <t>CUIABÁ</t>
  </si>
  <si>
    <t>CURITIBA</t>
  </si>
  <si>
    <t>FLORIANÓPOLIS</t>
  </si>
  <si>
    <t>FORTALEZA</t>
  </si>
  <si>
    <t>GOIÂNIA</t>
  </si>
  <si>
    <t>JOÃO PESSOA</t>
  </si>
  <si>
    <t>MACAPÁ</t>
  </si>
  <si>
    <t>MACEIÓ</t>
  </si>
  <si>
    <t>MANAUS</t>
  </si>
  <si>
    <t>NATAL</t>
  </si>
  <si>
    <t>PALMAS</t>
  </si>
  <si>
    <t>PORTO ALEGRE</t>
  </si>
  <si>
    <t>PORTO VELHO</t>
  </si>
  <si>
    <t>RECIFE</t>
  </si>
  <si>
    <t>RIO BRANCO</t>
  </si>
  <si>
    <t>RIO DE JANEIRO (capital)</t>
  </si>
  <si>
    <t>SALVADOR</t>
  </si>
  <si>
    <t>SÃO LUIS</t>
  </si>
  <si>
    <t>SÃO PAULO (capital)</t>
  </si>
  <si>
    <t>TERESINA</t>
  </si>
  <si>
    <t>VITÓRIA</t>
  </si>
  <si>
    <r>
      <t>Tipo de cota</t>
    </r>
    <r>
      <rPr>
        <b/>
        <sz val="11"/>
        <rFont val="Arial"/>
        <family val="2"/>
      </rPr>
      <t> </t>
    </r>
  </si>
  <si>
    <r>
      <t>Valor reservado (R$ milhões)</t>
    </r>
    <r>
      <rPr>
        <b/>
        <sz val="11"/>
        <rFont val="Arial"/>
        <family val="2"/>
      </rPr>
      <t> </t>
    </r>
  </si>
  <si>
    <r>
      <t>Percentual do valor reservado</t>
    </r>
    <r>
      <rPr>
        <b/>
        <sz val="11"/>
        <rFont val="Arial"/>
        <family val="2"/>
      </rPr>
      <t> </t>
    </r>
  </si>
  <si>
    <r>
      <t>Vagas reservadas</t>
    </r>
    <r>
      <rPr>
        <b/>
        <sz val="11"/>
        <rFont val="Arial"/>
        <family val="2"/>
      </rPr>
      <t> </t>
    </r>
  </si>
  <si>
    <r>
      <t>Percentual das vagas reservadas</t>
    </r>
    <r>
      <rPr>
        <b/>
        <sz val="11"/>
        <rFont val="Arial"/>
        <family val="2"/>
      </rPr>
      <t> </t>
    </r>
  </si>
  <si>
    <t>% Cotas PCD </t>
  </si>
  <si>
    <t>% Cotas Pessoas Indígenas </t>
  </si>
  <si>
    <t>% Cotas Pessoa Negra </t>
  </si>
  <si>
    <t>Soma</t>
  </si>
  <si>
    <t>Estados </t>
  </si>
  <si>
    <t>Valor total editais (R$) </t>
  </si>
  <si>
    <t>Valor Cotas PCD </t>
  </si>
  <si>
    <t>Valor Cotas Pessoas Indígenas (R$) </t>
  </si>
  <si>
    <t>Valor Cotas Pessoa Negra (R$) </t>
  </si>
  <si>
    <t>ACRE</t>
  </si>
  <si>
    <t>perc_vaga_pessoa_indigena</t>
  </si>
  <si>
    <t>perc_vaga_pessoa_negra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</si>
  <si>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</si>
  <si>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</si>
  <si>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</si>
  <si>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</si>
  <si>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</si>
  <si>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</si>
  <si>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</si>
  <si>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</si>
  <si>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</si>
  <si>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</si>
  <si>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</si>
  <si>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</si>
  <si>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</si>
  <si>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</si>
  <si>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</si>
  <si>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</si>
  <si>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</si>
  <si>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</si>
  <si>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</si>
  <si>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</si>
  <si>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</si>
  <si>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</si>
  <si>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</si>
  <si>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</si>
  <si>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</si>
  <si>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</si>
  <si>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Valor Cotas PCD (R$)</t>
  </si>
  <si>
    <t>Valor Cotas Pessoa Indígena (R$) </t>
  </si>
  <si>
    <t>Soma Valor Cotas</t>
  </si>
  <si>
    <t>% Valor Pessoa Negra </t>
  </si>
  <si>
    <t>Vagas Pessoa Negra</t>
  </si>
  <si>
    <t>% Vaga Pessoa Negra</t>
  </si>
  <si>
    <t>Valor Cotas Pessoa Indígena (R$)</t>
  </si>
  <si>
    <t>% Valor  Pessoa Indígena</t>
  </si>
  <si>
    <t>Vagas  Pessoa Indígena</t>
  </si>
  <si>
    <t>% Vaga  Pessoa Indígena</t>
  </si>
  <si>
    <t>Valor Cotas PCD (R$) </t>
  </si>
  <si>
    <t>% Valor PCD</t>
  </si>
  <si>
    <t>Vagas PCD</t>
  </si>
  <si>
    <t>% Vaga PCD</t>
  </si>
  <si>
    <t>ente_federativo</t>
  </si>
  <si>
    <t>nome_pdf_pk</t>
  </si>
  <si>
    <t>valor_total</t>
  </si>
  <si>
    <t>perc_cotas_negras</t>
  </si>
  <si>
    <t>perc_cotas_indigenas</t>
  </si>
  <si>
    <t>perc_cotas_pcd</t>
  </si>
  <si>
    <t>vagas_totais</t>
  </si>
  <si>
    <t>específico</t>
  </si>
  <si>
    <t>flag_cotas_negras</t>
  </si>
  <si>
    <t>flag_cotas_indigenas</t>
  </si>
  <si>
    <t>flag_cotas_pcd</t>
  </si>
  <si>
    <t>cod_ibge</t>
  </si>
  <si>
    <t>vagas_cotas_negras</t>
  </si>
  <si>
    <t>vagas_cotas_indigenas</t>
  </si>
  <si>
    <t>vagas_cotas_pcd</t>
  </si>
  <si>
    <t>valor_por_vaga</t>
  </si>
  <si>
    <t>valor_cotas_negras</t>
  </si>
  <si>
    <t>valor_cotas_indigenas</t>
  </si>
  <si>
    <t>valor_cotas_pcd</t>
  </si>
  <si>
    <t>tipo_edital</t>
  </si>
  <si>
    <t>ACRE_BOLSA_112024.pdf</t>
  </si>
  <si>
    <t>12</t>
  </si>
  <si>
    <t>ACRE_CULTURAVIVA_012025.pdf</t>
  </si>
  <si>
    <t>ACRE_CULTURAVIVA_122024.pdf</t>
  </si>
  <si>
    <t>ACRE_CULTURAVIVA_132024.pdf</t>
  </si>
  <si>
    <t>ACRE_FOMENTO_062024.pdf</t>
  </si>
  <si>
    <t>ACRE_FOMENTO_072024.pdf</t>
  </si>
  <si>
    <t>ACRE_FOMENTO_082024.pdf</t>
  </si>
  <si>
    <t>ACRE_FOMENTO_092024.pdf</t>
  </si>
  <si>
    <t>ACRE_PRÊMIO_142024.pdf</t>
  </si>
  <si>
    <t>ACRE_PRÊMIO_152024.pdf</t>
  </si>
  <si>
    <t>INDÍGENA</t>
  </si>
  <si>
    <t>ACRE_SUBSÍDIO_102024.pdf</t>
  </si>
  <si>
    <t>ALAGOAS_CULTURAVIVA_012025.pdf</t>
  </si>
  <si>
    <t>27</t>
  </si>
  <si>
    <t>ALAGOAS_CULTURAVIVA_022025.pdf</t>
  </si>
  <si>
    <t>ALAGOAS_FOMENTO_072024.pdf</t>
  </si>
  <si>
    <t>ALAGOAS_FOMENTO_082024.pdf</t>
  </si>
  <si>
    <t>ALAGOAS_FOMENTO_092024.pdf</t>
  </si>
  <si>
    <t>ALAGOAS_FOMENTO_102024.pdf</t>
  </si>
  <si>
    <t>ALAGOAS_FOMENTO_112024.pdf</t>
  </si>
  <si>
    <t>ALAGOAS_FOMENTO_122024.pdf</t>
  </si>
  <si>
    <t>ALAGOAS_FOMENTO_132024.pdf</t>
  </si>
  <si>
    <t>ALAGOAS_FOMENTO_152024.pdf</t>
  </si>
  <si>
    <t>ALAGOAS_FOMENTO_172024.pdf</t>
  </si>
  <si>
    <t>ALAGOAS_FOMENTO_182024.pdf</t>
  </si>
  <si>
    <t>LGBTQIAPN+</t>
  </si>
  <si>
    <t>ALAGOAS_FOMENTO_192024.pdf</t>
  </si>
  <si>
    <t>2024-20_ALAGOAS_FOMENTO.pdf</t>
  </si>
  <si>
    <t>ALAGOAS_FOMENTO_212024.pdf</t>
  </si>
  <si>
    <t>ALAGOAS_FOMENTO_232024.pdf</t>
  </si>
  <si>
    <t>ALAGOAS_FOMENTO_242024.pdf</t>
  </si>
  <si>
    <t>ALAGOAS_FOMENTO_252024.pdf</t>
  </si>
  <si>
    <t>ALAGOAS_FOMENTO_262024.pdf</t>
  </si>
  <si>
    <t>ALAGOAS_FOMENTO_272024.pdf</t>
  </si>
  <si>
    <t>ALAGOAS_PRÊMIO_062024.pdf</t>
  </si>
  <si>
    <t>ALAGOAS_PRÊMIO_162024.pdf</t>
  </si>
  <si>
    <t>ALAGOAS_PRÊMIO_222024.pdf</t>
  </si>
  <si>
    <t>ALAGOAS_SUBSÍDIO_302024.pdf</t>
  </si>
  <si>
    <t>AMAPÁ_CULTURAVIVA_062024.pdf</t>
  </si>
  <si>
    <t>16</t>
  </si>
  <si>
    <t>AMAPÁ_FOMENTO_012024.pdf</t>
  </si>
  <si>
    <t>AMAPÁ_FOMENTO_022024.pdf</t>
  </si>
  <si>
    <t>AMAPÁ_FOMENTO_032024.pdf</t>
  </si>
  <si>
    <t>2024-04_AMAPÁ_FOMENTO.pdf</t>
  </si>
  <si>
    <t>AMAPÁ_SUBSÍDIO_052024.pdf</t>
  </si>
  <si>
    <t>AMAZONAS_FOMENTO_022024.pdf</t>
  </si>
  <si>
    <t>13</t>
  </si>
  <si>
    <t>AMAZONAS_FOMENTO_032024.pdf</t>
  </si>
  <si>
    <t>AMAZONAS_FOMENTO_042024.pdf</t>
  </si>
  <si>
    <t>AMAZONAS_FOMENTO_052024.pdf</t>
  </si>
  <si>
    <t>AMAZONAS_FOMENTO_062024.pdf</t>
  </si>
  <si>
    <t>AMAZONAS_FOMENTO_072024.pdf</t>
  </si>
  <si>
    <t>AMAZONAS_FOMENTO_082024.pdf</t>
  </si>
  <si>
    <t>AMAZONAS_FOMENTO_092024.pdf</t>
  </si>
  <si>
    <t>AMAZONAS_FOMENTO_102024.pdf</t>
  </si>
  <si>
    <t>NEGRA</t>
  </si>
  <si>
    <t>AMAZONAS_FOMENTO_112024.pdf</t>
  </si>
  <si>
    <t>AMAZONAS_FOMENTO_122024.pdf</t>
  </si>
  <si>
    <t>AMAZONAS_FOMENTO_132024.pdf</t>
  </si>
  <si>
    <t>2025-01_AMAZONAS_FOMENTO.pdf</t>
  </si>
  <si>
    <t>2025-02_AMAZONAS_SUBSÍDIO.pdf</t>
  </si>
  <si>
    <t>2025-03_AMAZONAS_CULTURAVIVA.pdf</t>
  </si>
  <si>
    <t>2025-04_AMAZONAS_CULTURAVIVA.pdf</t>
  </si>
  <si>
    <t>2025-05_AMAZONAS_CULTURAVIVA.pdf</t>
  </si>
  <si>
    <t>2025-06_AMAZONAS_FOMENTO.pdf</t>
  </si>
  <si>
    <t>2024-09_ARACAJU_BOLSA.pdf.pdf</t>
  </si>
  <si>
    <t>2800308</t>
  </si>
  <si>
    <t>2024-11_ARACAJU_CULTURAVIVA.pdf.pdf</t>
  </si>
  <si>
    <t>2025-06_ARACAJU_FOMENTO.pdf</t>
  </si>
  <si>
    <t>2024-12_ARACAJU_CULTURAVIVA.pdf.pdf</t>
  </si>
  <si>
    <t>BAHIA_BOLSA_242024.pdf</t>
  </si>
  <si>
    <t>29</t>
  </si>
  <si>
    <t>BAHIA_CULTURAVIVA_252024.pdf</t>
  </si>
  <si>
    <t>BAHIA_CULTURAVIVA_262024.pdf</t>
  </si>
  <si>
    <t>BAHIA_CULTURAVIVA_272024.pdf</t>
  </si>
  <si>
    <t>BAHIA_CULTURAVIVA_282024.pdf</t>
  </si>
  <si>
    <t>BAHIA_CULTURAVIVA_292024.pdf</t>
  </si>
  <si>
    <t>BAHIA_FOMENTO_052024.pdf</t>
  </si>
  <si>
    <t>BAHIA_FOMENTO_062024.pdf</t>
  </si>
  <si>
    <t>BAHIA_FOMENTO_072024.pdf</t>
  </si>
  <si>
    <t>BAHIA_FOMENTO_082024.pdf</t>
  </si>
  <si>
    <t>BAHIA_FOMENTO_092024.pdf</t>
  </si>
  <si>
    <t>BAHIA_FOMENTO_102024.pdf</t>
  </si>
  <si>
    <t>BAHIA_FOMENTO_112024.pdf</t>
  </si>
  <si>
    <t>BAHIA_FOMENTO_122024.pdf</t>
  </si>
  <si>
    <t>BAHIA_FOMENTO_132024.pdf</t>
  </si>
  <si>
    <t>BAHIA_FOMENTO_142024.pdf</t>
  </si>
  <si>
    <t>BAHIA_FOMENTO_152024.pdf</t>
  </si>
  <si>
    <t>BAHIA_FOMENTO_162024.pdf</t>
  </si>
  <si>
    <t>BAHIA_FOMENTO_172024.pdf</t>
  </si>
  <si>
    <t>BAHIA_FOMENTO_182024.pdf</t>
  </si>
  <si>
    <t>BAHIA_FOMENTO_192024.pdf</t>
  </si>
  <si>
    <t>BAHIA_FOMENTO_202024.pdf</t>
  </si>
  <si>
    <t>BAHIA_PRÊMIO_012024.pdf</t>
  </si>
  <si>
    <t>BAHIA_PRÊMIO_022024.pdf</t>
  </si>
  <si>
    <t>BAHIA_PRÊMIO_032024.pdf</t>
  </si>
  <si>
    <t>BAHIA_PRÊMIO_042024.pdf</t>
  </si>
  <si>
    <t>BAHIA_SUBSÍDIO_212024.pdf</t>
  </si>
  <si>
    <t>2024-22_BAHIA_SUBSÍDIO.pdf</t>
  </si>
  <si>
    <t>BAHIA_SUBSÍDIO_232024.pdf</t>
  </si>
  <si>
    <t>2024-04_BELÉM_FOMENTO.pdf.pdf</t>
  </si>
  <si>
    <t>1501402</t>
  </si>
  <si>
    <t>2024-01_BH_CULTURAVIVA.pdf</t>
  </si>
  <si>
    <t>3106200</t>
  </si>
  <si>
    <t>2024-03_BH_FOMENTO.pdf</t>
  </si>
  <si>
    <t>2024-02_BH_PRÊMIO.pdf</t>
  </si>
  <si>
    <t>2025-05_BOAVISTA_CULTURAVIVA.pdf</t>
  </si>
  <si>
    <t>1400100</t>
  </si>
  <si>
    <t>2025-04_BOAVISTA_FOMENTO.pdf</t>
  </si>
  <si>
    <t>2025-06_BOAVISTA_FOMENTO.pdf</t>
  </si>
  <si>
    <t>2025-13_CAMPOGRANDE_FOMENTO.pdf</t>
  </si>
  <si>
    <t>5002704</t>
  </si>
  <si>
    <t>2024-13_CAMPOGRANDE_FOMENTO.pdf</t>
  </si>
  <si>
    <t>2024-12_CAMPOGRANDE_SUBSÍDIO.pdf</t>
  </si>
  <si>
    <t>2024-14_CAMPOGRANDE_FOMENTO.pdf</t>
  </si>
  <si>
    <t>CEARÁ_CULTURAVIVA_07.pdf</t>
  </si>
  <si>
    <t>23</t>
  </si>
  <si>
    <t>CEARÁ_CULTURAVIVA_09.pdf</t>
  </si>
  <si>
    <t>CEARÁ_CULTURAVIVA_10.pdf</t>
  </si>
  <si>
    <t>SN_CEARÁ_CULTURAVIVA_01.pdf</t>
  </si>
  <si>
    <t>SN_CEARÁ_FOMENTO_02.pdf</t>
  </si>
  <si>
    <t>CEARÁ_FOMENTO_02.pdf</t>
  </si>
  <si>
    <t>CEARÁ_FOMENTO_03.pdf</t>
  </si>
  <si>
    <t>CEARÁ_FOMENTO_04.pdf</t>
  </si>
  <si>
    <t>CEARÁ_FOMENTO_12.pdf</t>
  </si>
  <si>
    <t>CEARÁ_FOMENTO_13.pdf</t>
  </si>
  <si>
    <t>CEARÁ_FOMENTO_14.pdf</t>
  </si>
  <si>
    <t>CEARÁ_FOMENTO_15.pdf</t>
  </si>
  <si>
    <t>CEARÁ_FOMENTO_16.pdf</t>
  </si>
  <si>
    <t>CEARÁ_FOMENTO_17.pdf</t>
  </si>
  <si>
    <t>CEARÁ_PRÊMIO_06.pdf</t>
  </si>
  <si>
    <t>SN_CEARÁ_PRÊMIO_12.pdf</t>
  </si>
  <si>
    <t>2024-01_CUIABÁ_FOMENTO.pdf</t>
  </si>
  <si>
    <t>5103403</t>
  </si>
  <si>
    <t>2024-03_CUIABÁ_CULTURAVIVA.pdf</t>
  </si>
  <si>
    <t>2024-02_CUIABÁ_SUBSÍDIO.pdf</t>
  </si>
  <si>
    <t>2024-31_CURITIBA_CULTURAVIVA.pdf.pdf</t>
  </si>
  <si>
    <t>4106902</t>
  </si>
  <si>
    <t>2025-10_CURITIBA_CULTURAVIVA.pdf.pdf</t>
  </si>
  <si>
    <t>2024-32_CURITIBA_FOMENTO.pdf</t>
  </si>
  <si>
    <t>DF_CULTURAVIVA_462024.pdf</t>
  </si>
  <si>
    <t>53</t>
  </si>
  <si>
    <t>DF_CULTURAVIVA_482024.pdf</t>
  </si>
  <si>
    <t>DF_CULTURAVIVA_492024.pdf</t>
  </si>
  <si>
    <t>DF_FOMENTO_512024.pdf</t>
  </si>
  <si>
    <t>2024-05_ES_FOMENTO.pdf</t>
  </si>
  <si>
    <t>32</t>
  </si>
  <si>
    <t>ES_CULTURAVIVA_062024.pdf</t>
  </si>
  <si>
    <t>ES_CULTURAVIVA_072024.pdf</t>
  </si>
  <si>
    <t>ES_FOMENTO_022024.pdf</t>
  </si>
  <si>
    <t>ES_FOMENTO_032024.pdf</t>
  </si>
  <si>
    <t>ES_FOMENTO_042024.pdf</t>
  </si>
  <si>
    <t>ES_FOMENTO_042025.pdf</t>
  </si>
  <si>
    <t>ES_FOMENTO_052024.pdf</t>
  </si>
  <si>
    <t>ES_FOMENTO_062024.pdf</t>
  </si>
  <si>
    <t>ES_FOMENTO_082024.pdf</t>
  </si>
  <si>
    <t>ES_FOMENTO_092024.pdf</t>
  </si>
  <si>
    <t>ES_FOMENTO_102024.pdf</t>
  </si>
  <si>
    <t>ES_FOMENTO_112024.pdf</t>
  </si>
  <si>
    <t>ES_FOMENTO_122024.pdf</t>
  </si>
  <si>
    <t>ES_FOMENTO_132024.pdf</t>
  </si>
  <si>
    <t>ES_FOMENTO_142024.pdf</t>
  </si>
  <si>
    <t>ES_FOMENTO_152024.pdf</t>
  </si>
  <si>
    <t>ES_FOMENTO_172024.pdf</t>
  </si>
  <si>
    <t>ES_FOMENTO_182024.pdf</t>
  </si>
  <si>
    <t>ES_FOMENTO_192024.pdf</t>
  </si>
  <si>
    <t>ES_PRÊMIO_072024.pdf</t>
  </si>
  <si>
    <t>ES_PRÊMIO_162024.pdf</t>
  </si>
  <si>
    <t>ES_SUBSÍDIO_032025.pdf</t>
  </si>
  <si>
    <t>2024-45_FLORIPA_FOMENTO.pdf.pdf</t>
  </si>
  <si>
    <t>4205407</t>
  </si>
  <si>
    <t>2024-44_FLORIPA_FOMENTO.pdf</t>
  </si>
  <si>
    <t>2024-46_FLORIPA_PRÊMIO.pdf</t>
  </si>
  <si>
    <t>2024-41_FLORIPA_FOMENTO.pdf.pdf</t>
  </si>
  <si>
    <t>2024-47_FLORIPA_CULTURAVIVA.pdf</t>
  </si>
  <si>
    <t>2024-23_FORTALEZA_FOMENTO.pdf</t>
  </si>
  <si>
    <t>2304400</t>
  </si>
  <si>
    <t>2024-19_FORTALEZA_FOMENTO.pdf</t>
  </si>
  <si>
    <t>2024-21_FORTALEZA_FOMENTO.pdf</t>
  </si>
  <si>
    <t>2024-22_FORTALEZA_FOMENTO.pdf</t>
  </si>
  <si>
    <t>2024-18_FORTALEZA_FOMENTO.pdf</t>
  </si>
  <si>
    <t>2024-26_FORTALEZA_FOMENTO.pdf</t>
  </si>
  <si>
    <t>2025-09_FORTALEZA_PRÊMIO.pdf</t>
  </si>
  <si>
    <t>2025-01_FORTALEZA_PRÊMIO.pdf</t>
  </si>
  <si>
    <t>2024-25_FORTALEZA_FOMENTO.pdf</t>
  </si>
  <si>
    <t>2025-07_FORTALEZA_PRÊMIO.pdf</t>
  </si>
  <si>
    <t>2025-10_FORTALEZA_FOMENTO.pdf</t>
  </si>
  <si>
    <t>PCD</t>
  </si>
  <si>
    <t>2024-30_FORTALEZA_FOMENTO.pdf</t>
  </si>
  <si>
    <t>2024-16_FORTALEZA_FOMENTO.pdf</t>
  </si>
  <si>
    <t>IDOSO</t>
  </si>
  <si>
    <t>2024-08_GOIÂNIA_FOMENTO.pdf</t>
  </si>
  <si>
    <t>5208707</t>
  </si>
  <si>
    <t>2024-10_GOIÂNIA_FOMENTO.pdf</t>
  </si>
  <si>
    <t>2024-09_GOIÂNIA_FOMENTO.pdf</t>
  </si>
  <si>
    <t>2024-11_GOIÂNIA_FOMENTO.pdf</t>
  </si>
  <si>
    <t>2024-13_GOIÂNIA_CULTURAVIVA.pdf</t>
  </si>
  <si>
    <t>2024-12_GOIÂNIA_SUBSÍDIO.pdf</t>
  </si>
  <si>
    <t>GO_CULTURAVIVA_012025.pdf</t>
  </si>
  <si>
    <t>52</t>
  </si>
  <si>
    <t>GO_CULTURAVIVA_182024.pdf</t>
  </si>
  <si>
    <t>GO_CULTURAVIVA_192024.pdf</t>
  </si>
  <si>
    <t>GO_FOMENTO_012024.pdf</t>
  </si>
  <si>
    <t>GO_FOMENTO_022024.pdf</t>
  </si>
  <si>
    <t>GO_FOMENTO_032024.pdf</t>
  </si>
  <si>
    <t>GO_FOMENTO_042024.pdf</t>
  </si>
  <si>
    <t>GO_FOMENTO_052024.pdf</t>
  </si>
  <si>
    <t>GO_FOMENTO_062024.pdf</t>
  </si>
  <si>
    <t>GO_FOMENTO_072024.pdf</t>
  </si>
  <si>
    <t>GO_FOMENTO_082024.pdf</t>
  </si>
  <si>
    <t>GO_FOMENTO_092024.pdf</t>
  </si>
  <si>
    <t>GO_FOMENTO_102024.pdf</t>
  </si>
  <si>
    <t>GO_FOMENTO_112024.pdf</t>
  </si>
  <si>
    <t>GO_FOMENTO_122024.pdf</t>
  </si>
  <si>
    <t>GO_FOMENTO_132024.pdf</t>
  </si>
  <si>
    <t>GO_FOMENTO_142024.pdf</t>
  </si>
  <si>
    <t>GO_FOMENTO_162024.pdf</t>
  </si>
  <si>
    <t>GO_FOMENTO_172024.pdf</t>
  </si>
  <si>
    <t>GO_SUBSÍDIO_152024.pdf</t>
  </si>
  <si>
    <t>2024-05_JOAOPESSOA_CULTURAVIVA.pdf.pdf</t>
  </si>
  <si>
    <t>2507507</t>
  </si>
  <si>
    <t>2024-11_JOAOPESSOA_CULTURAVIVA.pdf.pdf</t>
  </si>
  <si>
    <t>2024-13_JOAOPESSOA_PRÊMIO.pdf</t>
  </si>
  <si>
    <t>2024-07_JOAOPESSOA_SUBSÍDIO.pdf</t>
  </si>
  <si>
    <t>2024-06_JOAOPESSOA_PRÊMIO.pdf.pdf</t>
  </si>
  <si>
    <t>2024-09_JOAOPESSOA_SUBSÍDIO.pdf</t>
  </si>
  <si>
    <t>2024-12_JOAOPESSOA_FOMENTO.pdf</t>
  </si>
  <si>
    <t>2024-08_JOAOPESSOA_BOLSA.pdf</t>
  </si>
  <si>
    <t>2024-10_JOAOPESSOA_FOMENTO.pdf.pdf</t>
  </si>
  <si>
    <t>2024-05_MACAPÁ_CULTURAVIVA.pdf.pdf</t>
  </si>
  <si>
    <t>1600303</t>
  </si>
  <si>
    <t>2024-04_MACAPÁ_FOMENTO.pdf</t>
  </si>
  <si>
    <t>2024-03_MACAPÁ_PRÊMIO.pdf</t>
  </si>
  <si>
    <t>2024-07_MACEIÓ_FOMENTO.pdf</t>
  </si>
  <si>
    <t>2704302</t>
  </si>
  <si>
    <t>2024-06_MACEIÓ_FOMENTO.pdf</t>
  </si>
  <si>
    <t>2024-05_MACEIÓ_FOMENTO.pdf</t>
  </si>
  <si>
    <t>2024-04_MACEIÓ_FOMENTO.pdf</t>
  </si>
  <si>
    <t>2024-03_MACEIÓ_FOMENTO.pdf</t>
  </si>
  <si>
    <t>2024-10_MACEIÓ_CULTURAVIVA.pdf</t>
  </si>
  <si>
    <t>2024-08_MACEIÓ_PRÊMIO.pdf</t>
  </si>
  <si>
    <t>2024-09_MACEIÓ_CULTURAVIVA.pdf</t>
  </si>
  <si>
    <t>2024-02_MANAUS_FOMENTO.pdf</t>
  </si>
  <si>
    <t>1302603</t>
  </si>
  <si>
    <t>2024-10_MANAUS_PRÊMIO.pdf</t>
  </si>
  <si>
    <t>2024-09_MANAUS_FOMENTO.pdf</t>
  </si>
  <si>
    <t>2024-04_MANAUS_FOMENTO.pdf</t>
  </si>
  <si>
    <t>2024-07_MANAUS_SUBSÍDIO.pdf</t>
  </si>
  <si>
    <t>2024-05_MANAUS_CULTURAVIVA.pdf</t>
  </si>
  <si>
    <t>2024-08_MANAUS_FOMENTO.pdf</t>
  </si>
  <si>
    <t>2024-06_MANAUS_CULTURAVIVA.pdf</t>
  </si>
  <si>
    <t>2024-03_MANAUS_FOMENTO.pdf</t>
  </si>
  <si>
    <t>MA_CULTURAVIVA_022025.pdf</t>
  </si>
  <si>
    <t>21</t>
  </si>
  <si>
    <t>MA_FOMENTO_012025.pdf</t>
  </si>
  <si>
    <t>MA_FOMENTO_042025.pdf</t>
  </si>
  <si>
    <t>MA_FOMENTO_052025.pdf</t>
  </si>
  <si>
    <t>MA_PRÊMIO_032025.pdf</t>
  </si>
  <si>
    <t>2025-06_MARANHÃO_PRÊMIO.pdf</t>
  </si>
  <si>
    <t>MT_CULTURAVIVA_242024.pdf</t>
  </si>
  <si>
    <t>51</t>
  </si>
  <si>
    <t>MT_CULTURAVIVA_252024.pdf</t>
  </si>
  <si>
    <t>MT_FOMENTO_132024.pdf</t>
  </si>
  <si>
    <t>MT_FOMENTO_152024.pdf</t>
  </si>
  <si>
    <t>MT_FOMENTO_172024.pdf</t>
  </si>
  <si>
    <t>MT_FOMENTO_182024.pdf</t>
  </si>
  <si>
    <t>MT_FOMENTO_232024.pdf</t>
  </si>
  <si>
    <t>MT_PRÊMIO_162024.pdf</t>
  </si>
  <si>
    <t>MS_BOLSA_042025.pdf</t>
  </si>
  <si>
    <t>50</t>
  </si>
  <si>
    <t>MS_CULTURAVIVA_162024.pdf</t>
  </si>
  <si>
    <t>MS_CULTURAVIVA_172024.pdf</t>
  </si>
  <si>
    <t>MS_FOMENTO_012025.pdf</t>
  </si>
  <si>
    <t>MS_FOMENTO_052025.pdf</t>
  </si>
  <si>
    <t>MS_FOMENTO_062025.pdf</t>
  </si>
  <si>
    <t>MS_FOMENTO_072025.pdf</t>
  </si>
  <si>
    <t>MS_FOMENTO_082025.pdf</t>
  </si>
  <si>
    <t>MS_FOMENTO_092025.pdf</t>
  </si>
  <si>
    <t>MS_FOMENTO_102025.pdf</t>
  </si>
  <si>
    <t>MS_FOMENTO_132024.pdf</t>
  </si>
  <si>
    <t>MS_FOMENTO_142024.pdf</t>
  </si>
  <si>
    <t>MS_FOMENTO_152024.pdf</t>
  </si>
  <si>
    <t>MS_FOMENTO_182024.pdf</t>
  </si>
  <si>
    <t>MS_FOMENTO_192024.pdf</t>
  </si>
  <si>
    <t>MS_FOMENTO_202024.pdf</t>
  </si>
  <si>
    <t>MS_FOMENTO_222024.pdf</t>
  </si>
  <si>
    <t>MS_FOMENTO_232024.pdf</t>
  </si>
  <si>
    <t>MS_FOMENTO_242024.pdf</t>
  </si>
  <si>
    <t>MS_FOMENTO_252024.pdf</t>
  </si>
  <si>
    <t>MS_FOMENTO_262024.pdf</t>
  </si>
  <si>
    <t>MS_FOMENTO_272024.pdf</t>
  </si>
  <si>
    <t>MS_PRÊMIO_022025.pdf</t>
  </si>
  <si>
    <t>2024-10_MS_PRÊMIO.pdf</t>
  </si>
  <si>
    <t>MS_PRÊMIO_112024.pdf</t>
  </si>
  <si>
    <t>MS_PRÊMIO_112025.pdf</t>
  </si>
  <si>
    <t>MG_BOLSA_122024.pdf</t>
  </si>
  <si>
    <t>31</t>
  </si>
  <si>
    <t>MG_BOLSA_132024.pdf</t>
  </si>
  <si>
    <t>MG_CULTURAVIVA_032024.pdf</t>
  </si>
  <si>
    <t>MG_CULTURAVIVA_042024.pdf</t>
  </si>
  <si>
    <t>MG_FOMENTO_052024.pdf</t>
  </si>
  <si>
    <t>MG_FOMENTO_062024.pdf</t>
  </si>
  <si>
    <t>MG_FOMENTO_072024.pdf</t>
  </si>
  <si>
    <t>MG_FOMENTO_082024.pdf</t>
  </si>
  <si>
    <t>MG_FOMENTO_102024.pdf</t>
  </si>
  <si>
    <t>MG_FOMENTO_112024.pdf</t>
  </si>
  <si>
    <t>MG_PRÊMIO_022024.pdf</t>
  </si>
  <si>
    <t>MG_SUBSÍDIO_092024.pdf</t>
  </si>
  <si>
    <t>2024-16_NATAL_CULTURAVIVA.pdf</t>
  </si>
  <si>
    <t>2408102</t>
  </si>
  <si>
    <t>2024-10_NATAL_SUBSÍDIO.pdf.pdf</t>
  </si>
  <si>
    <t>2024-12_NATAL_FOMENTO.pdf.pdf</t>
  </si>
  <si>
    <t>2024-15_NATAL_CULTURAVIVA.pdf</t>
  </si>
  <si>
    <t>2024-11_NATAL_PRÊMIO.pdf</t>
  </si>
  <si>
    <t>2024-08_NATAL_FOMENTO.pdf</t>
  </si>
  <si>
    <t>2024-09_NATAL_BOLSA.pdf</t>
  </si>
  <si>
    <t>2024-17_PALMAS_CULTURAVIVA.pdf</t>
  </si>
  <si>
    <t>1721000</t>
  </si>
  <si>
    <t>2024-15_PALMAS_FOMENTO.pdf</t>
  </si>
  <si>
    <t>2024-16_PALMAS_FOMENTO.pdf</t>
  </si>
  <si>
    <t>2024-18_PALMAS_CULTURAVIVA.pdf</t>
  </si>
  <si>
    <t>2024-19_PALMAS_SUBSÍDIO.pdf</t>
  </si>
  <si>
    <t>PARÁ_CULTURA_VIVA_003.pdf</t>
  </si>
  <si>
    <t>15</t>
  </si>
  <si>
    <t>PARÁ_FOMENTO_002_2025.pdf</t>
  </si>
  <si>
    <t>PARÁ_FOMENTO_004.pdf</t>
  </si>
  <si>
    <t>PARÁ_FOMENTO_005.pdf</t>
  </si>
  <si>
    <t>PARÁ_PREMIAÇÃO_006.pdf</t>
  </si>
  <si>
    <t>2025-08_PARÁ_PREMIAÇÃO.pdf</t>
  </si>
  <si>
    <t>PARÁ_SUBSÍDIO_007.pdf</t>
  </si>
  <si>
    <t>2025-12_PARAÍBA_CULTURAVIVA.pdf</t>
  </si>
  <si>
    <t>25</t>
  </si>
  <si>
    <t>2024-26_PARAÍBA_BOLSA.pdf</t>
  </si>
  <si>
    <t>2024-10_PARAÍBA_PRÊMIO.pdf</t>
  </si>
  <si>
    <t>2025-07_PARAÍBA_PRÊMIO.pdf</t>
  </si>
  <si>
    <t>2024-05_PARAÍBA_PRÊMIO.pdf</t>
  </si>
  <si>
    <t>2024-02_PARAÍBA_PRÊMIO.pdf</t>
  </si>
  <si>
    <t>2024-11_PARAÍBA_PRÊMIO.pdf</t>
  </si>
  <si>
    <t>2024-08_PARAÍBA_PRÊMIO.pdf</t>
  </si>
  <si>
    <t>2025-13_PARAÍBA_FOMENTO.pdf</t>
  </si>
  <si>
    <t>2025-14_PARAÍBA_FOMENTO.pdf</t>
  </si>
  <si>
    <t>2025-09_PARAÍBA_PRÊMIO.pdf</t>
  </si>
  <si>
    <t>2025-18_PARAÍBA_PRÊMIO.pdf</t>
  </si>
  <si>
    <t>2025-11_PARAÍBA_PRÊMIO.pdf</t>
  </si>
  <si>
    <t>2025-10_PARAÍBA_PRÊMIO.pdf</t>
  </si>
  <si>
    <t>2024-12_PARAÍBA_PRÊMIO.pdf</t>
  </si>
  <si>
    <t>2024-13_PARAÍBA_PRÊMIO.pdf</t>
  </si>
  <si>
    <t>PARANÁ_CULTURA_VIVA_002.pdf</t>
  </si>
  <si>
    <t>41</t>
  </si>
  <si>
    <t>PARANÁ_CULTURA_VIVA_004.pdf</t>
  </si>
  <si>
    <t>PARANÁ_CULTURA_VIVA_006.pdf</t>
  </si>
  <si>
    <t>2024-01_PARANÁ_FOMENTO.pdf</t>
  </si>
  <si>
    <t>PARANÁ_FOMENTO_0022.pdf</t>
  </si>
  <si>
    <t>2025-01_PARANÁ_FOMENTO.pdf</t>
  </si>
  <si>
    <t>PARANÁ_PREMIO_02.pdf</t>
  </si>
  <si>
    <t>PARANÁ_SUBISIDIO_008.pdf</t>
  </si>
  <si>
    <t>PARANÁ_SUBSÍDIO_X.pdf</t>
  </si>
  <si>
    <t>PERNAMBUCO_Edital_de_Bolsas_1.pdf</t>
  </si>
  <si>
    <t>26</t>
  </si>
  <si>
    <t>PERNAMBUCO_Edital_de_Fomento_1.pdf</t>
  </si>
  <si>
    <t>PERNAMBUCO_Edital_de_Premiação_1.pdf</t>
  </si>
  <si>
    <t>2024-04_PERNAMBUCO_PRÊMIO.pdf</t>
  </si>
  <si>
    <t>2024-05_PERNAMBUCO_PRÊMIO.pdf</t>
  </si>
  <si>
    <t>PERNAMBUCO_Edital_TCC_-_Pontos_PNCV_1.pdf</t>
  </si>
  <si>
    <t>PERNAMBUCO_Edital_TCC_-_Pontões_PNCV_1.pdf</t>
  </si>
  <si>
    <t>2024-02_PIAUÍ_FOMENTO.pdf</t>
  </si>
  <si>
    <t>22</t>
  </si>
  <si>
    <t>PIAUÍ_Edital_de_Fomento_2.pdf</t>
  </si>
  <si>
    <t>PIAUÍ_Edital_de_Premiação_1.pdf</t>
  </si>
  <si>
    <t>PIAUÍ_Edital_TCC_-_Pontos_PNCV_1.pdf</t>
  </si>
  <si>
    <t>PIAUÍ_Edital_TCC_-_Pontões_PNCV_1.pdf</t>
  </si>
  <si>
    <t>2024-05_PORTOALEGRE_PRÊMIO.pdf</t>
  </si>
  <si>
    <t>4314902</t>
  </si>
  <si>
    <t>2024-02_PORTOALEGRE_PRÊMIO.pdf</t>
  </si>
  <si>
    <t>2024-03_PORTOALEGRE_CULTURAVIVA.pdf</t>
  </si>
  <si>
    <t>2024-04_PORTOALEGRE_PRÊMIO.pdf.pdf</t>
  </si>
  <si>
    <t>2025-01_PORTOALEGRE_CULTURAVIVA.pdf</t>
  </si>
  <si>
    <t>2025-08_PORTOVELHO_FOMENTO.pdf</t>
  </si>
  <si>
    <t>1100205</t>
  </si>
  <si>
    <t>2025-07_PORTOVELHO_CULTURAVIVA.pdf</t>
  </si>
  <si>
    <t>2025-05_PORTOVELHO_CULTURAVIVA.pdf</t>
  </si>
  <si>
    <t>2025-06_PORTOVELHO_SUBSÍDIO.pdf</t>
  </si>
  <si>
    <t>2024-01_RECIFE_FOMENTO.pdf</t>
  </si>
  <si>
    <t>2611606</t>
  </si>
  <si>
    <t>2024-02_RECIFE_FOMENTO.pdf.pdf</t>
  </si>
  <si>
    <t>2025-01_RECIFE_CULTURAVIVA.pdf.pdf</t>
  </si>
  <si>
    <t>2024-03_RECIFE_FOMENTO.pdf.pdf</t>
  </si>
  <si>
    <t>2024-06_RIOBRANCO_BOLSA.pdf</t>
  </si>
  <si>
    <t>1200401</t>
  </si>
  <si>
    <t>2024-08_RIOBRANCO_FOMENTO.pdf</t>
  </si>
  <si>
    <t>2024-11_RIOBRANCO_CULTURAVIVA.pdf</t>
  </si>
  <si>
    <t>2024-09_RIOBRANCO_PRÊMIO.pdf</t>
  </si>
  <si>
    <t>2024-10_RIOBRANCO_PRÊMIO.pdf</t>
  </si>
  <si>
    <t>2025-01_RIOBRANCO_CULTURAVIVA.pdf</t>
  </si>
  <si>
    <t>2024-07_RIOBRANCO_FOMENTO.pdf</t>
  </si>
  <si>
    <t>RIO DE JANEIRO_CULTURA VIVA_2.pdf</t>
  </si>
  <si>
    <t>33</t>
  </si>
  <si>
    <t>RIO DE JANEIRO_CULTURA_VIVA.pdf</t>
  </si>
  <si>
    <t>RIO DE JANEIRO_Edital_de_Fomento_1.pdf</t>
  </si>
  <si>
    <t>RIO DE JANEIRO_Edital_de_Fomento_2.pdf</t>
  </si>
  <si>
    <t>RIO DE JANEIRO_Edital_de_Fomento_3.pdf</t>
  </si>
  <si>
    <t>RIO DE JANEIRO_Edital_de_Fomento_4.pdf</t>
  </si>
  <si>
    <t>RIO DE JANEIRO_Edital_de_Fomento_5.pdf</t>
  </si>
  <si>
    <t>2024-07_RIODEJANEIRO_CULTURAVIVA.pdf</t>
  </si>
  <si>
    <t>2111300</t>
  </si>
  <si>
    <t>2023-07_RIODEJANEIRO_FOMENTO.pdf</t>
  </si>
  <si>
    <t>2024-06_RIODEJANEIRO_CULTURAVIVA.pdf</t>
  </si>
  <si>
    <t>2024-11_RIODEJANEIRO_CULTURAVIVA.pdf</t>
  </si>
  <si>
    <t>2024-12_RIODEJANEIRO_FOMENTO.pdf</t>
  </si>
  <si>
    <t>2024-13_RIODEJANEIRO_FOMENTO.pdf</t>
  </si>
  <si>
    <t>2025-03_RIODEJANEIRO_FOMENTO.pdf</t>
  </si>
  <si>
    <t>RIO GRANDE DO NORTE_Edital_de_Fomento_1.pdf</t>
  </si>
  <si>
    <t>24</t>
  </si>
  <si>
    <t>2024-08_IN_FOMENTO.pdf</t>
  </si>
  <si>
    <t>2024-09_IN_FOMENTO.pdf</t>
  </si>
  <si>
    <t>2024-10_IN_FOMENTO.pdf</t>
  </si>
  <si>
    <t>RIO GRANDE DO NORTE_Edital_de_Fomento_5.pdf</t>
  </si>
  <si>
    <t>RIO GRANDE DO NORTE_Edital_de_Fomento_6.pdf</t>
  </si>
  <si>
    <t>RIO GRANDE DO NORTE_Edital_de_Fomento_7.pdf</t>
  </si>
  <si>
    <t>2024-02_RN_PRÊMIO.pdf</t>
  </si>
  <si>
    <t>2024-01_RN_Premio</t>
  </si>
  <si>
    <t>2024-06_RN_CulturaViva.pdf</t>
  </si>
  <si>
    <t>2024-17_RN_FOMENTO.pdf</t>
  </si>
  <si>
    <t>RIO GRANDE DO NORTE_FOMENTO_01.pdf</t>
  </si>
  <si>
    <t>RIO GRANDE DO NORTE_FOMENTO_2.pdf</t>
  </si>
  <si>
    <t>2024-16_RN_FOMENTO.pdf</t>
  </si>
  <si>
    <t>2024-19_RN_FOMENTO.pdf</t>
  </si>
  <si>
    <t>2024-03_RN_PRÊMIO.pdf</t>
  </si>
  <si>
    <t>RIO GRANDE DO NORTE_SUBSÍDIO_24.pdf</t>
  </si>
  <si>
    <t>2024-05_RN_PRÊMIO.pdf</t>
  </si>
  <si>
    <t>2024-04_RN_PRÊMIO.pdf</t>
  </si>
  <si>
    <t>2024-07_RN_CulturaViva.pdf</t>
  </si>
  <si>
    <t>2024-18_RN_FOMENTO.pdf</t>
  </si>
  <si>
    <t>RIO GRANDE DO SUL_Edital_de_Fomento_2.pdf</t>
  </si>
  <si>
    <t>43</t>
  </si>
  <si>
    <t>2024-29_RS_FOMENTO.pdf</t>
  </si>
  <si>
    <t>2024-26_RS_FOMENTO.pdf</t>
  </si>
  <si>
    <t>2024-28_RS_FOMENTO.pdf</t>
  </si>
  <si>
    <t>2024-30_RS_FOMENTO.pdf</t>
  </si>
  <si>
    <t>2024-31_RS_FOMENTO.pdf</t>
  </si>
  <si>
    <t>2024-32_RS_FOMENTO.pdf</t>
  </si>
  <si>
    <t>RIO GRANDE DO SUL_Edital_TCC_-_Pontos_e_Pontões_PNCV_1.pdf</t>
  </si>
  <si>
    <t>2025-03_RO_CULTURAVIVA.pdf</t>
  </si>
  <si>
    <t>11</t>
  </si>
  <si>
    <t>2025-04_RO_CULTURAVIVA.pdf</t>
  </si>
  <si>
    <t>2025-05_RO_PRÊMIO.pdf</t>
  </si>
  <si>
    <t>2025-08_RO_PRÊMIO.pdf</t>
  </si>
  <si>
    <t>001_2025-fomento-edital-de-chamamento-pablico-nao-0012025.pdf</t>
  </si>
  <si>
    <t>14</t>
  </si>
  <si>
    <t>002_2025-premiacao-edital-de-chamamento-pablico-nao-0022025-premiacao.pdf</t>
  </si>
  <si>
    <t>003_2025-subsidio-edital-de-chamamento-pablico-nao-0032025-subsadio.pdf</t>
  </si>
  <si>
    <t>004_2025-pontos-edital-chamamento-pablico-nao-0042025-pontos-de-cultura.pdf</t>
  </si>
  <si>
    <t>005_2025-pontao-edital-chamamento-pablico-nao-0052025-pontao-de-cultura.pdf</t>
  </si>
  <si>
    <t>2024-09_SALVADOR_FOMENTO.pdf</t>
  </si>
  <si>
    <t>2927408</t>
  </si>
  <si>
    <t>2025-01_SALVADOR_FOMENTO.pdf</t>
  </si>
  <si>
    <t>2024-03_SALVADOR_FOMENTO.pdf</t>
  </si>
  <si>
    <t>2024-04_SALVADOR_BOLSA.pdf</t>
  </si>
  <si>
    <t>2024-07_SALVADOR_FOMENTO.pdf</t>
  </si>
  <si>
    <t>2024-08_SALVADOR_SUBSÍDIO.pdf</t>
  </si>
  <si>
    <t>2025-02_SALVADOR_CULTURAVIVA.pdf</t>
  </si>
  <si>
    <t>2024-10_SALVADOR_FOMENTO.pdf</t>
  </si>
  <si>
    <t>2024-05_SALVADOR_FOMENTO.pdf</t>
  </si>
  <si>
    <t>SANTA CATARINA_Cultura Viva.pdf</t>
  </si>
  <si>
    <t>42</t>
  </si>
  <si>
    <t>SANTA CATARINA_CULTURA_VIVA_02.pdf</t>
  </si>
  <si>
    <t>SANTA CATARINA_FOMENTO_435.pdf</t>
  </si>
  <si>
    <t>2024-51_SC_PRÊMIO.pdf</t>
  </si>
  <si>
    <t>2024-52_SC_PRÊMIO.pdf</t>
  </si>
  <si>
    <t>2024-55_SC_FOMENTO.pdf</t>
  </si>
  <si>
    <t>2025-05_SAOLUIS_CULTURAVIVA.pdf</t>
  </si>
  <si>
    <t>2025-08_SAOLUIS_PRÊMIO.pdf</t>
  </si>
  <si>
    <t>2025-06_SAOLUIS_FOMENTO.pdf</t>
  </si>
  <si>
    <t>2025-07_SAOLUIS_CULTURAVIVA.pdf</t>
  </si>
  <si>
    <t>SÃO PAULO_Edital_de_Fomento_10.pdf</t>
  </si>
  <si>
    <t>35</t>
  </si>
  <si>
    <t>SÃO PAULO_Edital_de_Fomento_12.pdf</t>
  </si>
  <si>
    <t>SÃO PAULO_Edital_de_Fomento_13.pdf</t>
  </si>
  <si>
    <t>SÃO PAULO_Edital_de_Fomento_15.pdf</t>
  </si>
  <si>
    <t>2024-19_SP_FOMENTO.pdf</t>
  </si>
  <si>
    <t>2024-20_SP_FOMENTO.pdf</t>
  </si>
  <si>
    <t>2024-21_SP_FOMENTO.pdf</t>
  </si>
  <si>
    <t>SÃO PAULO_Edital_de_Fomento_19.pdf</t>
  </si>
  <si>
    <t>SÃO PAULO_Edital_de_Fomento_2.pdf</t>
  </si>
  <si>
    <t>SÃO PAULO_Edital_de_Fomento_20.pdf</t>
  </si>
  <si>
    <t>SÃO PAULO_Edital_de_Fomento_25.pdf</t>
  </si>
  <si>
    <t>SÃO PAULO_Edital_de_Fomento_32.pdf</t>
  </si>
  <si>
    <t>SÃO PAULO_Edital_de_Fomento_33.pdf</t>
  </si>
  <si>
    <t>SÃO PAULO_Edital_de_Fomento_5.pdf</t>
  </si>
  <si>
    <t>SÃO PAULO_Edital_de_Fomento_6.pdf</t>
  </si>
  <si>
    <t>SÃO PAULO_Edital_de_Fomento_7.pdf</t>
  </si>
  <si>
    <t>SÃO PAULO_Edital_de_Fomento_8.pdf</t>
  </si>
  <si>
    <t>SÃO PAULO_Edital_de_Fomento_9.pdf</t>
  </si>
  <si>
    <t>SÃO PAULO_Edital_de_Premiação_1.pdf</t>
  </si>
  <si>
    <t>2024-42_SP_PRÊMIO.pdf</t>
  </si>
  <si>
    <t>SÃO PAULO_Edital_de_Subsídio_1.pdf</t>
  </si>
  <si>
    <t>SÃO PAULO_Edital_de_Subsídio_2.pdf</t>
  </si>
  <si>
    <t>SÃO PAULO_Edital_de_Fomento_1.pdf</t>
  </si>
  <si>
    <t>SÃO PAULO_Edital_de_Subsídio_a_Espaços_Culturais_1.pdf</t>
  </si>
  <si>
    <t>SÃO PAULO_Edital_de_Subsídio_a_Espaços_Culturais_2.pdf</t>
  </si>
  <si>
    <t>SÃO PAULO_Edital_de_Subsídio_a_Espaços_Culturais_3.pdf</t>
  </si>
  <si>
    <t>SÃO PAULO_Edital_de_Subsídio_a_Espaços_Culturais_4.pdf</t>
  </si>
  <si>
    <t>SÃO PAULO_Edital_Premiação_-_Pontos_e_Pontões_PNCV_1.pdf</t>
  </si>
  <si>
    <t>SÃO PAULO_Edital_TCC_-_Pontos_PNCV_1.pdf</t>
  </si>
  <si>
    <t>SÃO PAULO_Edital_TCC_-_Pontões_PNCV_1.pdf</t>
  </si>
  <si>
    <t>2025-02_SAOPAULO_FOMENTO.pdf.pdf</t>
  </si>
  <si>
    <t>3550308</t>
  </si>
  <si>
    <t>2025-09_SAOPAULO_FOMENTO.pdf</t>
  </si>
  <si>
    <t>2025-03_SAOPAULO_FOMENTO.pdf</t>
  </si>
  <si>
    <t>2025-06_SAOPAULO_FOMENTO.pdf</t>
  </si>
  <si>
    <t>2024-36_SAOPAULO_CULTURAVIVA.pdf</t>
  </si>
  <si>
    <t>2025-08_SAOPAULO_FOMENTO.pdf</t>
  </si>
  <si>
    <t>2025-01_SAOPAULO_FOMENTO.pdf</t>
  </si>
  <si>
    <t>2025-05_SAOPAULO_FOMENTO.pdf</t>
  </si>
  <si>
    <t>2025-04_SAOPAULO_FOMENTO.pdf</t>
  </si>
  <si>
    <t>2024-22_SAOPAULO_FOMENTO.pdf</t>
  </si>
  <si>
    <t>2024-27_SAOPAULO_FOMENTO.pdf</t>
  </si>
  <si>
    <t>SERGIPE_CULTURA VIVA_03.pdf</t>
  </si>
  <si>
    <t>28</t>
  </si>
  <si>
    <t>SERGIPE_CULTURA VIVA_04.pdf</t>
  </si>
  <si>
    <t>SERGIPE_CULTURA VIVA_05.pdf</t>
  </si>
  <si>
    <t>SERGIPE_FOMENTO_02.pdf</t>
  </si>
  <si>
    <t>SERGIPE_FOMENTO_06.pdf</t>
  </si>
  <si>
    <t>SERGIPE_FOMENTO_07.pdf</t>
  </si>
  <si>
    <t>SERGIPE_FOMENTO_09.pdf</t>
  </si>
  <si>
    <t>SERGIPE_Subsidio-08_2025.pdf</t>
  </si>
  <si>
    <t>2024-09_TERESINA_CULTURAVIVA.pdf</t>
  </si>
  <si>
    <t>2211001</t>
  </si>
  <si>
    <t>2024-07_TERESINA_FOMENTO.pdf</t>
  </si>
  <si>
    <t>2024-08_TERESINA_PRÊMIO.pdf</t>
  </si>
  <si>
    <t>2024-10_TERESINA_CULTURAVIVA.pdf</t>
  </si>
  <si>
    <t>2024-34_TOCANTINS_BOLSA.pdf</t>
  </si>
  <si>
    <t>17</t>
  </si>
  <si>
    <t>TOCANTINS_Edital_de_Fomento_1.pdf</t>
  </si>
  <si>
    <t>TOCANTINS_Edital_de_Fomento_2.pdf</t>
  </si>
  <si>
    <t>TOCANTINS_Edital_de_Fomento_3.pdf</t>
  </si>
  <si>
    <t>TOCANTINS_Edital_de_Fomento_4.pdf</t>
  </si>
  <si>
    <t>TOCANTINS_Edital_de_Fomento_5.pdf</t>
  </si>
  <si>
    <t>2024-33_TOCANTINS_BOLSA.pdf</t>
  </si>
  <si>
    <t>2024-31_TOCANTINS_BOLSA.pdf</t>
  </si>
  <si>
    <t>2024-32_TOCANTINS_BOLSA.pdf</t>
  </si>
  <si>
    <t>TOCANTINS_Edital_de_Subsídio_a_Espaços_Culturais_1.pdf</t>
  </si>
  <si>
    <t>TOCANTINS_Edital_Premiação_-_Pontos_e_Pontões_PNCV_1.pdf</t>
  </si>
  <si>
    <t>TOCANTINS_Edital_TCC_-_Pontos_PNCV_1.pdf</t>
  </si>
  <si>
    <t>TOCANTINS_Edital_TCC_-_Pontões_PNCV_1.pdf</t>
  </si>
  <si>
    <t>2024-04_VITÓRIA_FOMENTO.pdf</t>
  </si>
  <si>
    <t>3205309</t>
  </si>
  <si>
    <t>2024-02_VITÓRIA_CULTURAVIVA.pdf</t>
  </si>
  <si>
    <t>2024-06_VITÓRIA_FOMENTO.pdf</t>
  </si>
  <si>
    <t>2024-05_VITÓRIA_SUBSÍDIO.pdf</t>
  </si>
  <si>
    <t>2024-07_VITÓRIA_FOMENTO.pdf</t>
  </si>
  <si>
    <t>2024-03_VITÓRIA_FOMENTO.pdf</t>
  </si>
  <si>
    <t>exclusivo</t>
  </si>
  <si>
    <t>ALAGOAS_FOMENTO_202024.pdf</t>
  </si>
  <si>
    <t>AMAPÁ_FOMENTO_042024.pdf</t>
  </si>
  <si>
    <t>BAHIA_SUBSÍDIO_222024.pdf</t>
  </si>
  <si>
    <t>CEARÁ_CULTURAVIVA_11.pdf</t>
  </si>
  <si>
    <t>CEARÁ_FOMENTO_01.pdf</t>
  </si>
  <si>
    <t>ES_CULTURAVIVA_052024.pdf</t>
  </si>
  <si>
    <t>2025-07_FORTALEZA_PRÊMIO.pdf</t>
  </si>
  <si>
    <t>2024-10_MANAUS_PRÊMIO.pdf</t>
  </si>
  <si>
    <t>MS_PRÊMIO_102024.pdf</t>
  </si>
  <si>
    <t>PARÁ_PREMIAÇÃO_008_2025.pdf</t>
  </si>
  <si>
    <t>PARAÍBA_CULTURA_VIVA_12.pdf</t>
  </si>
  <si>
    <t>PARAÍBA_Edital_de_Bolsa_1.pdf</t>
  </si>
  <si>
    <t>PARAÍBA_Edital_de_Premiação_1.pdf</t>
  </si>
  <si>
    <t>PARAÍBA_Edital_de_Premiação_2.pdf</t>
  </si>
  <si>
    <t>PARAÍBA_Edital_de_Premiação_3.pdf</t>
  </si>
  <si>
    <t>PARAÍBA_Edital_de_Premiação_4.pdf</t>
  </si>
  <si>
    <t>PARAÍBA_Edital_de_Premiação_7.pdf</t>
  </si>
  <si>
    <t>PARAÍBA_Edital_de_Premiação_8.pdf</t>
  </si>
  <si>
    <t>PARAÍBA_FOMENTO_ 0013.pdf</t>
  </si>
  <si>
    <t>PARAÍBA_FOMENTO_014.pdf</t>
  </si>
  <si>
    <t>PARAÍBA_PREMIAÇÃO CULTURAL_009.pdf</t>
  </si>
  <si>
    <t>PARAÍBA_PREMIAÇÃO_0018.pdf</t>
  </si>
  <si>
    <t>PARAÍBA_PREMIAÇÃO_011.pdf</t>
  </si>
  <si>
    <t>PARAÍBA_PREMIAÇÃO_10.pdf</t>
  </si>
  <si>
    <t>PERNAMBUCO_Edital_de_Premiação_3.pdf</t>
  </si>
  <si>
    <t>PERNAMBUCO_Edital_de_Premiação_5.pdf</t>
  </si>
  <si>
    <t>PIAUÍ_Edital_de_Fomento_1.pdf</t>
  </si>
  <si>
    <t>2024-02_RN_Premio</t>
  </si>
  <si>
    <t>RIO GRANDE DO NORTE_FOMENTO_0044.pdf</t>
  </si>
  <si>
    <t>RIO GRANDE DO NORTE_FOMENTO_22.pdf</t>
  </si>
  <si>
    <t>RIO GRANDE DO NORTE_FOMENTO_99.pdf</t>
  </si>
  <si>
    <t>2024-03_RN_Premio</t>
  </si>
  <si>
    <t>2024-04_RN_Premio</t>
  </si>
  <si>
    <t>RIO GRANDE DO SUL_Edital_de_Fomento_4.pdf</t>
  </si>
  <si>
    <t>SANTA CATARINA_PREMIAÇÃO.pdf</t>
  </si>
  <si>
    <t>SANTA CATARINA_PREMIAÇÃO_X.pdf</t>
  </si>
  <si>
    <t>SÃO PAULO_Edital_de_Fomento_16.pdf</t>
  </si>
  <si>
    <t>SÃO PAULO_Edital_de_Fomento_17.pdf</t>
  </si>
  <si>
    <t>SÃO PAULO_Edital_de_Fomento_18.pdf</t>
  </si>
  <si>
    <t>SÃO PAULO_Edital_de_Premiação_2.pdf</t>
  </si>
  <si>
    <t>TOCATINS_FOMENTO_33.pdf</t>
  </si>
  <si>
    <t>REVISÃO - COLUNAS I - J - K</t>
  </si>
  <si>
    <t>BATE COM A CONFERÊNCIA DE NÃO CONFORMIDADE JÁ REALIZADA</t>
  </si>
  <si>
    <t>PLANILHA INDICA COMO NÃO CONFORME, MAS ANÁLISE INDICA COMO CONFORME, ALTERAR PARA VERDADEIRO</t>
  </si>
  <si>
    <t>PLANILHA INDICA COMO CONFORME, MAS A ANÁLISE INDICA COMO NÃO CONFORME, ALTERAR PARA FALSO</t>
  </si>
  <si>
    <t>EDITAIS</t>
  </si>
  <si>
    <t>Qtd editais</t>
  </si>
  <si>
    <t>Valor total dos editais</t>
  </si>
  <si>
    <t>Qtd total vagas</t>
  </si>
  <si>
    <t>$ PN</t>
  </si>
  <si>
    <t>$ PI</t>
  </si>
  <si>
    <t>$ PCD</t>
  </si>
  <si>
    <t>Vagas PN</t>
  </si>
  <si>
    <t>Vagas PI</t>
  </si>
  <si>
    <t>Estados</t>
  </si>
  <si>
    <t>Capitais</t>
  </si>
  <si>
    <t>Total</t>
  </si>
  <si>
    <t>ESPECÍFICOS</t>
  </si>
  <si>
    <t>Qtd PN</t>
  </si>
  <si>
    <t>Qtd PI</t>
  </si>
  <si>
    <t>Qtd PCD</t>
  </si>
  <si>
    <t>CONFORMIDADE</t>
  </si>
  <si>
    <t>Qtd PN conforme</t>
  </si>
  <si>
    <t>Qtd PN não conforme</t>
  </si>
  <si>
    <t>Qtd PI conforme</t>
  </si>
  <si>
    <t>Qtd PI não conforme</t>
  </si>
  <si>
    <t>Qtd PCD conforme</t>
  </si>
  <si>
    <t>Qtd PCD não conforme</t>
  </si>
  <si>
    <t>MODALIDADE (%)</t>
  </si>
  <si>
    <t>Apoio a projetos</t>
  </si>
  <si>
    <t>Premiação</t>
  </si>
  <si>
    <t>Bolsa</t>
  </si>
  <si>
    <t>Espaços culturais</t>
  </si>
  <si>
    <t>P. N. Cultura Viva</t>
  </si>
  <si>
    <t>TOTAL</t>
  </si>
  <si>
    <t>OBS de Hendye: esses dados eu peguei da apresentação anterior, não conferi se mudou.</t>
  </si>
  <si>
    <t>ENTE FEDERATIVO</t>
  </si>
  <si>
    <t>Valor total editais</t>
  </si>
  <si>
    <t>Valor PN</t>
  </si>
  <si>
    <t>Valor PI</t>
  </si>
  <si>
    <t>Valor PCD</t>
  </si>
  <si>
    <t>Capital</t>
  </si>
  <si>
    <t>SÃO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</si>
</sst>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_-[$R$-416]\ * #,##0.00_-;\-[$R$-416]\ * #,##0.00_-;_-[$R$-416]\ * &quot;-&quot;??_-;_-@_-"/>
    <numFmt numFmtId="166" formatCode="&quot;R$&quot;\ #,##0.00"/>
    <numFmt numFmtId="169" formatCode="_-&quot;R$&quot;\ * #,##0_-;\-&quot;R$&quot;\ * #,##0_-;_-&quot;R$&quot;\ * &quot;-&quot;??_-;_-@_-"/>
    <numFmt numFmtId="174" formatCode="_-* #,##0_-;\-* #,##0_-;_-* &quot;-&quot;??_-;_-@_-"/>
  </numFmts>
  <fonts count="2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u/>
      <sz val="11"/>
      <name val="&quot;Aptos Narrow&quot;"/>
    </font>
    <font>
      <sz val="11"/>
      <name val="Calibri"/>
    </font>
    <font>
      <sz val="11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scheme val="minor"/>
    </font>
    <font>
      <sz val="10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CE6F1"/>
        <bgColor rgb="FFDCE6F1"/>
      </patternFill>
    </fill>
    <fill>
      <patternFill patternType="solid">
        <fgColor theme="1"/>
        <bgColor theme="1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DCE6F1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rgb="FF95B3D7"/>
      </bottom>
      <diagonal/>
    </border>
    <border>
      <left/>
      <right/>
      <top style="thin">
        <color rgb="FF95B3D7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/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  <xf numFmtId="0" fontId="12" fillId="0" borderId="0" applyNumberFormat="0" applyFill="0" applyBorder="0" applyAlignment="0" applyProtection="0"/>
  </cellStyleXfs>
  <cellXfs count="131">
    <xf numFmtId="0" fontId="0" fillId="0" borderId="0" xfId="0"/>
    <xf numFmtId="0" fontId="2" fillId="0" borderId="1" xfId="0" applyFont="1" applyBorder="1" applyAlignment="1">
      <alignment horizontal="center" vertical="top"/>
    </xf>
    <xf numFmtId="44" fontId="2" fillId="0" borderId="1" xfId="1" applyFont="1" applyFill="1" applyBorder="1" applyAlignment="1">
      <alignment horizontal="center" vertical="top"/>
    </xf>
    <xf numFmtId="164" fontId="2" fillId="0" borderId="1" xfId="2" applyNumberFormat="1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/>
    <xf numFmtId="44" fontId="7" fillId="0" borderId="1" xfId="1" applyFont="1" applyFill="1" applyBorder="1"/>
    <xf numFmtId="164" fontId="7" fillId="0" borderId="1" xfId="2" applyNumberFormat="1" applyFont="1" applyFill="1" applyBorder="1"/>
    <xf numFmtId="9" fontId="7" fillId="0" borderId="1" xfId="2" applyFont="1" applyFill="1" applyBorder="1"/>
    <xf numFmtId="0" fontId="8" fillId="0" borderId="2" xfId="0" applyFont="1" applyBorder="1"/>
    <xf numFmtId="0" fontId="9" fillId="0" borderId="2" xfId="0" applyFont="1" applyBorder="1"/>
    <xf numFmtId="49" fontId="7" fillId="0" borderId="1" xfId="0" applyNumberFormat="1" applyFont="1" applyBorder="1"/>
    <xf numFmtId="8" fontId="7" fillId="0" borderId="1" xfId="0" applyNumberFormat="1" applyFont="1" applyBorder="1"/>
    <xf numFmtId="0" fontId="10" fillId="0" borderId="1" xfId="0" applyFont="1" applyBorder="1"/>
    <xf numFmtId="0" fontId="7" fillId="3" borderId="1" xfId="0" applyFont="1" applyFill="1" applyBorder="1"/>
    <xf numFmtId="0" fontId="0" fillId="3" borderId="0" xfId="0" applyFill="1"/>
    <xf numFmtId="0" fontId="0" fillId="2" borderId="0" xfId="0" applyFill="1"/>
    <xf numFmtId="0" fontId="0" fillId="4" borderId="0" xfId="0" applyFill="1"/>
    <xf numFmtId="0" fontId="7" fillId="4" borderId="1" xfId="0" applyFont="1" applyFill="1" applyBorder="1"/>
    <xf numFmtId="0" fontId="7" fillId="2" borderId="1" xfId="0" applyFont="1" applyFill="1" applyBorder="1"/>
    <xf numFmtId="165" fontId="0" fillId="0" borderId="0" xfId="0" applyNumberFormat="1"/>
    <xf numFmtId="3" fontId="0" fillId="0" borderId="0" xfId="0" applyNumberFormat="1"/>
    <xf numFmtId="0" fontId="0" fillId="5" borderId="0" xfId="0" applyFill="1"/>
    <xf numFmtId="0" fontId="11" fillId="0" borderId="0" xfId="0" applyFont="1" applyAlignment="1">
      <alignment horizontal="center" vertical="center"/>
    </xf>
    <xf numFmtId="44" fontId="11" fillId="0" borderId="0" xfId="1" applyFont="1" applyBorder="1" applyAlignment="1">
      <alignment horizontal="center" vertical="center"/>
    </xf>
    <xf numFmtId="9" fontId="11" fillId="0" borderId="0" xfId="2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0" fillId="6" borderId="0" xfId="0" applyNumberFormat="1" applyFill="1"/>
    <xf numFmtId="44" fontId="0" fillId="6" borderId="0" xfId="1" applyFont="1" applyFill="1"/>
    <xf numFmtId="9" fontId="0" fillId="7" borderId="0" xfId="2" applyFont="1" applyFill="1"/>
    <xf numFmtId="9" fontId="0" fillId="8" borderId="0" xfId="2" applyFont="1" applyFill="1"/>
    <xf numFmtId="9" fontId="0" fillId="9" borderId="0" xfId="2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44" fontId="0" fillId="7" borderId="0" xfId="1" applyFont="1" applyFill="1"/>
    <xf numFmtId="44" fontId="0" fillId="8" borderId="0" xfId="1" applyFont="1" applyFill="1"/>
    <xf numFmtId="44" fontId="0" fillId="9" borderId="0" xfId="1" applyFont="1" applyFill="1"/>
    <xf numFmtId="49" fontId="0" fillId="10" borderId="0" xfId="0" applyNumberFormat="1" applyFill="1"/>
    <xf numFmtId="44" fontId="0" fillId="10" borderId="0" xfId="1" applyFont="1" applyFill="1"/>
    <xf numFmtId="9" fontId="0" fillId="10" borderId="0" xfId="2" applyFont="1" applyFill="1"/>
    <xf numFmtId="0" fontId="0" fillId="10" borderId="0" xfId="0" applyFill="1"/>
    <xf numFmtId="49" fontId="0" fillId="0" borderId="0" xfId="0" applyNumberFormat="1"/>
    <xf numFmtId="44" fontId="0" fillId="0" borderId="0" xfId="1" applyFont="1"/>
    <xf numFmtId="9" fontId="0" fillId="0" borderId="0" xfId="2" applyFont="1"/>
    <xf numFmtId="49" fontId="13" fillId="10" borderId="0" xfId="0" applyNumberFormat="1" applyFont="1" applyFill="1"/>
    <xf numFmtId="44" fontId="13" fillId="10" borderId="0" xfId="1" applyFont="1" applyFill="1"/>
    <xf numFmtId="9" fontId="13" fillId="10" borderId="0" xfId="2" applyFont="1" applyFill="1"/>
    <xf numFmtId="0" fontId="13" fillId="10" borderId="0" xfId="0" applyFont="1" applyFill="1"/>
    <xf numFmtId="49" fontId="13" fillId="6" borderId="0" xfId="0" applyNumberFormat="1" applyFont="1" applyFill="1"/>
    <xf numFmtId="49" fontId="13" fillId="11" borderId="0" xfId="0" applyNumberFormat="1" applyFont="1" applyFill="1"/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15" fillId="6" borderId="0" xfId="0" applyNumberFormat="1" applyFont="1" applyFill="1"/>
    <xf numFmtId="49" fontId="15" fillId="10" borderId="0" xfId="0" applyNumberFormat="1" applyFont="1" applyFill="1"/>
    <xf numFmtId="0" fontId="15" fillId="10" borderId="0" xfId="0" applyFont="1" applyFill="1"/>
    <xf numFmtId="0" fontId="16" fillId="10" borderId="0" xfId="0" applyFont="1" applyFill="1" applyAlignment="1">
      <alignment wrapText="1" readingOrder="1"/>
    </xf>
    <xf numFmtId="49" fontId="15" fillId="0" borderId="0" xfId="0" applyNumberFormat="1" applyFont="1"/>
    <xf numFmtId="0" fontId="15" fillId="0" borderId="0" xfId="0" applyFont="1"/>
    <xf numFmtId="0" fontId="13" fillId="10" borderId="0" xfId="4" applyFont="1" applyFill="1" applyBorder="1" applyAlignment="1"/>
    <xf numFmtId="0" fontId="13" fillId="11" borderId="0" xfId="4" applyFont="1" applyFill="1" applyBorder="1"/>
    <xf numFmtId="0" fontId="13" fillId="10" borderId="0" xfId="4" applyFont="1" applyFill="1" applyBorder="1"/>
    <xf numFmtId="0" fontId="15" fillId="10" borderId="0" xfId="0" applyFont="1" applyFill="1" applyAlignment="1">
      <alignment readingOrder="1"/>
    </xf>
    <xf numFmtId="0" fontId="0" fillId="10" borderId="0" xfId="4" applyFont="1" applyFill="1" applyBorder="1"/>
    <xf numFmtId="0" fontId="0" fillId="10" borderId="0" xfId="4" applyFont="1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11" fillId="12" borderId="3" xfId="0" applyFont="1" applyFill="1" applyBorder="1"/>
    <xf numFmtId="0" fontId="11" fillId="12" borderId="4" xfId="0" applyFont="1" applyFill="1" applyBorder="1" applyAlignment="1">
      <alignment horizontal="left"/>
    </xf>
    <xf numFmtId="0" fontId="11" fillId="12" borderId="4" xfId="0" applyFont="1" applyFill="1" applyBorder="1"/>
    <xf numFmtId="9" fontId="11" fillId="12" borderId="3" xfId="2" applyFont="1" applyFill="1" applyBorder="1"/>
    <xf numFmtId="9" fontId="11" fillId="12" borderId="4" xfId="2" applyFont="1" applyFill="1" applyBorder="1"/>
    <xf numFmtId="0" fontId="13" fillId="0" borderId="0" xfId="0" applyFont="1" applyAlignment="1">
      <alignment horizontal="left"/>
    </xf>
    <xf numFmtId="44" fontId="13" fillId="0" borderId="0" xfId="0" applyNumberFormat="1" applyFont="1"/>
    <xf numFmtId="0" fontId="13" fillId="0" borderId="0" xfId="0" applyFont="1"/>
    <xf numFmtId="0" fontId="18" fillId="13" borderId="6" xfId="0" applyFont="1" applyFill="1" applyBorder="1" applyAlignment="1">
      <alignment horizontal="left"/>
    </xf>
    <xf numFmtId="44" fontId="18" fillId="13" borderId="6" xfId="0" applyNumberFormat="1" applyFont="1" applyFill="1" applyBorder="1"/>
    <xf numFmtId="0" fontId="18" fillId="13" borderId="6" xfId="0" applyFont="1" applyFill="1" applyBorder="1"/>
    <xf numFmtId="9" fontId="13" fillId="0" borderId="0" xfId="2" applyFont="1"/>
    <xf numFmtId="9" fontId="18" fillId="13" borderId="6" xfId="2" applyFont="1" applyFill="1" applyBorder="1"/>
    <xf numFmtId="43" fontId="0" fillId="0" borderId="0" xfId="0" applyNumberFormat="1"/>
    <xf numFmtId="43" fontId="11" fillId="12" borderId="4" xfId="0" applyNumberFormat="1" applyFont="1" applyFill="1" applyBorder="1"/>
    <xf numFmtId="43" fontId="0" fillId="0" borderId="0" xfId="1" applyNumberFormat="1" applyFont="1"/>
    <xf numFmtId="43" fontId="11" fillId="12" borderId="4" xfId="1" applyNumberFormat="1" applyFont="1" applyFill="1" applyBorder="1"/>
    <xf numFmtId="0" fontId="11" fillId="0" borderId="0" xfId="0" applyFont="1"/>
    <xf numFmtId="0" fontId="11" fillId="0" borderId="0" xfId="0" applyFont="1" applyAlignment="1">
      <alignment wrapText="1"/>
    </xf>
    <xf numFmtId="43" fontId="11" fillId="0" borderId="0" xfId="0" applyNumberFormat="1" applyFont="1" applyAlignment="1">
      <alignment wrapText="1"/>
    </xf>
    <xf numFmtId="9" fontId="11" fillId="0" borderId="0" xfId="2" applyFont="1" applyAlignment="1">
      <alignment wrapText="1"/>
    </xf>
    <xf numFmtId="43" fontId="11" fillId="0" borderId="0" xfId="1" applyNumberFormat="1" applyFont="1" applyAlignment="1">
      <alignment wrapText="1"/>
    </xf>
    <xf numFmtId="0" fontId="14" fillId="14" borderId="7" xfId="0" applyFont="1" applyFill="1" applyBorder="1" applyAlignment="1">
      <alignment wrapText="1"/>
    </xf>
    <xf numFmtId="0" fontId="14" fillId="14" borderId="8" xfId="0" applyFont="1" applyFill="1" applyBorder="1" applyAlignment="1">
      <alignment wrapText="1"/>
    </xf>
    <xf numFmtId="9" fontId="0" fillId="0" borderId="0" xfId="0" applyNumberFormat="1"/>
    <xf numFmtId="9" fontId="14" fillId="14" borderId="8" xfId="2" applyFont="1" applyFill="1" applyBorder="1" applyAlignment="1">
      <alignment wrapText="1"/>
    </xf>
    <xf numFmtId="0" fontId="14" fillId="14" borderId="9" xfId="0" applyFont="1" applyFill="1" applyBorder="1" applyAlignment="1">
      <alignment wrapText="1"/>
    </xf>
    <xf numFmtId="9" fontId="11" fillId="0" borderId="0" xfId="0" applyNumberFormat="1" applyFont="1"/>
    <xf numFmtId="43" fontId="0" fillId="0" borderId="0" xfId="2" applyNumberFormat="1" applyFont="1"/>
    <xf numFmtId="43" fontId="14" fillId="14" borderId="8" xfId="1" applyNumberFormat="1" applyFont="1" applyFill="1" applyBorder="1" applyAlignment="1">
      <alignment wrapText="1"/>
    </xf>
    <xf numFmtId="166" fontId="0" fillId="0" borderId="0" xfId="0" applyNumberFormat="1"/>
    <xf numFmtId="9" fontId="0" fillId="15" borderId="0" xfId="2" applyFont="1" applyFill="1"/>
    <xf numFmtId="9" fontId="19" fillId="16" borderId="0" xfId="2" applyFont="1" applyFill="1"/>
    <xf numFmtId="9" fontId="0" fillId="17" borderId="0" xfId="2" applyFont="1" applyFill="1"/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0" fillId="0" borderId="1" xfId="0" applyBorder="1"/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0" fillId="0" borderId="0" xfId="0" applyAlignment="1">
      <alignment wrapText="1"/>
    </xf>
    <xf numFmtId="9" fontId="0" fillId="0" borderId="0" xfId="2" applyFont="1" applyAlignment="1">
      <alignment wrapText="1"/>
    </xf>
    <xf numFmtId="0" fontId="18" fillId="13" borderId="5" xfId="0" applyFont="1" applyFill="1" applyBorder="1" applyAlignment="1">
      <alignment wrapText="1"/>
    </xf>
    <xf numFmtId="9" fontId="18" fillId="13" borderId="5" xfId="2" applyFont="1" applyFill="1" applyBorder="1" applyAlignment="1">
      <alignment wrapText="1"/>
    </xf>
    <xf numFmtId="44" fontId="0" fillId="0" borderId="1" xfId="0" applyNumberFormat="1" applyBorder="1"/>
    <xf numFmtId="9" fontId="0" fillId="0" borderId="1" xfId="0" applyNumberFormat="1" applyBorder="1"/>
    <xf numFmtId="44" fontId="11" fillId="0" borderId="1" xfId="0" applyNumberFormat="1" applyFont="1" applyBorder="1"/>
    <xf numFmtId="9" fontId="11" fillId="0" borderId="1" xfId="0" applyNumberFormat="1" applyFont="1" applyBorder="1"/>
    <xf numFmtId="0" fontId="18" fillId="18" borderId="5" xfId="0" applyFont="1" applyFill="1" applyBorder="1" applyAlignment="1">
      <alignment wrapText="1"/>
    </xf>
    <xf numFmtId="0" fontId="0" fillId="0" borderId="0" xfId="0" pivotButton="1" applyAlignment="1">
      <alignment wrapText="1"/>
    </xf>
    <xf numFmtId="0" fontId="11" fillId="12" borderId="3" xfId="0" applyFont="1" applyFill="1" applyBorder="1" applyAlignment="1">
      <alignment wrapText="1"/>
    </xf>
    <xf numFmtId="0" fontId="11" fillId="0" borderId="3" xfId="0" applyFont="1" applyBorder="1"/>
    <xf numFmtId="0" fontId="11" fillId="0" borderId="3" xfId="0" applyFont="1" applyBorder="1" applyAlignment="1">
      <alignment horizontal="left"/>
    </xf>
    <xf numFmtId="44" fontId="11" fillId="12" borderId="4" xfId="1" applyFont="1" applyFill="1" applyBorder="1"/>
    <xf numFmtId="0" fontId="14" fillId="14" borderId="10" xfId="0" applyFont="1" applyFill="1" applyBorder="1"/>
    <xf numFmtId="43" fontId="14" fillId="14" borderId="11" xfId="0" applyNumberFormat="1" applyFont="1" applyFill="1" applyBorder="1"/>
    <xf numFmtId="0" fontId="0" fillId="0" borderId="0" xfId="0" applyNumberFormat="1"/>
    <xf numFmtId="0" fontId="0" fillId="0" borderId="0" xfId="0" applyFill="1" applyAlignment="1">
      <alignment horizontal="left"/>
    </xf>
    <xf numFmtId="0" fontId="14" fillId="14" borderId="12" xfId="0" applyFont="1" applyFill="1" applyBorder="1" applyAlignment="1">
      <alignment wrapText="1"/>
    </xf>
    <xf numFmtId="169" fontId="13" fillId="0" borderId="0" xfId="0" applyNumberFormat="1" applyFont="1"/>
    <xf numFmtId="9" fontId="13" fillId="0" borderId="0" xfId="2" applyNumberFormat="1" applyFont="1"/>
    <xf numFmtId="10" fontId="13" fillId="0" borderId="0" xfId="2" applyNumberFormat="1" applyFont="1"/>
    <xf numFmtId="174" fontId="13" fillId="0" borderId="0" xfId="1" applyNumberFormat="1" applyFont="1"/>
  </cellXfs>
  <cellStyles count="5">
    <cellStyle name="Hyperlink" xfId="4" xr:uid="{00000000-000B-0000-0000-000008000000}"/>
    <cellStyle name="Moeda" xfId="1" builtinId="4"/>
    <cellStyle name="Normal" xfId="0" builtinId="0"/>
    <cellStyle name="Normal 2" xfId="3" xr:uid="{AC2D790F-1B28-4921-9569-EDE6F4B10415}"/>
    <cellStyle name="Porcentagem" xfId="2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0" formatCode="General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numFmt numFmtId="164" formatCode="0.0%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numFmt numFmtId="164" formatCode="0.0%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numFmt numFmtId="164" formatCode="0.0%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fgColor rgb="FFFFF59D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numFmt numFmtId="164" formatCode="0.0%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numFmt numFmtId="164" formatCode="0.0%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numFmt numFmtId="164" formatCode="0.0%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fgColor rgb="FFFFF59D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numFmt numFmtId="30" formatCode="@"/>
      <fill>
        <patternFill patternType="solid">
          <fgColor indexed="64"/>
          <bgColor theme="0" tint="-4.9989318521683403E-2"/>
        </patternFill>
      </fill>
    </dxf>
    <dxf>
      <numFmt numFmtId="30" formatCode="@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ont>
        <color rgb="FF000000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color rgb="FF000000"/>
      </font>
      <numFmt numFmtId="30" formatCode="@"/>
      <fill>
        <patternFill patternType="solid">
          <fgColor indexed="64"/>
          <bgColor theme="0" tint="-4.9989318521683403E-2"/>
        </patternFill>
      </fill>
    </dxf>
    <dxf>
      <numFmt numFmtId="30" formatCode="@"/>
      <fill>
        <patternFill patternType="solid">
          <fgColor indexed="64"/>
          <bgColor theme="0" tint="-4.9989318521683403E-2"/>
        </patternFill>
      </fill>
    </dxf>
    <dxf>
      <border outline="0">
        <top style="thin">
          <color auto="1"/>
        </top>
      </border>
    </dxf>
    <dxf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3" formatCode="0%"/>
    </dxf>
    <dxf>
      <numFmt numFmtId="0" formatCode="General"/>
    </dxf>
    <dxf>
      <numFmt numFmtId="13" formatCode="0%"/>
    </dxf>
    <dxf>
      <numFmt numFmtId="35" formatCode="_-* #,##0.00_-;\-* #,##0.00_-;_-* &quot;-&quot;??_-;_-@_-"/>
    </dxf>
    <dxf>
      <border outline="0">
        <left style="thin">
          <color rgb="FF000000"/>
        </left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numFmt numFmtId="13" formatCode="0%"/>
    </dxf>
    <dxf>
      <numFmt numFmtId="0" formatCode="General"/>
    </dxf>
    <dxf>
      <numFmt numFmtId="13" formatCode="0%"/>
    </dxf>
    <dxf>
      <numFmt numFmtId="166" formatCode="&quot;R$&quot;\ #,##0.00"/>
    </dxf>
    <dxf>
      <border outline="0">
        <left style="thin">
          <color rgb="FF000000"/>
        </left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numFmt numFmtId="166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numFmt numFmtId="35" formatCode="_-* #,##0.00_-;\-* #,##0.00_-;_-* &quot;-&quot;??_-;_-@_-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border outline="0">
        <left style="thin">
          <color theme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numFmt numFmtId="13" formatCode="0%"/>
    </dxf>
    <dxf>
      <numFmt numFmtId="13" formatCode="0%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[Base_dados_03_02_2026.xlsx]td_editais_capitais!Tabela dinâmica1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555555555554534E-3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9999999999999899E-2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0.120370370370370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166666666666672E-2"/>
              <c:y val="-6.48148148148148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6666666666666666E-2"/>
              <c:y val="-8.79629629629629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555555555554534E-3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9999999999999899E-2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0.120370370370370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166666666666672E-2"/>
              <c:y val="-6.48148148148148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6666666666666666E-2"/>
              <c:y val="-8.79629629629629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td_editais_capitais!$B$3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58-483A-AFF2-88AC7B6943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58-483A-AFF2-88AC7B6943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58-483A-AFF2-88AC7B6943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58-483A-AFF2-88AC7B6943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058-483A-AFF2-88AC7B6943CE}"/>
              </c:ext>
            </c:extLst>
          </c:dPt>
          <c:dLbls>
            <c:dLbl>
              <c:idx val="0"/>
              <c:layout>
                <c:manualLayout>
                  <c:x val="5.5555555555554534E-3"/>
                  <c:y val="-0.111111111111111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58-483A-AFF2-88AC7B6943CE}"/>
                </c:ext>
              </c:extLst>
            </c:dLbl>
            <c:dLbl>
              <c:idx val="1"/>
              <c:layout>
                <c:manualLayout>
                  <c:x val="4.9999999999999899E-2"/>
                  <c:y val="-6.481481481481481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58-483A-AFF2-88AC7B6943CE}"/>
                </c:ext>
              </c:extLst>
            </c:dLbl>
            <c:dLbl>
              <c:idx val="2"/>
              <c:layout>
                <c:manualLayout>
                  <c:x val="0"/>
                  <c:y val="0.1203703703703703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58-483A-AFF2-88AC7B6943CE}"/>
                </c:ext>
              </c:extLst>
            </c:dLbl>
            <c:dLbl>
              <c:idx val="3"/>
              <c:layout>
                <c:manualLayout>
                  <c:x val="-4.166666666666672E-2"/>
                  <c:y val="-6.481481481481485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58-483A-AFF2-88AC7B6943CE}"/>
                </c:ext>
              </c:extLst>
            </c:dLbl>
            <c:dLbl>
              <c:idx val="4"/>
              <c:layout>
                <c:manualLayout>
                  <c:x val="-1.6666666666666666E-2"/>
                  <c:y val="-8.796296296296297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058-483A-AFF2-88AC7B6943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td_editais_capitais!$A$4:$A$9</c:f>
              <c:strCache>
                <c:ptCount val="5"/>
                <c:pt idx="0">
                  <c:v>BOLSA</c:v>
                </c:pt>
                <c:pt idx="1">
                  <c:v>CULTURA VIVA</c:v>
                </c:pt>
                <c:pt idx="2">
                  <c:v>FOMENTO</c:v>
                </c:pt>
                <c:pt idx="3">
                  <c:v>PRÊMIO</c:v>
                </c:pt>
                <c:pt idx="4">
                  <c:v>SUBSÍDIO</c:v>
                </c:pt>
              </c:strCache>
            </c:strRef>
          </c:cat>
          <c:val>
            <c:numRef>
              <c:f>td_editais_capitais!$B$4:$B$9</c:f>
              <c:numCache>
                <c:formatCode>_("R$"* #,##0.00_);_("R$"* \(#,##0.00\);_("R$"* "-"??_);_(@_)</c:formatCode>
                <c:ptCount val="5"/>
                <c:pt idx="0">
                  <c:v>2506000</c:v>
                </c:pt>
                <c:pt idx="1">
                  <c:v>76251808.25</c:v>
                </c:pt>
                <c:pt idx="2">
                  <c:v>163826520.06999999</c:v>
                </c:pt>
                <c:pt idx="3">
                  <c:v>19237236.890000001</c:v>
                </c:pt>
                <c:pt idx="4">
                  <c:v>7923877.5999999996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058-483A-AFF2-88AC7B6943C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58-4E92-8E65-B3016A0CEF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BD-4B0A-B1AF-95946EA30D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BD-4B0A-B1AF-95946EA30D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4BD-4B0A-B1AF-95946EA30D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4BD-4B0A-B1AF-95946EA30DB4}"/>
              </c:ext>
            </c:extLst>
          </c:dPt>
          <c:dLbls>
            <c:dLbl>
              <c:idx val="0"/>
              <c:layout>
                <c:manualLayout>
                  <c:x val="8.3333333333333332E-3"/>
                  <c:y val="-0.1527777777777777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58-4E92-8E65-B3016A0CEF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td_editais_capitais!$A$21:$A$25</c:f>
              <c:strCache>
                <c:ptCount val="5"/>
                <c:pt idx="0">
                  <c:v>BOLSA</c:v>
                </c:pt>
                <c:pt idx="1">
                  <c:v>CULTURA VIVA</c:v>
                </c:pt>
                <c:pt idx="2">
                  <c:v>PROJETOS CULTURAIS</c:v>
                </c:pt>
                <c:pt idx="3">
                  <c:v>PREMIAÇÃO</c:v>
                </c:pt>
                <c:pt idx="4">
                  <c:v>SUBSÍDIO A ESPAÇOS CULTURAIS</c:v>
                </c:pt>
              </c:strCache>
            </c:strRef>
          </c:cat>
          <c:val>
            <c:numRef>
              <c:f>td_editais_capitais!$B$21:$B$25</c:f>
              <c:numCache>
                <c:formatCode>_("R$"* #,##0.00_);_("R$"* \(#,##0.00\);_("R$"* "-"??_);_(@_)</c:formatCode>
                <c:ptCount val="5"/>
                <c:pt idx="0">
                  <c:v>2506000</c:v>
                </c:pt>
                <c:pt idx="1">
                  <c:v>76251808.25</c:v>
                </c:pt>
                <c:pt idx="2">
                  <c:v>163826520.06999999</c:v>
                </c:pt>
                <c:pt idx="3">
                  <c:v>19237236.890000001</c:v>
                </c:pt>
                <c:pt idx="4">
                  <c:v>7923877.5999999996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8-4E92-8E65-B3016A0CEFA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449453193350828"/>
          <c:y val="0.16955745115193932"/>
          <c:w val="0.26717213473315837"/>
          <c:h val="0.642366579177602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[Base_dados_03_02_2026.xlsx]td_editais_estados!Tabela dinâmica1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555555555554534E-3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9999999999999899E-2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0.120370370370370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166666666666672E-2"/>
              <c:y val="-6.48148148148148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6666666666666666E-2"/>
              <c:y val="-8.79629629629629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td_editais_estados!$B$3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58-43E3-A38A-5DFADE2E64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58-43E3-A38A-5DFADE2E64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58-43E3-A38A-5DFADE2E64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58-43E3-A38A-5DFADE2E64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F58-43E3-A38A-5DFADE2E643B}"/>
              </c:ext>
            </c:extLst>
          </c:dPt>
          <c:dLbls>
            <c:dLbl>
              <c:idx val="0"/>
              <c:layout>
                <c:manualLayout>
                  <c:x val="5.5555555555554534E-3"/>
                  <c:y val="-0.111111111111111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F58-43E3-A38A-5DFADE2E643B}"/>
                </c:ext>
              </c:extLst>
            </c:dLbl>
            <c:dLbl>
              <c:idx val="1"/>
              <c:layout>
                <c:manualLayout>
                  <c:x val="4.9999999999999899E-2"/>
                  <c:y val="-6.481481481481481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F58-43E3-A38A-5DFADE2E643B}"/>
                </c:ext>
              </c:extLst>
            </c:dLbl>
            <c:dLbl>
              <c:idx val="2"/>
              <c:layout>
                <c:manualLayout>
                  <c:x val="0"/>
                  <c:y val="0.1203703703703703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F58-43E3-A38A-5DFADE2E643B}"/>
                </c:ext>
              </c:extLst>
            </c:dLbl>
            <c:dLbl>
              <c:idx val="3"/>
              <c:layout>
                <c:manualLayout>
                  <c:x val="-4.166666666666672E-2"/>
                  <c:y val="-6.481481481481485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F58-43E3-A38A-5DFADE2E643B}"/>
                </c:ext>
              </c:extLst>
            </c:dLbl>
            <c:dLbl>
              <c:idx val="4"/>
              <c:layout>
                <c:manualLayout>
                  <c:x val="-1.6666666666666666E-2"/>
                  <c:y val="-8.796296296296297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F58-43E3-A38A-5DFADE2E64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td_editais_estados!$A$4:$A$9</c:f>
              <c:strCache>
                <c:ptCount val="5"/>
                <c:pt idx="0">
                  <c:v>BOLSA</c:v>
                </c:pt>
                <c:pt idx="1">
                  <c:v>CULTURA VIVA</c:v>
                </c:pt>
                <c:pt idx="2">
                  <c:v>FOMENTO</c:v>
                </c:pt>
                <c:pt idx="3">
                  <c:v>PRÊMIO</c:v>
                </c:pt>
                <c:pt idx="4">
                  <c:v>SUBSÍDIO</c:v>
                </c:pt>
              </c:strCache>
            </c:strRef>
          </c:cat>
          <c:val>
            <c:numRef>
              <c:f>td_editais_estados!$B$4:$B$9</c:f>
              <c:numCache>
                <c:formatCode>_("R$"* #,##0.00_);_("R$"* \(#,##0.00\);_("R$"* "-"??_);_(@_)</c:formatCode>
                <c:ptCount val="5"/>
                <c:pt idx="0">
                  <c:v>21233500</c:v>
                </c:pt>
                <c:pt idx="1">
                  <c:v>202018127.55000001</c:v>
                </c:pt>
                <c:pt idx="2">
                  <c:v>874084072.76999998</c:v>
                </c:pt>
                <c:pt idx="3">
                  <c:v>122232327.33999999</c:v>
                </c:pt>
                <c:pt idx="4">
                  <c:v>134314708.63999999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9-4A5E-8030-376137084F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39-43C4-A674-31AF7B083E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9D-42F2-926F-49B4370C28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9D-42F2-926F-49B4370C28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D9D-42F2-926F-49B4370C28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D9D-42F2-926F-49B4370C28C5}"/>
              </c:ext>
            </c:extLst>
          </c:dPt>
          <c:dLbls>
            <c:dLbl>
              <c:idx val="0"/>
              <c:layout>
                <c:manualLayout>
                  <c:x val="8.3333333333332829E-3"/>
                  <c:y val="-0.138888888888888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39-43C4-A674-31AF7B083E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td_editais_estados!$A$21:$A$25</c:f>
              <c:strCache>
                <c:ptCount val="5"/>
                <c:pt idx="0">
                  <c:v>BOLSA</c:v>
                </c:pt>
                <c:pt idx="1">
                  <c:v>CULTURA VIVA</c:v>
                </c:pt>
                <c:pt idx="2">
                  <c:v>PROJETOS CULTURAIS</c:v>
                </c:pt>
                <c:pt idx="3">
                  <c:v>PREMIAÇÃO</c:v>
                </c:pt>
                <c:pt idx="4">
                  <c:v>SUBSÍDIO A ESPAÇOS CULTURAIS</c:v>
                </c:pt>
              </c:strCache>
            </c:strRef>
          </c:cat>
          <c:val>
            <c:numRef>
              <c:f>td_editais_estados!$B$21:$B$25</c:f>
              <c:numCache>
                <c:formatCode>_("R$"* #,##0.00_);_("R$"* \(#,##0.00\);_("R$"* "-"??_);_(@_)</c:formatCode>
                <c:ptCount val="5"/>
                <c:pt idx="0">
                  <c:v>21233500</c:v>
                </c:pt>
                <c:pt idx="1">
                  <c:v>202018127.55000001</c:v>
                </c:pt>
                <c:pt idx="2">
                  <c:v>874084072.76999998</c:v>
                </c:pt>
                <c:pt idx="3">
                  <c:v>122232327.33999999</c:v>
                </c:pt>
                <c:pt idx="4">
                  <c:v>134314708.63999999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9-43C4-A674-31AF7B083EE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A8-43C2-B1D5-42F9410FEC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A8-43C2-B1D5-42F9410FEC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A8-43C2-B1D5-42F9410FEC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A8-43C2-B1D5-42F9410FECE6}"/>
              </c:ext>
            </c:extLst>
          </c:dPt>
          <c:dLbls>
            <c:dLbl>
              <c:idx val="0"/>
              <c:layout>
                <c:manualLayout>
                  <c:x val="-3.6904571309885344E-2"/>
                  <c:y val="1.09452258239244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A8-43C2-B1D5-42F9410FECE6}"/>
                </c:ext>
              </c:extLst>
            </c:dLbl>
            <c:dLbl>
              <c:idx val="1"/>
              <c:layout>
                <c:manualLayout>
                  <c:x val="-3.1632489694187443E-2"/>
                  <c:y val="-5.47261291196224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A8-43C2-B1D5-42F9410FECE6}"/>
                </c:ext>
              </c:extLst>
            </c:dLbl>
            <c:dLbl>
              <c:idx val="2"/>
              <c:layout>
                <c:manualLayout>
                  <c:x val="-2.4603047539923564E-2"/>
                  <c:y val="-3.55719839277546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A8-43C2-B1D5-42F9410FECE6}"/>
                </c:ext>
              </c:extLst>
            </c:dLbl>
            <c:dLbl>
              <c:idx val="3"/>
              <c:layout>
                <c:manualLayout>
                  <c:x val="3.5147210771319312E-2"/>
                  <c:y val="-1.91541451918677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A8-43C2-B1D5-42F9410FEC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agg_cotas_geral!$A$2:$A$5</c:f>
              <c:strCache>
                <c:ptCount val="4"/>
                <c:pt idx="0">
                  <c:v>Pessoas negras</c:v>
                </c:pt>
                <c:pt idx="1">
                  <c:v>Pessoas indígenas</c:v>
                </c:pt>
                <c:pt idx="2">
                  <c:v>Pessoas com deficiência</c:v>
                </c:pt>
                <c:pt idx="3">
                  <c:v>Ampla concorrência</c:v>
                </c:pt>
              </c:strCache>
            </c:strRef>
          </c:cat>
          <c:val>
            <c:numRef>
              <c:f>agg_cotas_geral!$B$2:$B$5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A8-43C2-B1D5-42F9410FECE6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2A8-43C2-B1D5-42F9410FEC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2A8-43C2-B1D5-42F9410FEC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02A8-43C2-B1D5-42F9410FEC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02A8-43C2-B1D5-42F9410FECE6}"/>
              </c:ext>
            </c:extLst>
          </c:dPt>
          <c:dLbls>
            <c:dLbl>
              <c:idx val="0"/>
              <c:layout>
                <c:manualLayout>
                  <c:x val="7.1663294702305202E-2"/>
                  <c:y val="-4.43463707204005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348443288464744"/>
                      <c:h val="7.51964894316111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02A8-43C2-B1D5-42F9410FECE6}"/>
                </c:ext>
              </c:extLst>
            </c:dLbl>
            <c:dLbl>
              <c:idx val="1"/>
              <c:layout>
                <c:manualLayout>
                  <c:x val="8.8017471761499336E-2"/>
                  <c:y val="-5.583788827811660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2A8-43C2-B1D5-42F9410FECE6}"/>
                </c:ext>
              </c:extLst>
            </c:dLbl>
            <c:dLbl>
              <c:idx val="2"/>
              <c:layout>
                <c:manualLayout>
                  <c:x val="8.0847994263532397E-2"/>
                  <c:y val="4.08123339767603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2A8-43C2-B1D5-42F9410FECE6}"/>
                </c:ext>
              </c:extLst>
            </c:dLbl>
            <c:dLbl>
              <c:idx val="3"/>
              <c:layout>
                <c:manualLayout>
                  <c:x val="-0.10287187305713068"/>
                  <c:y val="-1.40148445702522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2A8-43C2-B1D5-42F9410FEC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agg_cotas_geral!$A$2:$A$5</c:f>
              <c:strCache>
                <c:ptCount val="4"/>
                <c:pt idx="0">
                  <c:v>Pessoas negras</c:v>
                </c:pt>
                <c:pt idx="1">
                  <c:v>Pessoas indígenas</c:v>
                </c:pt>
                <c:pt idx="2">
                  <c:v>Pessoas com deficiência</c:v>
                </c:pt>
                <c:pt idx="3">
                  <c:v>Ampla concorrência</c:v>
                </c:pt>
              </c:strCache>
            </c:strRef>
          </c:cat>
          <c:val>
            <c:numRef>
              <c:f>agg_cotas_geral!$C$2:$C$5</c:f>
              <c:numCache>
                <c:formatCode>_-[$R$-416]\ * #,##0.00_-;\-[$R$-416]\ * #,##0.00_-;_-[$R$-416]\ * "-"??_-;_-@_-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2A8-43C2-B1D5-42F9410FEC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agg_capitais!$B$41</c:f>
              <c:strCache>
                <c:ptCount val="1"/>
                <c:pt idx="0">
                  <c:v>% Cotas PCD 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22"/>
              <c:layout>
                <c:manualLayout>
                  <c:x val="3.0617260578825823E-3"/>
                  <c:y val="-3.036710482174629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F25-4C78-AEB8-2E18F571F9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agg_capitais!$A$42:$A$67</c:f>
              <c:strCache>
                <c:ptCount val="26"/>
                <c:pt idx="0">
                  <c:v>SALVADOR</c:v>
                </c:pt>
                <c:pt idx="1">
                  <c:v>MANAUS</c:v>
                </c:pt>
                <c:pt idx="2">
                  <c:v>RECIFE</c:v>
                </c:pt>
                <c:pt idx="3">
                  <c:v>TERESINA</c:v>
                </c:pt>
                <c:pt idx="4">
                  <c:v>CAMPO GRANDE</c:v>
                </c:pt>
                <c:pt idx="5">
                  <c:v>JOÃO PESSOA</c:v>
                </c:pt>
                <c:pt idx="6">
                  <c:v>PORTO VELHO</c:v>
                </c:pt>
                <c:pt idx="7">
                  <c:v>MACAPÁ</c:v>
                </c:pt>
                <c:pt idx="8">
                  <c:v>CUIABÁ</c:v>
                </c:pt>
                <c:pt idx="9">
                  <c:v>BELO HORIZONTE</c:v>
                </c:pt>
                <c:pt idx="10">
                  <c:v>CURITIBA</c:v>
                </c:pt>
                <c:pt idx="11">
                  <c:v>BELÉM</c:v>
                </c:pt>
                <c:pt idx="12">
                  <c:v>MACEIÓ</c:v>
                </c:pt>
                <c:pt idx="13">
                  <c:v>FLORIANÓPOLIS</c:v>
                </c:pt>
                <c:pt idx="14">
                  <c:v>PALMAS</c:v>
                </c:pt>
                <c:pt idx="15">
                  <c:v>GOIÂNIA</c:v>
                </c:pt>
                <c:pt idx="16">
                  <c:v>SÃO LUIS</c:v>
                </c:pt>
                <c:pt idx="17">
                  <c:v>PORTO ALEGRE</c:v>
                </c:pt>
                <c:pt idx="18">
                  <c:v>NATAL</c:v>
                </c:pt>
                <c:pt idx="19">
                  <c:v>RIO BRANCO</c:v>
                </c:pt>
                <c:pt idx="20">
                  <c:v>RIO DE JANEIRO</c:v>
                </c:pt>
                <c:pt idx="21">
                  <c:v>ARACAJU</c:v>
                </c:pt>
                <c:pt idx="22">
                  <c:v>VITÓRIA</c:v>
                </c:pt>
                <c:pt idx="23">
                  <c:v>BOA VISTA</c:v>
                </c:pt>
                <c:pt idx="24">
                  <c:v>FORTALEZA</c:v>
                </c:pt>
                <c:pt idx="25">
                  <c:v>SÃO PAULO</c:v>
                </c:pt>
              </c:strCache>
            </c:strRef>
          </c:cat>
          <c:val>
            <c:numRef>
              <c:f>agg_capitais!$B$42:$B$67</c:f>
              <c:numCache>
                <c:formatCode>0%</c:formatCode>
                <c:ptCount val="26"/>
                <c:pt idx="0">
                  <c:v>4.9266238879736406E-2</c:v>
                </c:pt>
                <c:pt idx="1">
                  <c:v>5.5069372874288078E-2</c:v>
                </c:pt>
                <c:pt idx="2">
                  <c:v>4.9069237703152024E-2</c:v>
                </c:pt>
                <c:pt idx="3">
                  <c:v>8.2353985154907314E-2</c:v>
                </c:pt>
                <c:pt idx="4">
                  <c:v>8.431363800740635E-2</c:v>
                </c:pt>
                <c:pt idx="5">
                  <c:v>5.143065595463138E-2</c:v>
                </c:pt>
                <c:pt idx="6">
                  <c:v>3.8511665158234364E-2</c:v>
                </c:pt>
                <c:pt idx="7">
                  <c:v>4.7349614009875751E-2</c:v>
                </c:pt>
                <c:pt idx="8">
                  <c:v>4.5284870270270269E-2</c:v>
                </c:pt>
                <c:pt idx="9">
                  <c:v>4.9905100447856683E-2</c:v>
                </c:pt>
                <c:pt idx="10">
                  <c:v>5.0645296973620323E-2</c:v>
                </c:pt>
                <c:pt idx="11">
                  <c:v>0.05</c:v>
                </c:pt>
                <c:pt idx="12">
                  <c:v>5.2891346904310695E-2</c:v>
                </c:pt>
                <c:pt idx="13">
                  <c:v>5.5141579731743669E-2</c:v>
                </c:pt>
                <c:pt idx="14">
                  <c:v>4.5264251596122011E-2</c:v>
                </c:pt>
                <c:pt idx="15">
                  <c:v>4.5202489052186288E-2</c:v>
                </c:pt>
                <c:pt idx="16">
                  <c:v>4.078856629019495E-2</c:v>
                </c:pt>
                <c:pt idx="17">
                  <c:v>5.0080615402512796E-2</c:v>
                </c:pt>
                <c:pt idx="18">
                  <c:v>3.1852870583717358E-2</c:v>
                </c:pt>
                <c:pt idx="19">
                  <c:v>5.1358703522504892E-2</c:v>
                </c:pt>
                <c:pt idx="20">
                  <c:v>5.2127162653033771E-2</c:v>
                </c:pt>
                <c:pt idx="21">
                  <c:v>3.9079940973535822E-2</c:v>
                </c:pt>
                <c:pt idx="22">
                  <c:v>2.7660442782315178E-2</c:v>
                </c:pt>
                <c:pt idx="23">
                  <c:v>3.7203152131482953E-2</c:v>
                </c:pt>
                <c:pt idx="24">
                  <c:v>9.4215571343372828E-2</c:v>
                </c:pt>
                <c:pt idx="25">
                  <c:v>2.4319653847805944E-2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5-4C78-AEB8-2E18F571F920}"/>
            </c:ext>
          </c:extLst>
        </c:ser>
        <c:ser>
          <c:idx val="1"/>
          <c:order val="1"/>
          <c:tx>
            <c:strRef>
              <c:f>agg_capitais!$C$41</c:f>
              <c:strCache>
                <c:ptCount val="1"/>
                <c:pt idx="0">
                  <c:v>% Cotas Pessoas Indígenas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agg_capitais!$A$42:$A$67</c:f>
              <c:strCache>
                <c:ptCount val="26"/>
                <c:pt idx="0">
                  <c:v>SALVADOR</c:v>
                </c:pt>
                <c:pt idx="1">
                  <c:v>MANAUS</c:v>
                </c:pt>
                <c:pt idx="2">
                  <c:v>RECIFE</c:v>
                </c:pt>
                <c:pt idx="3">
                  <c:v>TERESINA</c:v>
                </c:pt>
                <c:pt idx="4">
                  <c:v>CAMPO GRANDE</c:v>
                </c:pt>
                <c:pt idx="5">
                  <c:v>JOÃO PESSOA</c:v>
                </c:pt>
                <c:pt idx="6">
                  <c:v>PORTO VELHO</c:v>
                </c:pt>
                <c:pt idx="7">
                  <c:v>MACAPÁ</c:v>
                </c:pt>
                <c:pt idx="8">
                  <c:v>CUIABÁ</c:v>
                </c:pt>
                <c:pt idx="9">
                  <c:v>BELO HORIZONTE</c:v>
                </c:pt>
                <c:pt idx="10">
                  <c:v>CURITIBA</c:v>
                </c:pt>
                <c:pt idx="11">
                  <c:v>BELÉM</c:v>
                </c:pt>
                <c:pt idx="12">
                  <c:v>MACEIÓ</c:v>
                </c:pt>
                <c:pt idx="13">
                  <c:v>FLORIANÓPOLIS</c:v>
                </c:pt>
                <c:pt idx="14">
                  <c:v>PALMAS</c:v>
                </c:pt>
                <c:pt idx="15">
                  <c:v>GOIÂNIA</c:v>
                </c:pt>
                <c:pt idx="16">
                  <c:v>SÃO LUIS</c:v>
                </c:pt>
                <c:pt idx="17">
                  <c:v>PORTO ALEGRE</c:v>
                </c:pt>
                <c:pt idx="18">
                  <c:v>NATAL</c:v>
                </c:pt>
                <c:pt idx="19">
                  <c:v>RIO BRANCO</c:v>
                </c:pt>
                <c:pt idx="20">
                  <c:v>RIO DE JANEIRO</c:v>
                </c:pt>
                <c:pt idx="21">
                  <c:v>ARACAJU</c:v>
                </c:pt>
                <c:pt idx="22">
                  <c:v>VITÓRIA</c:v>
                </c:pt>
                <c:pt idx="23">
                  <c:v>BOA VISTA</c:v>
                </c:pt>
                <c:pt idx="24">
                  <c:v>FORTALEZA</c:v>
                </c:pt>
                <c:pt idx="25">
                  <c:v>SÃO PAULO</c:v>
                </c:pt>
              </c:strCache>
            </c:strRef>
          </c:cat>
          <c:val>
            <c:numRef>
              <c:f>agg_capitais!$C$42:$C$67</c:f>
              <c:numCache>
                <c:formatCode>0%</c:formatCode>
                <c:ptCount val="26"/>
                <c:pt idx="0">
                  <c:v>8.8281700164744653E-2</c:v>
                </c:pt>
                <c:pt idx="1">
                  <c:v>0.23441788650701476</c:v>
                </c:pt>
                <c:pt idx="2">
                  <c:v>0.10306604184060569</c:v>
                </c:pt>
                <c:pt idx="3">
                  <c:v>0.123451491338434</c:v>
                </c:pt>
                <c:pt idx="4">
                  <c:v>9.6391821897581872E-2</c:v>
                </c:pt>
                <c:pt idx="5">
                  <c:v>0.10276243289224953</c:v>
                </c:pt>
                <c:pt idx="6">
                  <c:v>0.12047236938472426</c:v>
                </c:pt>
                <c:pt idx="7">
                  <c:v>0.10182563442841493</c:v>
                </c:pt>
                <c:pt idx="8">
                  <c:v>0.1036581081081081</c:v>
                </c:pt>
                <c:pt idx="9">
                  <c:v>9.9810201535508639E-2</c:v>
                </c:pt>
                <c:pt idx="10">
                  <c:v>9.8842355559151968E-2</c:v>
                </c:pt>
                <c:pt idx="11">
                  <c:v>0.1</c:v>
                </c:pt>
                <c:pt idx="12">
                  <c:v>0.10159210279546872</c:v>
                </c:pt>
                <c:pt idx="13">
                  <c:v>0.10134128166915052</c:v>
                </c:pt>
                <c:pt idx="14">
                  <c:v>9.5257748876803036E-2</c:v>
                </c:pt>
                <c:pt idx="15">
                  <c:v>9.2238452902002943E-2</c:v>
                </c:pt>
                <c:pt idx="16">
                  <c:v>9.9876488022444435E-2</c:v>
                </c:pt>
                <c:pt idx="17">
                  <c:v>9.5507903676128422E-2</c:v>
                </c:pt>
                <c:pt idx="18">
                  <c:v>0.10276998847926266</c:v>
                </c:pt>
                <c:pt idx="19">
                  <c:v>9.4178082191780824E-2</c:v>
                </c:pt>
                <c:pt idx="20">
                  <c:v>9.7191228037131719E-2</c:v>
                </c:pt>
                <c:pt idx="21">
                  <c:v>9.1973490216267037E-2</c:v>
                </c:pt>
                <c:pt idx="22">
                  <c:v>0.1003243840882948</c:v>
                </c:pt>
                <c:pt idx="23">
                  <c:v>7.4406304262965905E-2</c:v>
                </c:pt>
                <c:pt idx="24">
                  <c:v>3.5682809590604589E-2</c:v>
                </c:pt>
                <c:pt idx="25">
                  <c:v>6.869528573970779E-2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25-4C78-AEB8-2E18F571F920}"/>
            </c:ext>
          </c:extLst>
        </c:ser>
        <c:ser>
          <c:idx val="2"/>
          <c:order val="2"/>
          <c:tx>
            <c:strRef>
              <c:f>agg_capitais!$D$41</c:f>
              <c:strCache>
                <c:ptCount val="1"/>
                <c:pt idx="0">
                  <c:v>% Cotas Pessoa Negra 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agg_capitais!$A$42:$A$67</c:f>
              <c:strCache>
                <c:ptCount val="26"/>
                <c:pt idx="0">
                  <c:v>SALVADOR</c:v>
                </c:pt>
                <c:pt idx="1">
                  <c:v>MANAUS</c:v>
                </c:pt>
                <c:pt idx="2">
                  <c:v>RECIFE</c:v>
                </c:pt>
                <c:pt idx="3">
                  <c:v>TERESINA</c:v>
                </c:pt>
                <c:pt idx="4">
                  <c:v>CAMPO GRANDE</c:v>
                </c:pt>
                <c:pt idx="5">
                  <c:v>JOÃO PESSOA</c:v>
                </c:pt>
                <c:pt idx="6">
                  <c:v>PORTO VELHO</c:v>
                </c:pt>
                <c:pt idx="7">
                  <c:v>MACAPÁ</c:v>
                </c:pt>
                <c:pt idx="8">
                  <c:v>CUIABÁ</c:v>
                </c:pt>
                <c:pt idx="9">
                  <c:v>BELO HORIZONTE</c:v>
                </c:pt>
                <c:pt idx="10">
                  <c:v>CURITIBA</c:v>
                </c:pt>
                <c:pt idx="11">
                  <c:v>BELÉM</c:v>
                </c:pt>
                <c:pt idx="12">
                  <c:v>MACEIÓ</c:v>
                </c:pt>
                <c:pt idx="13">
                  <c:v>FLORIANÓPOLIS</c:v>
                </c:pt>
                <c:pt idx="14">
                  <c:v>PALMAS</c:v>
                </c:pt>
                <c:pt idx="15">
                  <c:v>GOIÂNIA</c:v>
                </c:pt>
                <c:pt idx="16">
                  <c:v>SÃO LUIS</c:v>
                </c:pt>
                <c:pt idx="17">
                  <c:v>PORTO ALEGRE</c:v>
                </c:pt>
                <c:pt idx="18">
                  <c:v>NATAL</c:v>
                </c:pt>
                <c:pt idx="19">
                  <c:v>RIO BRANCO</c:v>
                </c:pt>
                <c:pt idx="20">
                  <c:v>RIO DE JANEIRO</c:v>
                </c:pt>
                <c:pt idx="21">
                  <c:v>ARACAJU</c:v>
                </c:pt>
                <c:pt idx="22">
                  <c:v>VITÓRIA</c:v>
                </c:pt>
                <c:pt idx="23">
                  <c:v>BOA VISTA</c:v>
                </c:pt>
                <c:pt idx="24">
                  <c:v>FORTALEZA</c:v>
                </c:pt>
                <c:pt idx="25">
                  <c:v>SÃO PAULO</c:v>
                </c:pt>
              </c:strCache>
            </c:strRef>
          </c:cat>
          <c:val>
            <c:numRef>
              <c:f>agg_capitais!$D$42:$D$67</c:f>
              <c:numCache>
                <c:formatCode>0%</c:formatCode>
                <c:ptCount val="26"/>
                <c:pt idx="0">
                  <c:v>0.49956068094453598</c:v>
                </c:pt>
                <c:pt idx="1">
                  <c:v>0.23441788650701476</c:v>
                </c:pt>
                <c:pt idx="2">
                  <c:v>0.3015330214130596</c:v>
                </c:pt>
                <c:pt idx="3">
                  <c:v>0.23855573765054286</c:v>
                </c:pt>
                <c:pt idx="4">
                  <c:v>0.25179060778200918</c:v>
                </c:pt>
                <c:pt idx="5">
                  <c:v>0.27167580529300567</c:v>
                </c:pt>
                <c:pt idx="6">
                  <c:v>0.25267301627220867</c:v>
                </c:pt>
                <c:pt idx="7">
                  <c:v>0.25463754010502793</c:v>
                </c:pt>
                <c:pt idx="8">
                  <c:v>0.25260108918918922</c:v>
                </c:pt>
                <c:pt idx="9">
                  <c:v>0.25162031733845169</c:v>
                </c:pt>
                <c:pt idx="10">
                  <c:v>0.25113494416572263</c:v>
                </c:pt>
                <c:pt idx="11">
                  <c:v>0.25</c:v>
                </c:pt>
                <c:pt idx="12">
                  <c:v>0.24541668828296642</c:v>
                </c:pt>
                <c:pt idx="13">
                  <c:v>0.24143070044709389</c:v>
                </c:pt>
                <c:pt idx="14">
                  <c:v>0.2528554126270986</c:v>
                </c:pt>
                <c:pt idx="15">
                  <c:v>0.25542955876423429</c:v>
                </c:pt>
                <c:pt idx="16">
                  <c:v>0.24409887921732248</c:v>
                </c:pt>
                <c:pt idx="17">
                  <c:v>0.23143564564913915</c:v>
                </c:pt>
                <c:pt idx="18">
                  <c:v>0.2385449212749616</c:v>
                </c:pt>
                <c:pt idx="19">
                  <c:v>0.22246383806262232</c:v>
                </c:pt>
                <c:pt idx="20">
                  <c:v>0.21329105556302974</c:v>
                </c:pt>
                <c:pt idx="21">
                  <c:v>0.22302692140606989</c:v>
                </c:pt>
                <c:pt idx="22">
                  <c:v>0.22332464893958864</c:v>
                </c:pt>
                <c:pt idx="23">
                  <c:v>0.21125434945013527</c:v>
                </c:pt>
                <c:pt idx="24">
                  <c:v>0.14658283368652342</c:v>
                </c:pt>
                <c:pt idx="25">
                  <c:v>0.15117293526751471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25-4C78-AEB8-2E18F571F920}"/>
            </c:ext>
          </c:extLst>
        </c:ser>
        <c:ser>
          <c:idx val="3"/>
          <c:order val="3"/>
          <c:tx>
            <c:strRef>
              <c:f>agg_capitais!$E$41</c:f>
              <c:strCache>
                <c:ptCount val="1"/>
                <c:pt idx="0">
                  <c:v> Soma 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agg_capitais!$A$42:$A$67</c:f>
              <c:strCache>
                <c:ptCount val="26"/>
                <c:pt idx="0">
                  <c:v>SALVADOR</c:v>
                </c:pt>
                <c:pt idx="1">
                  <c:v>MANAUS</c:v>
                </c:pt>
                <c:pt idx="2">
                  <c:v>RECIFE</c:v>
                </c:pt>
                <c:pt idx="3">
                  <c:v>TERESINA</c:v>
                </c:pt>
                <c:pt idx="4">
                  <c:v>CAMPO GRANDE</c:v>
                </c:pt>
                <c:pt idx="5">
                  <c:v>JOÃO PESSOA</c:v>
                </c:pt>
                <c:pt idx="6">
                  <c:v>PORTO VELHO</c:v>
                </c:pt>
                <c:pt idx="7">
                  <c:v>MACAPÁ</c:v>
                </c:pt>
                <c:pt idx="8">
                  <c:v>CUIABÁ</c:v>
                </c:pt>
                <c:pt idx="9">
                  <c:v>BELO HORIZONTE</c:v>
                </c:pt>
                <c:pt idx="10">
                  <c:v>CURITIBA</c:v>
                </c:pt>
                <c:pt idx="11">
                  <c:v>BELÉM</c:v>
                </c:pt>
                <c:pt idx="12">
                  <c:v>MACEIÓ</c:v>
                </c:pt>
                <c:pt idx="13">
                  <c:v>FLORIANÓPOLIS</c:v>
                </c:pt>
                <c:pt idx="14">
                  <c:v>PALMAS</c:v>
                </c:pt>
                <c:pt idx="15">
                  <c:v>GOIÂNIA</c:v>
                </c:pt>
                <c:pt idx="16">
                  <c:v>SÃO LUIS</c:v>
                </c:pt>
                <c:pt idx="17">
                  <c:v>PORTO ALEGRE</c:v>
                </c:pt>
                <c:pt idx="18">
                  <c:v>NATAL</c:v>
                </c:pt>
                <c:pt idx="19">
                  <c:v>RIO BRANCO</c:v>
                </c:pt>
                <c:pt idx="20">
                  <c:v>RIO DE JANEIRO</c:v>
                </c:pt>
                <c:pt idx="21">
                  <c:v>ARACAJU</c:v>
                </c:pt>
                <c:pt idx="22">
                  <c:v>VITÓRIA</c:v>
                </c:pt>
                <c:pt idx="23">
                  <c:v>BOA VISTA</c:v>
                </c:pt>
                <c:pt idx="24">
                  <c:v>FORTALEZA</c:v>
                </c:pt>
                <c:pt idx="25">
                  <c:v>SÃO PAULO</c:v>
                </c:pt>
              </c:strCache>
            </c:strRef>
          </c:cat>
          <c:val>
            <c:numRef>
              <c:f>agg_capitais!$E$42:$E$67</c:f>
              <c:numCache>
                <c:formatCode>0%</c:formatCode>
                <c:ptCount val="26"/>
                <c:pt idx="0">
                  <c:v>0.63710861998901702</c:v>
                </c:pt>
                <c:pt idx="1">
                  <c:v>0.5239051458883176</c:v>
                </c:pt>
                <c:pt idx="2">
                  <c:v>0.45366830095681732</c:v>
                </c:pt>
                <c:pt idx="3">
                  <c:v>0.44436121414388419</c:v>
                </c:pt>
                <c:pt idx="4">
                  <c:v>0.43249606768699739</c:v>
                </c:pt>
                <c:pt idx="5">
                  <c:v>0.4258688941398866</c:v>
                </c:pt>
                <c:pt idx="6">
                  <c:v>0.41165705081516729</c:v>
                </c:pt>
                <c:pt idx="7">
                  <c:v>0.40381278854331859</c:v>
                </c:pt>
                <c:pt idx="8">
                  <c:v>0.40154406756756761</c:v>
                </c:pt>
                <c:pt idx="9">
                  <c:v>0.40133561932181705</c:v>
                </c:pt>
                <c:pt idx="10">
                  <c:v>0.40062259669849493</c:v>
                </c:pt>
                <c:pt idx="11">
                  <c:v>0.4</c:v>
                </c:pt>
                <c:pt idx="12">
                  <c:v>0.39990013798274582</c:v>
                </c:pt>
                <c:pt idx="13">
                  <c:v>0.3979135618479881</c:v>
                </c:pt>
                <c:pt idx="14">
                  <c:v>0.39337741310002361</c:v>
                </c:pt>
                <c:pt idx="15">
                  <c:v>0.39287050071842355</c:v>
                </c:pt>
                <c:pt idx="16">
                  <c:v>0.38476393352996185</c:v>
                </c:pt>
                <c:pt idx="17">
                  <c:v>0.37702416472778039</c:v>
                </c:pt>
                <c:pt idx="18">
                  <c:v>0.37316778033794162</c:v>
                </c:pt>
                <c:pt idx="19">
                  <c:v>0.36800062377690801</c:v>
                </c:pt>
                <c:pt idx="20">
                  <c:v>0.36260944625319524</c:v>
                </c:pt>
                <c:pt idx="21">
                  <c:v>0.35408035259587278</c:v>
                </c:pt>
                <c:pt idx="22">
                  <c:v>0.35130947581019861</c:v>
                </c:pt>
                <c:pt idx="23">
                  <c:v>0.32286380584458413</c:v>
                </c:pt>
                <c:pt idx="24">
                  <c:v>0.27648121462050085</c:v>
                </c:pt>
                <c:pt idx="25">
                  <c:v>0.24418787485502846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25-4C78-AEB8-2E18F571F92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102070271"/>
        <c:axId val="840733919"/>
      </c:barChart>
      <c:catAx>
        <c:axId val="1102070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0733919"/>
        <c:crosses val="autoZero"/>
        <c:auto val="1"/>
        <c:lblAlgn val="ctr"/>
        <c:lblOffset val="100"/>
        <c:noMultiLvlLbl val="0"/>
      </c:catAx>
      <c:valAx>
        <c:axId val="840733919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207027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agg_capitais_negras!$B$41</c:f>
              <c:strCache>
                <c:ptCount val="1"/>
                <c:pt idx="0">
                  <c:v> Valor Cotas Pessoa Negra (R$) 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agg_capitais_negras!$A$42:$A$67</c:f>
              <c:strCache>
                <c:ptCount val="26"/>
                <c:pt idx="0">
                  <c:v>SALVADOR</c:v>
                </c:pt>
                <c:pt idx="1">
                  <c:v>RECIFE</c:v>
                </c:pt>
                <c:pt idx="2">
                  <c:v>JOÃO PESSOA</c:v>
                </c:pt>
                <c:pt idx="3">
                  <c:v>GOIÂNIA</c:v>
                </c:pt>
                <c:pt idx="4">
                  <c:v>MACAPÁ</c:v>
                </c:pt>
                <c:pt idx="5">
                  <c:v>PALMAS</c:v>
                </c:pt>
                <c:pt idx="6">
                  <c:v>PORTO VELHO</c:v>
                </c:pt>
                <c:pt idx="7">
                  <c:v>CUIABÁ</c:v>
                </c:pt>
                <c:pt idx="8">
                  <c:v>CAMPO GRANDE</c:v>
                </c:pt>
                <c:pt idx="9">
                  <c:v>BELO HORIZONTE</c:v>
                </c:pt>
                <c:pt idx="10">
                  <c:v>CURITIBA</c:v>
                </c:pt>
                <c:pt idx="11">
                  <c:v>BELÉM</c:v>
                </c:pt>
                <c:pt idx="12">
                  <c:v>MACEIÓ</c:v>
                </c:pt>
                <c:pt idx="13">
                  <c:v>SÃO LUIS</c:v>
                </c:pt>
                <c:pt idx="14">
                  <c:v>FLORIANÓPOLIS</c:v>
                </c:pt>
                <c:pt idx="15">
                  <c:v>TERESINA</c:v>
                </c:pt>
                <c:pt idx="16">
                  <c:v>NATAL</c:v>
                </c:pt>
                <c:pt idx="17">
                  <c:v>MANAUS</c:v>
                </c:pt>
                <c:pt idx="18">
                  <c:v>PORTO ALEGRE</c:v>
                </c:pt>
                <c:pt idx="19">
                  <c:v>VITÓRIA</c:v>
                </c:pt>
                <c:pt idx="20">
                  <c:v>ARACAJU</c:v>
                </c:pt>
                <c:pt idx="21">
                  <c:v>RIO BRANCO</c:v>
                </c:pt>
                <c:pt idx="22">
                  <c:v>RIO DE JANEIRO</c:v>
                </c:pt>
                <c:pt idx="23">
                  <c:v>BOA VISTA</c:v>
                </c:pt>
                <c:pt idx="24">
                  <c:v>SÃO PAULO</c:v>
                </c:pt>
                <c:pt idx="25">
                  <c:v>FORTALEZA</c:v>
                </c:pt>
              </c:strCache>
            </c:strRef>
          </c:cat>
          <c:val>
            <c:numRef>
              <c:f>agg_capitais_negras!$B$42:$B$67</c:f>
              <c:numCache>
                <c:formatCode>_("R$"* #,##0.00_);_("R$"* \(#,##0.00\);_("R$"* "-"??_);_(@_)</c:formatCode>
                <c:ptCount val="26"/>
                <c:pt idx="0">
                  <c:v>9097000</c:v>
                </c:pt>
                <c:pt idx="1">
                  <c:v>3059653.94</c:v>
                </c:pt>
                <c:pt idx="2">
                  <c:v>1437165.01</c:v>
                </c:pt>
                <c:pt idx="3">
                  <c:v>2331420.59</c:v>
                </c:pt>
                <c:pt idx="4">
                  <c:v>646334.77</c:v>
                </c:pt>
                <c:pt idx="5">
                  <c:v>534662.77</c:v>
                </c:pt>
                <c:pt idx="6">
                  <c:v>928019.66</c:v>
                </c:pt>
                <c:pt idx="7">
                  <c:v>934624.03</c:v>
                </c:pt>
                <c:pt idx="8">
                  <c:v>1671597.76</c:v>
                </c:pt>
                <c:pt idx="9">
                  <c:v>3932825.56</c:v>
                </c:pt>
                <c:pt idx="10">
                  <c:v>3103525.64</c:v>
                </c:pt>
                <c:pt idx="11">
                  <c:v>1306022.25</c:v>
                </c:pt>
                <c:pt idx="12">
                  <c:v>1624470.34</c:v>
                </c:pt>
                <c:pt idx="13">
                  <c:v>1696609.26</c:v>
                </c:pt>
                <c:pt idx="14">
                  <c:v>810000</c:v>
                </c:pt>
                <c:pt idx="15">
                  <c:v>1300846.52</c:v>
                </c:pt>
                <c:pt idx="16">
                  <c:v>1242341.95</c:v>
                </c:pt>
                <c:pt idx="17">
                  <c:v>3133430.4</c:v>
                </c:pt>
                <c:pt idx="18">
                  <c:v>1989420.81</c:v>
                </c:pt>
                <c:pt idx="19">
                  <c:v>522704.45</c:v>
                </c:pt>
                <c:pt idx="20">
                  <c:v>847521.33</c:v>
                </c:pt>
                <c:pt idx="21">
                  <c:v>909432.17</c:v>
                </c:pt>
                <c:pt idx="22">
                  <c:v>7926962.0800000001</c:v>
                </c:pt>
                <c:pt idx="23">
                  <c:v>753326.25</c:v>
                </c:pt>
                <c:pt idx="24">
                  <c:v>9854238.0199999996</c:v>
                </c:pt>
                <c:pt idx="25">
                  <c:v>1378039.01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8-4889-8F70-CC30AEFF2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3645375"/>
        <c:axId val="840728927"/>
      </c:barChart>
      <c:lineChart>
        <c:grouping val="standard"/>
        <c:varyColors val="0"/>
        <c:ser>
          <c:idx val="1"/>
          <c:order val="1"/>
          <c:tx>
            <c:strRef>
              <c:f>agg_capitais_negras!$C$41</c:f>
              <c:strCache>
                <c:ptCount val="1"/>
                <c:pt idx="0">
                  <c:v>% Valor Pessoa Negra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agg_capitais_negras!$A$42:$A$67</c:f>
              <c:strCache>
                <c:ptCount val="26"/>
                <c:pt idx="0">
                  <c:v>SALVADOR</c:v>
                </c:pt>
                <c:pt idx="1">
                  <c:v>RECIFE</c:v>
                </c:pt>
                <c:pt idx="2">
                  <c:v>JOÃO PESSOA</c:v>
                </c:pt>
                <c:pt idx="3">
                  <c:v>GOIÂNIA</c:v>
                </c:pt>
                <c:pt idx="4">
                  <c:v>MACAPÁ</c:v>
                </c:pt>
                <c:pt idx="5">
                  <c:v>PALMAS</c:v>
                </c:pt>
                <c:pt idx="6">
                  <c:v>PORTO VELHO</c:v>
                </c:pt>
                <c:pt idx="7">
                  <c:v>CUIABÁ</c:v>
                </c:pt>
                <c:pt idx="8">
                  <c:v>CAMPO GRANDE</c:v>
                </c:pt>
                <c:pt idx="9">
                  <c:v>BELO HORIZONTE</c:v>
                </c:pt>
                <c:pt idx="10">
                  <c:v>CURITIBA</c:v>
                </c:pt>
                <c:pt idx="11">
                  <c:v>BELÉM</c:v>
                </c:pt>
                <c:pt idx="12">
                  <c:v>MACEIÓ</c:v>
                </c:pt>
                <c:pt idx="13">
                  <c:v>SÃO LUIS</c:v>
                </c:pt>
                <c:pt idx="14">
                  <c:v>FLORIANÓPOLIS</c:v>
                </c:pt>
                <c:pt idx="15">
                  <c:v>TERESINA</c:v>
                </c:pt>
                <c:pt idx="16">
                  <c:v>NATAL</c:v>
                </c:pt>
                <c:pt idx="17">
                  <c:v>MANAUS</c:v>
                </c:pt>
                <c:pt idx="18">
                  <c:v>PORTO ALEGRE</c:v>
                </c:pt>
                <c:pt idx="19">
                  <c:v>VITÓRIA</c:v>
                </c:pt>
                <c:pt idx="20">
                  <c:v>ARACAJU</c:v>
                </c:pt>
                <c:pt idx="21">
                  <c:v>RIO BRANCO</c:v>
                </c:pt>
                <c:pt idx="22">
                  <c:v>RIO DE JANEIRO</c:v>
                </c:pt>
                <c:pt idx="23">
                  <c:v>BOA VISTA</c:v>
                </c:pt>
                <c:pt idx="24">
                  <c:v>SÃO PAULO</c:v>
                </c:pt>
                <c:pt idx="25">
                  <c:v>FORTALEZA</c:v>
                </c:pt>
              </c:strCache>
            </c:strRef>
          </c:cat>
          <c:val>
            <c:numRef>
              <c:f>agg_capitais_negras!$C$42:$C$67</c:f>
              <c:numCache>
                <c:formatCode>0%</c:formatCode>
                <c:ptCount val="26"/>
                <c:pt idx="0">
                  <c:v>0.49956068094453598</c:v>
                </c:pt>
                <c:pt idx="1">
                  <c:v>0.3015330214130596</c:v>
                </c:pt>
                <c:pt idx="2">
                  <c:v>0.27167580529300567</c:v>
                </c:pt>
                <c:pt idx="3">
                  <c:v>0.25542955876423429</c:v>
                </c:pt>
                <c:pt idx="4">
                  <c:v>0.25463754010502793</c:v>
                </c:pt>
                <c:pt idx="5">
                  <c:v>0.2528554126270986</c:v>
                </c:pt>
                <c:pt idx="6">
                  <c:v>0.25267301627220867</c:v>
                </c:pt>
                <c:pt idx="7">
                  <c:v>0.25260108918918922</c:v>
                </c:pt>
                <c:pt idx="8">
                  <c:v>0.25179060778200918</c:v>
                </c:pt>
                <c:pt idx="9">
                  <c:v>0.25162031733845169</c:v>
                </c:pt>
                <c:pt idx="10">
                  <c:v>0.25113494416572263</c:v>
                </c:pt>
                <c:pt idx="11">
                  <c:v>0.25</c:v>
                </c:pt>
                <c:pt idx="12">
                  <c:v>0.24541668828296642</c:v>
                </c:pt>
                <c:pt idx="13">
                  <c:v>0.24409887921732248</c:v>
                </c:pt>
                <c:pt idx="14">
                  <c:v>0.24143070044709389</c:v>
                </c:pt>
                <c:pt idx="15">
                  <c:v>0.23855573765054286</c:v>
                </c:pt>
                <c:pt idx="16">
                  <c:v>0.2385449212749616</c:v>
                </c:pt>
                <c:pt idx="17">
                  <c:v>0.23441788650701476</c:v>
                </c:pt>
                <c:pt idx="18">
                  <c:v>0.23143564564913915</c:v>
                </c:pt>
                <c:pt idx="19">
                  <c:v>0.22332464893958864</c:v>
                </c:pt>
                <c:pt idx="20">
                  <c:v>0.22302692140606989</c:v>
                </c:pt>
                <c:pt idx="21">
                  <c:v>0.22246383806262232</c:v>
                </c:pt>
                <c:pt idx="22">
                  <c:v>0.21329105556302974</c:v>
                </c:pt>
                <c:pt idx="23">
                  <c:v>0.21125434945013527</c:v>
                </c:pt>
                <c:pt idx="24">
                  <c:v>0.15117293526751471</c:v>
                </c:pt>
                <c:pt idx="25">
                  <c:v>0.14658283368652342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78-4889-8F70-CC30AEFF2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657375"/>
        <c:axId val="840729343"/>
      </c:lineChart>
      <c:catAx>
        <c:axId val="97364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0728927"/>
        <c:crosses val="autoZero"/>
        <c:auto val="1"/>
        <c:lblAlgn val="ctr"/>
        <c:lblOffset val="100"/>
        <c:noMultiLvlLbl val="0"/>
      </c:catAx>
      <c:valAx>
        <c:axId val="84072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3645375"/>
        <c:crosses val="autoZero"/>
        <c:crossBetween val="between"/>
      </c:valAx>
      <c:valAx>
        <c:axId val="84072934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3657375"/>
        <c:crosses val="max"/>
        <c:crossBetween val="between"/>
      </c:valAx>
      <c:catAx>
        <c:axId val="9736573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072934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agg_capitais_indígenas!$B$41</c:f>
              <c:strCache>
                <c:ptCount val="1"/>
                <c:pt idx="0">
                  <c:v> Valor Cotas Pessoa Indígena (R$)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agg_capitais_indígenas!$A$42:$A$67</c:f>
              <c:strCache>
                <c:ptCount val="26"/>
                <c:pt idx="0">
                  <c:v>MANAUS</c:v>
                </c:pt>
                <c:pt idx="1">
                  <c:v>TERESINA</c:v>
                </c:pt>
                <c:pt idx="2">
                  <c:v>PORTO VELHO</c:v>
                </c:pt>
                <c:pt idx="3">
                  <c:v>CUIABÁ</c:v>
                </c:pt>
                <c:pt idx="4">
                  <c:v>RECIFE</c:v>
                </c:pt>
                <c:pt idx="5">
                  <c:v>NATAL</c:v>
                </c:pt>
                <c:pt idx="6">
                  <c:v>JOÃO PESSOA</c:v>
                </c:pt>
                <c:pt idx="7">
                  <c:v>MACAPÁ</c:v>
                </c:pt>
                <c:pt idx="8">
                  <c:v>MACEIÓ</c:v>
                </c:pt>
                <c:pt idx="9">
                  <c:v>FLORIANÓPOLIS</c:v>
                </c:pt>
                <c:pt idx="10">
                  <c:v>VITÓRIA</c:v>
                </c:pt>
                <c:pt idx="11">
                  <c:v>BELÉM</c:v>
                </c:pt>
                <c:pt idx="12">
                  <c:v>SÃO LUIS</c:v>
                </c:pt>
                <c:pt idx="13">
                  <c:v>BELO HORIZONTE</c:v>
                </c:pt>
                <c:pt idx="14">
                  <c:v>CURITIBA</c:v>
                </c:pt>
                <c:pt idx="15">
                  <c:v>RIO DE JANEIRO</c:v>
                </c:pt>
                <c:pt idx="16">
                  <c:v>CAMPO GRANDE</c:v>
                </c:pt>
                <c:pt idx="17">
                  <c:v>PORTO ALEGRE</c:v>
                </c:pt>
                <c:pt idx="18">
                  <c:v>PALMAS</c:v>
                </c:pt>
                <c:pt idx="19">
                  <c:v>RIO BRANCO</c:v>
                </c:pt>
                <c:pt idx="20">
                  <c:v>GOIÂNIA</c:v>
                </c:pt>
                <c:pt idx="21">
                  <c:v>ARACAJU</c:v>
                </c:pt>
                <c:pt idx="22">
                  <c:v>SALVADOR</c:v>
                </c:pt>
                <c:pt idx="23">
                  <c:v>BOA VISTA</c:v>
                </c:pt>
                <c:pt idx="24">
                  <c:v>SÃO PAULO</c:v>
                </c:pt>
                <c:pt idx="25">
                  <c:v>FORTALEZA</c:v>
                </c:pt>
              </c:strCache>
            </c:strRef>
          </c:cat>
          <c:val>
            <c:numRef>
              <c:f>agg_capitais_indígenas!$B$42:$B$67</c:f>
              <c:numCache>
                <c:formatCode>_-"R$"\ * #,##0_-;\-"R$"\ * #,##0_-;_-"R$"\ * "-"??_-;_-@_-</c:formatCode>
                <c:ptCount val="26"/>
                <c:pt idx="0">
                  <c:v>442471.97</c:v>
                </c:pt>
                <c:pt idx="1">
                  <c:v>201422.51</c:v>
                </c:pt>
                <c:pt idx="2">
                  <c:v>1221493.83</c:v>
                </c:pt>
                <c:pt idx="3">
                  <c:v>340000</c:v>
                </c:pt>
                <c:pt idx="4">
                  <c:v>522408.9</c:v>
                </c:pt>
                <c:pt idx="5">
                  <c:v>820985.94</c:v>
                </c:pt>
                <c:pt idx="6">
                  <c:v>1560033.45</c:v>
                </c:pt>
                <c:pt idx="7">
                  <c:v>639929.96</c:v>
                </c:pt>
                <c:pt idx="8">
                  <c:v>672461.84</c:v>
                </c:pt>
                <c:pt idx="9">
                  <c:v>535226.1</c:v>
                </c:pt>
                <c:pt idx="10">
                  <c:v>385000</c:v>
                </c:pt>
                <c:pt idx="11">
                  <c:v>258459.33</c:v>
                </c:pt>
                <c:pt idx="12">
                  <c:v>3133430.4</c:v>
                </c:pt>
                <c:pt idx="13">
                  <c:v>841901.89</c:v>
                </c:pt>
                <c:pt idx="14">
                  <c:v>543613.27</c:v>
                </c:pt>
                <c:pt idx="15">
                  <c:v>694191.53</c:v>
                </c:pt>
                <c:pt idx="16">
                  <c:v>335457.45</c:v>
                </c:pt>
                <c:pt idx="17">
                  <c:v>1045810.57</c:v>
                </c:pt>
                <c:pt idx="18">
                  <c:v>383535</c:v>
                </c:pt>
                <c:pt idx="19">
                  <c:v>1607609.76</c:v>
                </c:pt>
                <c:pt idx="20">
                  <c:v>265330.5</c:v>
                </c:pt>
                <c:pt idx="21">
                  <c:v>3612111.99</c:v>
                </c:pt>
                <c:pt idx="22">
                  <c:v>349507.11</c:v>
                </c:pt>
                <c:pt idx="23">
                  <c:v>4477915.9400000004</c:v>
                </c:pt>
                <c:pt idx="24">
                  <c:v>673182.06</c:v>
                </c:pt>
                <c:pt idx="25">
                  <c:v>234815.11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D-4B1A-B5EF-332216A8B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3645375"/>
        <c:axId val="840728927"/>
      </c:barChart>
      <c:lineChart>
        <c:grouping val="standard"/>
        <c:varyColors val="0"/>
        <c:ser>
          <c:idx val="1"/>
          <c:order val="1"/>
          <c:tx>
            <c:strRef>
              <c:f>agg_capitais_indígenas!$C$41</c:f>
              <c:strCache>
                <c:ptCount val="1"/>
                <c:pt idx="0">
                  <c:v>% Valor  Pessoa Indígena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agg_capitais_indígenas!$A$42:$A$67</c:f>
              <c:strCache>
                <c:ptCount val="26"/>
                <c:pt idx="0">
                  <c:v>MANAUS</c:v>
                </c:pt>
                <c:pt idx="1">
                  <c:v>TERESINA</c:v>
                </c:pt>
                <c:pt idx="2">
                  <c:v>PORTO VELHO</c:v>
                </c:pt>
                <c:pt idx="3">
                  <c:v>CUIABÁ</c:v>
                </c:pt>
                <c:pt idx="4">
                  <c:v>RECIFE</c:v>
                </c:pt>
                <c:pt idx="5">
                  <c:v>NATAL</c:v>
                </c:pt>
                <c:pt idx="6">
                  <c:v>JOÃO PESSOA</c:v>
                </c:pt>
                <c:pt idx="7">
                  <c:v>MACAPÁ</c:v>
                </c:pt>
                <c:pt idx="8">
                  <c:v>MACEIÓ</c:v>
                </c:pt>
                <c:pt idx="9">
                  <c:v>FLORIANÓPOLIS</c:v>
                </c:pt>
                <c:pt idx="10">
                  <c:v>VITÓRIA</c:v>
                </c:pt>
                <c:pt idx="11">
                  <c:v>BELÉM</c:v>
                </c:pt>
                <c:pt idx="12">
                  <c:v>SÃO LUIS</c:v>
                </c:pt>
                <c:pt idx="13">
                  <c:v>BELO HORIZONTE</c:v>
                </c:pt>
                <c:pt idx="14">
                  <c:v>CURITIBA</c:v>
                </c:pt>
                <c:pt idx="15">
                  <c:v>RIO DE JANEIRO</c:v>
                </c:pt>
                <c:pt idx="16">
                  <c:v>CAMPO GRANDE</c:v>
                </c:pt>
                <c:pt idx="17">
                  <c:v>PORTO ALEGRE</c:v>
                </c:pt>
                <c:pt idx="18">
                  <c:v>PALMAS</c:v>
                </c:pt>
                <c:pt idx="19">
                  <c:v>RIO BRANCO</c:v>
                </c:pt>
                <c:pt idx="20">
                  <c:v>GOIÂNIA</c:v>
                </c:pt>
                <c:pt idx="21">
                  <c:v>ARACAJU</c:v>
                </c:pt>
                <c:pt idx="22">
                  <c:v>SALVADOR</c:v>
                </c:pt>
                <c:pt idx="23">
                  <c:v>BOA VISTA</c:v>
                </c:pt>
                <c:pt idx="24">
                  <c:v>SÃO PAULO</c:v>
                </c:pt>
                <c:pt idx="25">
                  <c:v>FORTALEZA</c:v>
                </c:pt>
              </c:strCache>
            </c:strRef>
          </c:cat>
          <c:val>
            <c:numRef>
              <c:f>agg_capitais_indígenas!$C$42:$C$67</c:f>
              <c:numCache>
                <c:formatCode>0%</c:formatCode>
                <c:ptCount val="26"/>
                <c:pt idx="0">
                  <c:v>0.23441788650701476</c:v>
                </c:pt>
                <c:pt idx="1">
                  <c:v>0.123451491338434</c:v>
                </c:pt>
                <c:pt idx="2">
                  <c:v>0.12047236938472426</c:v>
                </c:pt>
                <c:pt idx="3">
                  <c:v>0.1036581081081081</c:v>
                </c:pt>
                <c:pt idx="4">
                  <c:v>0.10306604184060569</c:v>
                </c:pt>
                <c:pt idx="5">
                  <c:v>0.10276998847926266</c:v>
                </c:pt>
                <c:pt idx="6">
                  <c:v>0.10276243289224953</c:v>
                </c:pt>
                <c:pt idx="7">
                  <c:v>0.10182563442841493</c:v>
                </c:pt>
                <c:pt idx="8">
                  <c:v>0.10159210279546872</c:v>
                </c:pt>
                <c:pt idx="9">
                  <c:v>0.10134128166915052</c:v>
                </c:pt>
                <c:pt idx="10">
                  <c:v>0.1003243840882948</c:v>
                </c:pt>
                <c:pt idx="11">
                  <c:v>0.1</c:v>
                </c:pt>
                <c:pt idx="12">
                  <c:v>9.9876488022444435E-2</c:v>
                </c:pt>
                <c:pt idx="13">
                  <c:v>9.9810201535508639E-2</c:v>
                </c:pt>
                <c:pt idx="14">
                  <c:v>9.8842355559151968E-2</c:v>
                </c:pt>
                <c:pt idx="15">
                  <c:v>9.7191228037131719E-2</c:v>
                </c:pt>
                <c:pt idx="16">
                  <c:v>9.6391821897581872E-2</c:v>
                </c:pt>
                <c:pt idx="17">
                  <c:v>9.5507903676128422E-2</c:v>
                </c:pt>
                <c:pt idx="18">
                  <c:v>9.5257748876803036E-2</c:v>
                </c:pt>
                <c:pt idx="19">
                  <c:v>9.4178082191780824E-2</c:v>
                </c:pt>
                <c:pt idx="20">
                  <c:v>9.2238452902002943E-2</c:v>
                </c:pt>
                <c:pt idx="21">
                  <c:v>9.1973490216267037E-2</c:v>
                </c:pt>
                <c:pt idx="22">
                  <c:v>8.8281700164744653E-2</c:v>
                </c:pt>
                <c:pt idx="23">
                  <c:v>7.4406304262965905E-2</c:v>
                </c:pt>
                <c:pt idx="24">
                  <c:v>6.869528573970779E-2</c:v>
                </c:pt>
                <c:pt idx="25">
                  <c:v>3.5682809590604589E-2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8D-4B1A-B5EF-332216A8B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657375"/>
        <c:axId val="840729343"/>
      </c:lineChart>
      <c:catAx>
        <c:axId val="97364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0728927"/>
        <c:crosses val="autoZero"/>
        <c:auto val="1"/>
        <c:lblAlgn val="ctr"/>
        <c:lblOffset val="100"/>
        <c:noMultiLvlLbl val="0"/>
      </c:catAx>
      <c:valAx>
        <c:axId val="84072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_-;\-&quot;R$&quot;\ * #,##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3645375"/>
        <c:crosses val="autoZero"/>
        <c:crossBetween val="between"/>
      </c:valAx>
      <c:valAx>
        <c:axId val="84072934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3657375"/>
        <c:crosses val="max"/>
        <c:crossBetween val="between"/>
      </c:valAx>
      <c:catAx>
        <c:axId val="9736573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07293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agg_capitais_PCD!$B$41</c:f>
              <c:strCache>
                <c:ptCount val="1"/>
                <c:pt idx="0">
                  <c:v> Valor Cotas Pessoa Indígena (R$)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agg_capitais_PCD!$A$42:$A$67</c:f>
              <c:strCache>
                <c:ptCount val="26"/>
                <c:pt idx="0">
                  <c:v>FORTALEZA</c:v>
                </c:pt>
                <c:pt idx="1">
                  <c:v>CAMPO GRANDE</c:v>
                </c:pt>
                <c:pt idx="2">
                  <c:v>TERESINA</c:v>
                </c:pt>
                <c:pt idx="3">
                  <c:v>FLORIANÓPOLIS</c:v>
                </c:pt>
                <c:pt idx="4">
                  <c:v>MANAUS</c:v>
                </c:pt>
                <c:pt idx="5">
                  <c:v>MACEIÓ</c:v>
                </c:pt>
                <c:pt idx="6">
                  <c:v>RIO DE JANEIRO</c:v>
                </c:pt>
                <c:pt idx="7">
                  <c:v>JOÃO PESSOA</c:v>
                </c:pt>
                <c:pt idx="8">
                  <c:v>RIO BRANCO</c:v>
                </c:pt>
                <c:pt idx="9">
                  <c:v>CURITIBA</c:v>
                </c:pt>
                <c:pt idx="10">
                  <c:v>PORTO ALEGRE</c:v>
                </c:pt>
                <c:pt idx="11">
                  <c:v>BELÉM</c:v>
                </c:pt>
                <c:pt idx="12">
                  <c:v>BELO HORIZONTE</c:v>
                </c:pt>
                <c:pt idx="13">
                  <c:v>SALVADOR</c:v>
                </c:pt>
                <c:pt idx="14">
                  <c:v>RECIFE</c:v>
                </c:pt>
                <c:pt idx="15">
                  <c:v>MACAPÁ</c:v>
                </c:pt>
                <c:pt idx="16">
                  <c:v>CUIABÁ</c:v>
                </c:pt>
                <c:pt idx="17">
                  <c:v>PALMAS</c:v>
                </c:pt>
                <c:pt idx="18">
                  <c:v>GOIÂNIA</c:v>
                </c:pt>
                <c:pt idx="19">
                  <c:v>SÃO LUIS</c:v>
                </c:pt>
                <c:pt idx="20">
                  <c:v>ARACAJU</c:v>
                </c:pt>
                <c:pt idx="21">
                  <c:v>PORTO VELHO</c:v>
                </c:pt>
                <c:pt idx="22">
                  <c:v>BOA VISTA</c:v>
                </c:pt>
                <c:pt idx="23">
                  <c:v>NATAL</c:v>
                </c:pt>
                <c:pt idx="24">
                  <c:v>VITÓRIA</c:v>
                </c:pt>
                <c:pt idx="25">
                  <c:v>SÃO PAULO</c:v>
                </c:pt>
              </c:strCache>
            </c:strRef>
          </c:cat>
          <c:val>
            <c:numRef>
              <c:f>agg_capitais_PCD!$B$42:$B$67</c:f>
              <c:numCache>
                <c:formatCode>_-"R$"\ * #,##0_-;\-"R$"\ * #,##0_-;_-"R$"\ * "-"??_-;_-@_-</c:formatCode>
                <c:ptCount val="26"/>
                <c:pt idx="0">
                  <c:v>234815.11</c:v>
                </c:pt>
                <c:pt idx="1">
                  <c:v>335457.45</c:v>
                </c:pt>
                <c:pt idx="2">
                  <c:v>201422.51</c:v>
                </c:pt>
                <c:pt idx="3">
                  <c:v>535226.1</c:v>
                </c:pt>
                <c:pt idx="4">
                  <c:v>442471.97</c:v>
                </c:pt>
                <c:pt idx="5">
                  <c:v>672461.84</c:v>
                </c:pt>
                <c:pt idx="6">
                  <c:v>694191.53</c:v>
                </c:pt>
                <c:pt idx="7">
                  <c:v>1560033.45</c:v>
                </c:pt>
                <c:pt idx="8">
                  <c:v>1607609.76</c:v>
                </c:pt>
                <c:pt idx="9">
                  <c:v>543613.27</c:v>
                </c:pt>
                <c:pt idx="10">
                  <c:v>1045810.57</c:v>
                </c:pt>
                <c:pt idx="11">
                  <c:v>258459.33</c:v>
                </c:pt>
                <c:pt idx="12">
                  <c:v>841901.89</c:v>
                </c:pt>
                <c:pt idx="13">
                  <c:v>349507.11</c:v>
                </c:pt>
                <c:pt idx="14">
                  <c:v>522408.9</c:v>
                </c:pt>
                <c:pt idx="15">
                  <c:v>639929.96</c:v>
                </c:pt>
                <c:pt idx="16">
                  <c:v>340000</c:v>
                </c:pt>
                <c:pt idx="17">
                  <c:v>383535</c:v>
                </c:pt>
                <c:pt idx="18">
                  <c:v>265330.5</c:v>
                </c:pt>
                <c:pt idx="19">
                  <c:v>3133430.4</c:v>
                </c:pt>
                <c:pt idx="20">
                  <c:v>3612111.99</c:v>
                </c:pt>
                <c:pt idx="21">
                  <c:v>1221493.83</c:v>
                </c:pt>
                <c:pt idx="22">
                  <c:v>4477915.9400000004</c:v>
                </c:pt>
                <c:pt idx="23">
                  <c:v>820985.94</c:v>
                </c:pt>
                <c:pt idx="24">
                  <c:v>385000</c:v>
                </c:pt>
                <c:pt idx="25">
                  <c:v>673182.06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8C-4AC6-8EF4-E2AFC3192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3645375"/>
        <c:axId val="840728927"/>
      </c:barChart>
      <c:lineChart>
        <c:grouping val="standard"/>
        <c:varyColors val="0"/>
        <c:ser>
          <c:idx val="1"/>
          <c:order val="1"/>
          <c:tx>
            <c:strRef>
              <c:f>agg_capitais_PCD!$C$41</c:f>
              <c:strCache>
                <c:ptCount val="1"/>
                <c:pt idx="0">
                  <c:v>% Valor  Pessoa Indígena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agg_capitais_PCD!$A$42:$A$67</c:f>
              <c:strCache>
                <c:ptCount val="26"/>
                <c:pt idx="0">
                  <c:v>FORTALEZA</c:v>
                </c:pt>
                <c:pt idx="1">
                  <c:v>CAMPO GRANDE</c:v>
                </c:pt>
                <c:pt idx="2">
                  <c:v>TERESINA</c:v>
                </c:pt>
                <c:pt idx="3">
                  <c:v>FLORIANÓPOLIS</c:v>
                </c:pt>
                <c:pt idx="4">
                  <c:v>MANAUS</c:v>
                </c:pt>
                <c:pt idx="5">
                  <c:v>MACEIÓ</c:v>
                </c:pt>
                <c:pt idx="6">
                  <c:v>RIO DE JANEIRO</c:v>
                </c:pt>
                <c:pt idx="7">
                  <c:v>JOÃO PESSOA</c:v>
                </c:pt>
                <c:pt idx="8">
                  <c:v>RIO BRANCO</c:v>
                </c:pt>
                <c:pt idx="9">
                  <c:v>CURITIBA</c:v>
                </c:pt>
                <c:pt idx="10">
                  <c:v>PORTO ALEGRE</c:v>
                </c:pt>
                <c:pt idx="11">
                  <c:v>BELÉM</c:v>
                </c:pt>
                <c:pt idx="12">
                  <c:v>BELO HORIZONTE</c:v>
                </c:pt>
                <c:pt idx="13">
                  <c:v>SALVADOR</c:v>
                </c:pt>
                <c:pt idx="14">
                  <c:v>RECIFE</c:v>
                </c:pt>
                <c:pt idx="15">
                  <c:v>MACAPÁ</c:v>
                </c:pt>
                <c:pt idx="16">
                  <c:v>CUIABÁ</c:v>
                </c:pt>
                <c:pt idx="17">
                  <c:v>PALMAS</c:v>
                </c:pt>
                <c:pt idx="18">
                  <c:v>GOIÂNIA</c:v>
                </c:pt>
                <c:pt idx="19">
                  <c:v>SÃO LUIS</c:v>
                </c:pt>
                <c:pt idx="20">
                  <c:v>ARACAJU</c:v>
                </c:pt>
                <c:pt idx="21">
                  <c:v>PORTO VELHO</c:v>
                </c:pt>
                <c:pt idx="22">
                  <c:v>BOA VISTA</c:v>
                </c:pt>
                <c:pt idx="23">
                  <c:v>NATAL</c:v>
                </c:pt>
                <c:pt idx="24">
                  <c:v>VITÓRIA</c:v>
                </c:pt>
                <c:pt idx="25">
                  <c:v>SÃO PAULO</c:v>
                </c:pt>
              </c:strCache>
            </c:strRef>
          </c:cat>
          <c:val>
            <c:numRef>
              <c:f>agg_capitais_PCD!$C$42:$C$67</c:f>
              <c:numCache>
                <c:formatCode>0%</c:formatCode>
                <c:ptCount val="26"/>
                <c:pt idx="0">
                  <c:v>9.4215571343372828E-2</c:v>
                </c:pt>
                <c:pt idx="1">
                  <c:v>8.431363800740635E-2</c:v>
                </c:pt>
                <c:pt idx="2">
                  <c:v>8.2353985154907314E-2</c:v>
                </c:pt>
                <c:pt idx="3">
                  <c:v>5.5141579731743669E-2</c:v>
                </c:pt>
                <c:pt idx="4">
                  <c:v>5.5069372874288078E-2</c:v>
                </c:pt>
                <c:pt idx="5">
                  <c:v>5.2891346904310695E-2</c:v>
                </c:pt>
                <c:pt idx="6">
                  <c:v>5.2127162653033771E-2</c:v>
                </c:pt>
                <c:pt idx="7">
                  <c:v>5.143065595463138E-2</c:v>
                </c:pt>
                <c:pt idx="8">
                  <c:v>5.1358703522504892E-2</c:v>
                </c:pt>
                <c:pt idx="9">
                  <c:v>5.0645296973620323E-2</c:v>
                </c:pt>
                <c:pt idx="10">
                  <c:v>5.0080615402512796E-2</c:v>
                </c:pt>
                <c:pt idx="11">
                  <c:v>0.05</c:v>
                </c:pt>
                <c:pt idx="12">
                  <c:v>4.9905100447856683E-2</c:v>
                </c:pt>
                <c:pt idx="13">
                  <c:v>4.9266238879736406E-2</c:v>
                </c:pt>
                <c:pt idx="14">
                  <c:v>4.9069237703152024E-2</c:v>
                </c:pt>
                <c:pt idx="15">
                  <c:v>4.7349614009875751E-2</c:v>
                </c:pt>
                <c:pt idx="16">
                  <c:v>4.5284870270270269E-2</c:v>
                </c:pt>
                <c:pt idx="17">
                  <c:v>4.5264251596122011E-2</c:v>
                </c:pt>
                <c:pt idx="18">
                  <c:v>4.5202489052186288E-2</c:v>
                </c:pt>
                <c:pt idx="19">
                  <c:v>4.078856629019495E-2</c:v>
                </c:pt>
                <c:pt idx="20">
                  <c:v>3.9079940973535822E-2</c:v>
                </c:pt>
                <c:pt idx="21">
                  <c:v>3.8511665158234364E-2</c:v>
                </c:pt>
                <c:pt idx="22">
                  <c:v>3.7203152131482953E-2</c:v>
                </c:pt>
                <c:pt idx="23">
                  <c:v>3.1852870583717358E-2</c:v>
                </c:pt>
                <c:pt idx="24">
                  <c:v>2.7660442782315178E-2</c:v>
                </c:pt>
                <c:pt idx="25">
                  <c:v>2.4319653847805944E-2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8C-4AC6-8EF4-E2AFC3192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657375"/>
        <c:axId val="840729343"/>
      </c:lineChart>
      <c:catAx>
        <c:axId val="97364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0728927"/>
        <c:crosses val="autoZero"/>
        <c:auto val="1"/>
        <c:lblAlgn val="ctr"/>
        <c:lblOffset val="100"/>
        <c:noMultiLvlLbl val="0"/>
      </c:catAx>
      <c:valAx>
        <c:axId val="84072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_-;\-&quot;R$&quot;\ * #,##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3645375"/>
        <c:crosses val="autoZero"/>
        <c:crossBetween val="between"/>
      </c:valAx>
      <c:valAx>
        <c:axId val="84072934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3657375"/>
        <c:crosses val="max"/>
        <c:crossBetween val="between"/>
      </c:valAx>
      <c:catAx>
        <c:axId val="9736573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07293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agg_estados!$B$36</c:f>
              <c:strCache>
                <c:ptCount val="1"/>
                <c:pt idx="0">
                  <c:v>% Cotas PCD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agg_estados!$A$37:$A$63</c:f>
              <c:strCache>
                <c:ptCount val="27"/>
                <c:pt idx="0">
                  <c:v>BAHIA</c:v>
                </c:pt>
                <c:pt idx="1">
                  <c:v>AMAZONAS</c:v>
                </c:pt>
                <c:pt idx="2">
                  <c:v>ACRE</c:v>
                </c:pt>
                <c:pt idx="3">
                  <c:v>DISTRITO FEDERAL</c:v>
                </c:pt>
                <c:pt idx="4">
                  <c:v>CEARÁ</c:v>
                </c:pt>
                <c:pt idx="5">
                  <c:v>SANTA CATARINA</c:v>
                </c:pt>
                <c:pt idx="6">
                  <c:v>GOIÁS</c:v>
                </c:pt>
                <c:pt idx="7">
                  <c:v>RORAIMA</c:v>
                </c:pt>
                <c:pt idx="8">
                  <c:v>PARÁ</c:v>
                </c:pt>
                <c:pt idx="9">
                  <c:v>PARAÍBA</c:v>
                </c:pt>
                <c:pt idx="10">
                  <c:v>MATO GROSSO DO SUL</c:v>
                </c:pt>
                <c:pt idx="11">
                  <c:v>RIO GRANDE DO NORTE</c:v>
                </c:pt>
                <c:pt idx="12">
                  <c:v>PERNAMBUCO</c:v>
                </c:pt>
                <c:pt idx="13">
                  <c:v>AMAPÁ</c:v>
                </c:pt>
                <c:pt idx="14">
                  <c:v>PARANÁ</c:v>
                </c:pt>
                <c:pt idx="15">
                  <c:v>TOCANTINS</c:v>
                </c:pt>
                <c:pt idx="16">
                  <c:v>MINAS GERAIS</c:v>
                </c:pt>
                <c:pt idx="17">
                  <c:v>ALAGOAS</c:v>
                </c:pt>
                <c:pt idx="18">
                  <c:v>RIO GRANDE DO SUL</c:v>
                </c:pt>
                <c:pt idx="19">
                  <c:v>SÃO PAULO</c:v>
                </c:pt>
                <c:pt idx="20">
                  <c:v>PIAUÍ</c:v>
                </c:pt>
                <c:pt idx="21">
                  <c:v>MARANHÃO</c:v>
                </c:pt>
                <c:pt idx="22">
                  <c:v>RIO DE JANEIRO</c:v>
                </c:pt>
                <c:pt idx="23">
                  <c:v>SERGIPE</c:v>
                </c:pt>
                <c:pt idx="24">
                  <c:v>ESPÍRITO SANTO</c:v>
                </c:pt>
                <c:pt idx="25">
                  <c:v>MATO GROSSO</c:v>
                </c:pt>
                <c:pt idx="26">
                  <c:v>RONDÔNIA</c:v>
                </c:pt>
              </c:strCache>
            </c:strRef>
          </c:cat>
          <c:val>
            <c:numRef>
              <c:f>agg_estados!$B$37:$B$63</c:f>
              <c:numCache>
                <c:formatCode>0%</c:formatCode>
                <c:ptCount val="27"/>
                <c:pt idx="0">
                  <c:v>4.922069843828878E-2</c:v>
                </c:pt>
                <c:pt idx="1">
                  <c:v>7.8972248465894221E-2</c:v>
                </c:pt>
                <c:pt idx="2">
                  <c:v>0.13782059089383275</c:v>
                </c:pt>
                <c:pt idx="3">
                  <c:v>0.14009794608876061</c:v>
                </c:pt>
                <c:pt idx="4">
                  <c:v>9.1814004207992975E-2</c:v>
                </c:pt>
                <c:pt idx="5">
                  <c:v>7.5653723335434159E-2</c:v>
                </c:pt>
                <c:pt idx="6">
                  <c:v>9.4787188110427703E-2</c:v>
                </c:pt>
                <c:pt idx="7">
                  <c:v>4.9348529963598474E-2</c:v>
                </c:pt>
                <c:pt idx="8">
                  <c:v>8.5558524502894168E-2</c:v>
                </c:pt>
                <c:pt idx="9">
                  <c:v>5.0987401935382037E-2</c:v>
                </c:pt>
                <c:pt idx="10">
                  <c:v>5.4154965244121112E-2</c:v>
                </c:pt>
                <c:pt idx="11">
                  <c:v>4.9483039241048278E-2</c:v>
                </c:pt>
                <c:pt idx="12">
                  <c:v>4.8634857151588856E-2</c:v>
                </c:pt>
                <c:pt idx="13">
                  <c:v>5.4216715489983747E-2</c:v>
                </c:pt>
                <c:pt idx="14">
                  <c:v>4.9609361509259181E-2</c:v>
                </c:pt>
                <c:pt idx="15">
                  <c:v>4.5968989391468436E-2</c:v>
                </c:pt>
                <c:pt idx="16">
                  <c:v>4.9092175771557549E-2</c:v>
                </c:pt>
                <c:pt idx="17">
                  <c:v>6.0061053041790637E-2</c:v>
                </c:pt>
                <c:pt idx="18">
                  <c:v>4.4338554340500026E-2</c:v>
                </c:pt>
                <c:pt idx="19">
                  <c:v>4.7409048938134808E-2</c:v>
                </c:pt>
                <c:pt idx="20">
                  <c:v>4.8693269021536791E-2</c:v>
                </c:pt>
                <c:pt idx="21">
                  <c:v>4.3890692063719296E-2</c:v>
                </c:pt>
                <c:pt idx="22">
                  <c:v>4.9988529048709783E-2</c:v>
                </c:pt>
                <c:pt idx="23">
                  <c:v>4.6469472436277422E-2</c:v>
                </c:pt>
                <c:pt idx="24">
                  <c:v>4.3047334307473838E-2</c:v>
                </c:pt>
                <c:pt idx="25">
                  <c:v>4.5023121549732585E-2</c:v>
                </c:pt>
                <c:pt idx="26">
                  <c:v>4.0443686006825935E-2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7-401A-99F7-8710D0B2F300}"/>
            </c:ext>
          </c:extLst>
        </c:ser>
        <c:ser>
          <c:idx val="1"/>
          <c:order val="1"/>
          <c:tx>
            <c:strRef>
              <c:f>agg_estados!$C$36</c:f>
              <c:strCache>
                <c:ptCount val="1"/>
                <c:pt idx="0">
                  <c:v>% Cotas Pessoas Indígenas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agg_estados!$A$37:$A$63</c:f>
              <c:strCache>
                <c:ptCount val="27"/>
                <c:pt idx="0">
                  <c:v>BAHIA</c:v>
                </c:pt>
                <c:pt idx="1">
                  <c:v>AMAZONAS</c:v>
                </c:pt>
                <c:pt idx="2">
                  <c:v>ACRE</c:v>
                </c:pt>
                <c:pt idx="3">
                  <c:v>DISTRITO FEDERAL</c:v>
                </c:pt>
                <c:pt idx="4">
                  <c:v>CEARÁ</c:v>
                </c:pt>
                <c:pt idx="5">
                  <c:v>SANTA CATARINA</c:v>
                </c:pt>
                <c:pt idx="6">
                  <c:v>GOIÁS</c:v>
                </c:pt>
                <c:pt idx="7">
                  <c:v>RORAIMA</c:v>
                </c:pt>
                <c:pt idx="8">
                  <c:v>PARÁ</c:v>
                </c:pt>
                <c:pt idx="9">
                  <c:v>PARAÍBA</c:v>
                </c:pt>
                <c:pt idx="10">
                  <c:v>MATO GROSSO DO SUL</c:v>
                </c:pt>
                <c:pt idx="11">
                  <c:v>RIO GRANDE DO NORTE</c:v>
                </c:pt>
                <c:pt idx="12">
                  <c:v>PERNAMBUCO</c:v>
                </c:pt>
                <c:pt idx="13">
                  <c:v>AMAPÁ</c:v>
                </c:pt>
                <c:pt idx="14">
                  <c:v>PARANÁ</c:v>
                </c:pt>
                <c:pt idx="15">
                  <c:v>TOCANTINS</c:v>
                </c:pt>
                <c:pt idx="16">
                  <c:v>MINAS GERAIS</c:v>
                </c:pt>
                <c:pt idx="17">
                  <c:v>ALAGOAS</c:v>
                </c:pt>
                <c:pt idx="18">
                  <c:v>RIO GRANDE DO SUL</c:v>
                </c:pt>
                <c:pt idx="19">
                  <c:v>SÃO PAULO</c:v>
                </c:pt>
                <c:pt idx="20">
                  <c:v>PIAUÍ</c:v>
                </c:pt>
                <c:pt idx="21">
                  <c:v>MARANHÃO</c:v>
                </c:pt>
                <c:pt idx="22">
                  <c:v>RIO DE JANEIRO</c:v>
                </c:pt>
                <c:pt idx="23">
                  <c:v>SERGIPE</c:v>
                </c:pt>
                <c:pt idx="24">
                  <c:v>ESPÍRITO SANTO</c:v>
                </c:pt>
                <c:pt idx="25">
                  <c:v>MATO GROSSO</c:v>
                </c:pt>
                <c:pt idx="26">
                  <c:v>RONDÔNIA</c:v>
                </c:pt>
              </c:strCache>
            </c:strRef>
          </c:cat>
          <c:val>
            <c:numRef>
              <c:f>agg_estados!$C$37:$C$63</c:f>
              <c:numCache>
                <c:formatCode>0%</c:formatCode>
                <c:ptCount val="27"/>
                <c:pt idx="0">
                  <c:v>0.14183983282028043</c:v>
                </c:pt>
                <c:pt idx="1">
                  <c:v>0.27064043467563792</c:v>
                </c:pt>
                <c:pt idx="2">
                  <c:v>0.22473445182372728</c:v>
                </c:pt>
                <c:pt idx="3">
                  <c:v>0.1374310135561079</c:v>
                </c:pt>
                <c:pt idx="4">
                  <c:v>0.10894530995611711</c:v>
                </c:pt>
                <c:pt idx="5">
                  <c:v>0.11199162955792424</c:v>
                </c:pt>
                <c:pt idx="6">
                  <c:v>9.4787188110427703E-2</c:v>
                </c:pt>
                <c:pt idx="7">
                  <c:v>0.14350567110439294</c:v>
                </c:pt>
                <c:pt idx="8">
                  <c:v>9.9726374003152957E-2</c:v>
                </c:pt>
                <c:pt idx="9">
                  <c:v>0.13955453158793923</c:v>
                </c:pt>
                <c:pt idx="10">
                  <c:v>0.13316044662472104</c:v>
                </c:pt>
                <c:pt idx="11">
                  <c:v>0.11197762367098567</c:v>
                </c:pt>
                <c:pt idx="12">
                  <c:v>0.1018201904645482</c:v>
                </c:pt>
                <c:pt idx="13">
                  <c:v>0.10184683391460385</c:v>
                </c:pt>
                <c:pt idx="14">
                  <c:v>9.7116840199261686E-2</c:v>
                </c:pt>
                <c:pt idx="15">
                  <c:v>0.11696972675988712</c:v>
                </c:pt>
                <c:pt idx="16">
                  <c:v>0.10211755249731305</c:v>
                </c:pt>
                <c:pt idx="17">
                  <c:v>9.6168662000445951E-2</c:v>
                </c:pt>
                <c:pt idx="18">
                  <c:v>9.5351903578106204E-2</c:v>
                </c:pt>
                <c:pt idx="19">
                  <c:v>9.9076638965835642E-2</c:v>
                </c:pt>
                <c:pt idx="20">
                  <c:v>9.8715252098724213E-2</c:v>
                </c:pt>
                <c:pt idx="21">
                  <c:v>0.10319923105964296</c:v>
                </c:pt>
                <c:pt idx="22">
                  <c:v>9.431853749192462E-2</c:v>
                </c:pt>
                <c:pt idx="23">
                  <c:v>9.6258446947243628E-2</c:v>
                </c:pt>
                <c:pt idx="24">
                  <c:v>9.8790185225603802E-2</c:v>
                </c:pt>
                <c:pt idx="25">
                  <c:v>9.3574774085081039E-2</c:v>
                </c:pt>
                <c:pt idx="26">
                  <c:v>5.4948805460750851E-2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97-401A-99F7-8710D0B2F300}"/>
            </c:ext>
          </c:extLst>
        </c:ser>
        <c:ser>
          <c:idx val="2"/>
          <c:order val="2"/>
          <c:tx>
            <c:strRef>
              <c:f>agg_estados!$D$36</c:f>
              <c:strCache>
                <c:ptCount val="1"/>
                <c:pt idx="0">
                  <c:v>% Cotas Pessoa Negra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1635740487072086E-2"/>
                  <c:y val="-3.88579261350240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97-401A-99F7-8710D0B2F300}"/>
                </c:ext>
              </c:extLst>
            </c:dLbl>
            <c:dLbl>
              <c:idx val="2"/>
              <c:layout>
                <c:manualLayout>
                  <c:x val="8.1450183409504679E-3"/>
                  <c:y val="-4.342944685679153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B97-401A-99F7-8710D0B2F3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agg_estados!$A$37:$A$63</c:f>
              <c:strCache>
                <c:ptCount val="27"/>
                <c:pt idx="0">
                  <c:v>BAHIA</c:v>
                </c:pt>
                <c:pt idx="1">
                  <c:v>AMAZONAS</c:v>
                </c:pt>
                <c:pt idx="2">
                  <c:v>ACRE</c:v>
                </c:pt>
                <c:pt idx="3">
                  <c:v>DISTRITO FEDERAL</c:v>
                </c:pt>
                <c:pt idx="4">
                  <c:v>CEARÁ</c:v>
                </c:pt>
                <c:pt idx="5">
                  <c:v>SANTA CATARINA</c:v>
                </c:pt>
                <c:pt idx="6">
                  <c:v>GOIÁS</c:v>
                </c:pt>
                <c:pt idx="7">
                  <c:v>RORAIMA</c:v>
                </c:pt>
                <c:pt idx="8">
                  <c:v>PARÁ</c:v>
                </c:pt>
                <c:pt idx="9">
                  <c:v>PARAÍBA</c:v>
                </c:pt>
                <c:pt idx="10">
                  <c:v>MATO GROSSO DO SUL</c:v>
                </c:pt>
                <c:pt idx="11">
                  <c:v>RIO GRANDE DO NORTE</c:v>
                </c:pt>
                <c:pt idx="12">
                  <c:v>PERNAMBUCO</c:v>
                </c:pt>
                <c:pt idx="13">
                  <c:v>AMAPÁ</c:v>
                </c:pt>
                <c:pt idx="14">
                  <c:v>PARANÁ</c:v>
                </c:pt>
                <c:pt idx="15">
                  <c:v>TOCANTINS</c:v>
                </c:pt>
                <c:pt idx="16">
                  <c:v>MINAS GERAIS</c:v>
                </c:pt>
                <c:pt idx="17">
                  <c:v>ALAGOAS</c:v>
                </c:pt>
                <c:pt idx="18">
                  <c:v>RIO GRANDE DO SUL</c:v>
                </c:pt>
                <c:pt idx="19">
                  <c:v>SÃO PAULO</c:v>
                </c:pt>
                <c:pt idx="20">
                  <c:v>PIAUÍ</c:v>
                </c:pt>
                <c:pt idx="21">
                  <c:v>MARANHÃO</c:v>
                </c:pt>
                <c:pt idx="22">
                  <c:v>RIO DE JANEIRO</c:v>
                </c:pt>
                <c:pt idx="23">
                  <c:v>SERGIPE</c:v>
                </c:pt>
                <c:pt idx="24">
                  <c:v>ESPÍRITO SANTO</c:v>
                </c:pt>
                <c:pt idx="25">
                  <c:v>MATO GROSSO</c:v>
                </c:pt>
                <c:pt idx="26">
                  <c:v>RONDÔNIA</c:v>
                </c:pt>
              </c:strCache>
            </c:strRef>
          </c:cat>
          <c:val>
            <c:numRef>
              <c:f>agg_estados!$D$37:$D$63</c:f>
              <c:numCache>
                <c:formatCode>0%</c:formatCode>
                <c:ptCount val="27"/>
                <c:pt idx="0">
                  <c:v>0.4703618861233762</c:v>
                </c:pt>
                <c:pt idx="1">
                  <c:v>0.26473497791703876</c:v>
                </c:pt>
                <c:pt idx="2">
                  <c:v>0.2274069467919001</c:v>
                </c:pt>
                <c:pt idx="3">
                  <c:v>0.25160189755685186</c:v>
                </c:pt>
                <c:pt idx="4">
                  <c:v>0.25582569775625241</c:v>
                </c:pt>
                <c:pt idx="5">
                  <c:v>0.26070696095617879</c:v>
                </c:pt>
                <c:pt idx="6">
                  <c:v>0.24677944519208239</c:v>
                </c:pt>
                <c:pt idx="7">
                  <c:v>0.24303455057044979</c:v>
                </c:pt>
                <c:pt idx="8">
                  <c:v>0.2505640285275017</c:v>
                </c:pt>
                <c:pt idx="9">
                  <c:v>0.23441423282790466</c:v>
                </c:pt>
                <c:pt idx="10">
                  <c:v>0.23409137319981455</c:v>
                </c:pt>
                <c:pt idx="11">
                  <c:v>0.25574086705273441</c:v>
                </c:pt>
                <c:pt idx="12">
                  <c:v>0.26365142848411138</c:v>
                </c:pt>
                <c:pt idx="13">
                  <c:v>0.25355029557454128</c:v>
                </c:pt>
                <c:pt idx="14">
                  <c:v>0.25607990121732821</c:v>
                </c:pt>
                <c:pt idx="15">
                  <c:v>0.2393807500933188</c:v>
                </c:pt>
                <c:pt idx="16">
                  <c:v>0.25106002992478343</c:v>
                </c:pt>
                <c:pt idx="17">
                  <c:v>0.24535761690539529</c:v>
                </c:pt>
                <c:pt idx="18">
                  <c:v>0.26175912172667987</c:v>
                </c:pt>
                <c:pt idx="19">
                  <c:v>0.25239519852262232</c:v>
                </c:pt>
                <c:pt idx="20">
                  <c:v>0.24612377321898521</c:v>
                </c:pt>
                <c:pt idx="21">
                  <c:v>0.24472353421521134</c:v>
                </c:pt>
                <c:pt idx="22">
                  <c:v>0.23758103215034496</c:v>
                </c:pt>
                <c:pt idx="23">
                  <c:v>0.23546769413159457</c:v>
                </c:pt>
                <c:pt idx="24">
                  <c:v>0.22885479541901632</c:v>
                </c:pt>
                <c:pt idx="25">
                  <c:v>0.22614868691511314</c:v>
                </c:pt>
                <c:pt idx="26">
                  <c:v>0.19709897610921501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97-401A-99F7-8710D0B2F3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4074560"/>
        <c:axId val="2076724960"/>
      </c:barChart>
      <c:lineChart>
        <c:grouping val="standard"/>
        <c:varyColors val="0"/>
        <c:ser>
          <c:idx val="3"/>
          <c:order val="3"/>
          <c:tx>
            <c:strRef>
              <c:f>agg_estados!$E$36</c:f>
              <c:strCache>
                <c:ptCount val="1"/>
                <c:pt idx="0">
                  <c:v> Soma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agg_estados!$A$37:$A$63</c:f>
              <c:strCache>
                <c:ptCount val="27"/>
                <c:pt idx="0">
                  <c:v>BAHIA</c:v>
                </c:pt>
                <c:pt idx="1">
                  <c:v>AMAZONAS</c:v>
                </c:pt>
                <c:pt idx="2">
                  <c:v>ACRE</c:v>
                </c:pt>
                <c:pt idx="3">
                  <c:v>DISTRITO FEDERAL</c:v>
                </c:pt>
                <c:pt idx="4">
                  <c:v>CEARÁ</c:v>
                </c:pt>
                <c:pt idx="5">
                  <c:v>SANTA CATARINA</c:v>
                </c:pt>
                <c:pt idx="6">
                  <c:v>GOIÁS</c:v>
                </c:pt>
                <c:pt idx="7">
                  <c:v>RORAIMA</c:v>
                </c:pt>
                <c:pt idx="8">
                  <c:v>PARÁ</c:v>
                </c:pt>
                <c:pt idx="9">
                  <c:v>PARAÍBA</c:v>
                </c:pt>
                <c:pt idx="10">
                  <c:v>MATO GROSSO DO SUL</c:v>
                </c:pt>
                <c:pt idx="11">
                  <c:v>RIO GRANDE DO NORTE</c:v>
                </c:pt>
                <c:pt idx="12">
                  <c:v>PERNAMBUCO</c:v>
                </c:pt>
                <c:pt idx="13">
                  <c:v>AMAPÁ</c:v>
                </c:pt>
                <c:pt idx="14">
                  <c:v>PARANÁ</c:v>
                </c:pt>
                <c:pt idx="15">
                  <c:v>TOCANTINS</c:v>
                </c:pt>
                <c:pt idx="16">
                  <c:v>MINAS GERAIS</c:v>
                </c:pt>
                <c:pt idx="17">
                  <c:v>ALAGOAS</c:v>
                </c:pt>
                <c:pt idx="18">
                  <c:v>RIO GRANDE DO SUL</c:v>
                </c:pt>
                <c:pt idx="19">
                  <c:v>SÃO PAULO</c:v>
                </c:pt>
                <c:pt idx="20">
                  <c:v>PIAUÍ</c:v>
                </c:pt>
                <c:pt idx="21">
                  <c:v>MARANHÃO</c:v>
                </c:pt>
                <c:pt idx="22">
                  <c:v>RIO DE JANEIRO</c:v>
                </c:pt>
                <c:pt idx="23">
                  <c:v>SERGIPE</c:v>
                </c:pt>
                <c:pt idx="24">
                  <c:v>ESPÍRITO SANTO</c:v>
                </c:pt>
                <c:pt idx="25">
                  <c:v>MATO GROSSO</c:v>
                </c:pt>
                <c:pt idx="26">
                  <c:v>RONDÔNIA</c:v>
                </c:pt>
              </c:strCache>
            </c:strRef>
          </c:cat>
          <c:val>
            <c:numRef>
              <c:f>agg_estados!$E$37:$E$63</c:f>
              <c:numCache>
                <c:formatCode>0%</c:formatCode>
                <c:ptCount val="27"/>
                <c:pt idx="0">
                  <c:v>0.6614224173819454</c:v>
                </c:pt>
                <c:pt idx="1">
                  <c:v>0.61434766105857097</c:v>
                </c:pt>
                <c:pt idx="2">
                  <c:v>0.58996198950946011</c:v>
                </c:pt>
                <c:pt idx="3">
                  <c:v>0.52913085720172037</c:v>
                </c:pt>
                <c:pt idx="4">
                  <c:v>0.45658501192036249</c:v>
                </c:pt>
                <c:pt idx="5">
                  <c:v>0.44835231384953722</c:v>
                </c:pt>
                <c:pt idx="6">
                  <c:v>0.43635382141293777</c:v>
                </c:pt>
                <c:pt idx="7">
                  <c:v>0.43588875163844121</c:v>
                </c:pt>
                <c:pt idx="8">
                  <c:v>0.43584892703354883</c:v>
                </c:pt>
                <c:pt idx="9">
                  <c:v>0.42495616635122591</c:v>
                </c:pt>
                <c:pt idx="10">
                  <c:v>0.4214067850686567</c:v>
                </c:pt>
                <c:pt idx="11">
                  <c:v>0.41720152996476834</c:v>
                </c:pt>
                <c:pt idx="12">
                  <c:v>0.41410647610024842</c:v>
                </c:pt>
                <c:pt idx="13">
                  <c:v>0.40961384497912889</c:v>
                </c:pt>
                <c:pt idx="14">
                  <c:v>0.40280610292584906</c:v>
                </c:pt>
                <c:pt idx="15">
                  <c:v>0.40231946624467435</c:v>
                </c:pt>
                <c:pt idx="16">
                  <c:v>0.40226975819365407</c:v>
                </c:pt>
                <c:pt idx="17">
                  <c:v>0.40158733194763185</c:v>
                </c:pt>
                <c:pt idx="18">
                  <c:v>0.4014495796452861</c:v>
                </c:pt>
                <c:pt idx="19">
                  <c:v>0.39888088642659281</c:v>
                </c:pt>
                <c:pt idx="20">
                  <c:v>0.39353229433924619</c:v>
                </c:pt>
                <c:pt idx="21">
                  <c:v>0.39181345733857359</c:v>
                </c:pt>
                <c:pt idx="22">
                  <c:v>0.38188809869097939</c:v>
                </c:pt>
                <c:pt idx="23">
                  <c:v>0.37819561351511566</c:v>
                </c:pt>
                <c:pt idx="24">
                  <c:v>0.37069231495209398</c:v>
                </c:pt>
                <c:pt idx="25">
                  <c:v>0.36474658254992676</c:v>
                </c:pt>
                <c:pt idx="26">
                  <c:v>0.29249146757679179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97-401A-99F7-8710D0B2F3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4074560"/>
        <c:axId val="2076724960"/>
      </c:lineChart>
      <c:catAx>
        <c:axId val="198407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6724960"/>
        <c:crosses val="autoZero"/>
        <c:auto val="1"/>
        <c:lblAlgn val="ctr"/>
        <c:lblOffset val="100"/>
        <c:noMultiLvlLbl val="0"/>
      </c:catAx>
      <c:valAx>
        <c:axId val="207672496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407456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agg_estados!$B$36</c:f>
              <c:strCache>
                <c:ptCount val="1"/>
                <c:pt idx="0">
                  <c:v>% Cotas PCD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agg_estados!$A$37:$A$63</c:f>
              <c:strCache>
                <c:ptCount val="27"/>
                <c:pt idx="0">
                  <c:v>BAHIA</c:v>
                </c:pt>
                <c:pt idx="1">
                  <c:v>AMAZONAS</c:v>
                </c:pt>
                <c:pt idx="2">
                  <c:v>ACRE</c:v>
                </c:pt>
                <c:pt idx="3">
                  <c:v>DISTRITO FEDERAL</c:v>
                </c:pt>
                <c:pt idx="4">
                  <c:v>CEARÁ</c:v>
                </c:pt>
                <c:pt idx="5">
                  <c:v>SANTA CATARINA</c:v>
                </c:pt>
                <c:pt idx="6">
                  <c:v>GOIÁS</c:v>
                </c:pt>
                <c:pt idx="7">
                  <c:v>RORAIMA</c:v>
                </c:pt>
                <c:pt idx="8">
                  <c:v>PARÁ</c:v>
                </c:pt>
                <c:pt idx="9">
                  <c:v>PARAÍBA</c:v>
                </c:pt>
                <c:pt idx="10">
                  <c:v>MATO GROSSO DO SUL</c:v>
                </c:pt>
                <c:pt idx="11">
                  <c:v>RIO GRANDE DO NORTE</c:v>
                </c:pt>
                <c:pt idx="12">
                  <c:v>PERNAMBUCO</c:v>
                </c:pt>
                <c:pt idx="13">
                  <c:v>AMAPÁ</c:v>
                </c:pt>
                <c:pt idx="14">
                  <c:v>PARANÁ</c:v>
                </c:pt>
                <c:pt idx="15">
                  <c:v>TOCANTINS</c:v>
                </c:pt>
                <c:pt idx="16">
                  <c:v>MINAS GERAIS</c:v>
                </c:pt>
                <c:pt idx="17">
                  <c:v>ALAGOAS</c:v>
                </c:pt>
                <c:pt idx="18">
                  <c:v>RIO GRANDE DO SUL</c:v>
                </c:pt>
                <c:pt idx="19">
                  <c:v>SÃO PAULO</c:v>
                </c:pt>
                <c:pt idx="20">
                  <c:v>PIAUÍ</c:v>
                </c:pt>
                <c:pt idx="21">
                  <c:v>MARANHÃO</c:v>
                </c:pt>
                <c:pt idx="22">
                  <c:v>RIO DE JANEIRO</c:v>
                </c:pt>
                <c:pt idx="23">
                  <c:v>SERGIPE</c:v>
                </c:pt>
                <c:pt idx="24">
                  <c:v>ESPÍRITO SANTO</c:v>
                </c:pt>
                <c:pt idx="25">
                  <c:v>MATO GROSSO</c:v>
                </c:pt>
                <c:pt idx="26">
                  <c:v>RONDÔNIA</c:v>
                </c:pt>
              </c:strCache>
            </c:strRef>
          </c:cat>
          <c:val>
            <c:numRef>
              <c:f>agg_estados!$B$37:$B$63</c:f>
              <c:numCache>
                <c:formatCode>0%</c:formatCode>
                <c:ptCount val="27"/>
                <c:pt idx="0">
                  <c:v>4.922069843828878E-2</c:v>
                </c:pt>
                <c:pt idx="1">
                  <c:v>7.8972248465894221E-2</c:v>
                </c:pt>
                <c:pt idx="2">
                  <c:v>0.13782059089383275</c:v>
                </c:pt>
                <c:pt idx="3">
                  <c:v>0.14009794608876061</c:v>
                </c:pt>
                <c:pt idx="4">
                  <c:v>9.1814004207992975E-2</c:v>
                </c:pt>
                <c:pt idx="5">
                  <c:v>7.5653723335434159E-2</c:v>
                </c:pt>
                <c:pt idx="6">
                  <c:v>9.4787188110427703E-2</c:v>
                </c:pt>
                <c:pt idx="7">
                  <c:v>4.9348529963598474E-2</c:v>
                </c:pt>
                <c:pt idx="8">
                  <c:v>8.5558524502894168E-2</c:v>
                </c:pt>
                <c:pt idx="9">
                  <c:v>5.0987401935382037E-2</c:v>
                </c:pt>
                <c:pt idx="10">
                  <c:v>5.4154965244121112E-2</c:v>
                </c:pt>
                <c:pt idx="11">
                  <c:v>4.9483039241048278E-2</c:v>
                </c:pt>
                <c:pt idx="12">
                  <c:v>4.8634857151588856E-2</c:v>
                </c:pt>
                <c:pt idx="13">
                  <c:v>5.4216715489983747E-2</c:v>
                </c:pt>
                <c:pt idx="14">
                  <c:v>4.9609361509259181E-2</c:v>
                </c:pt>
                <c:pt idx="15">
                  <c:v>4.5968989391468436E-2</c:v>
                </c:pt>
                <c:pt idx="16">
                  <c:v>4.9092175771557549E-2</c:v>
                </c:pt>
                <c:pt idx="17">
                  <c:v>6.0061053041790637E-2</c:v>
                </c:pt>
                <c:pt idx="18">
                  <c:v>4.4338554340500026E-2</c:v>
                </c:pt>
                <c:pt idx="19">
                  <c:v>4.7409048938134808E-2</c:v>
                </c:pt>
                <c:pt idx="20">
                  <c:v>4.8693269021536791E-2</c:v>
                </c:pt>
                <c:pt idx="21">
                  <c:v>4.3890692063719296E-2</c:v>
                </c:pt>
                <c:pt idx="22">
                  <c:v>4.9988529048709783E-2</c:v>
                </c:pt>
                <c:pt idx="23">
                  <c:v>4.6469472436277422E-2</c:v>
                </c:pt>
                <c:pt idx="24">
                  <c:v>4.3047334307473838E-2</c:v>
                </c:pt>
                <c:pt idx="25">
                  <c:v>4.5023121549732585E-2</c:v>
                </c:pt>
                <c:pt idx="26">
                  <c:v>4.0443686006825935E-2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1-4A1C-AC5A-1A282B7C380E}"/>
            </c:ext>
          </c:extLst>
        </c:ser>
        <c:ser>
          <c:idx val="1"/>
          <c:order val="1"/>
          <c:tx>
            <c:strRef>
              <c:f>agg_estados!$C$36</c:f>
              <c:strCache>
                <c:ptCount val="1"/>
                <c:pt idx="0">
                  <c:v>% Cotas Pessoas Indígenas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agg_estados!$A$37:$A$63</c:f>
              <c:strCache>
                <c:ptCount val="27"/>
                <c:pt idx="0">
                  <c:v>BAHIA</c:v>
                </c:pt>
                <c:pt idx="1">
                  <c:v>AMAZONAS</c:v>
                </c:pt>
                <c:pt idx="2">
                  <c:v>ACRE</c:v>
                </c:pt>
                <c:pt idx="3">
                  <c:v>DISTRITO FEDERAL</c:v>
                </c:pt>
                <c:pt idx="4">
                  <c:v>CEARÁ</c:v>
                </c:pt>
                <c:pt idx="5">
                  <c:v>SANTA CATARINA</c:v>
                </c:pt>
                <c:pt idx="6">
                  <c:v>GOIÁS</c:v>
                </c:pt>
                <c:pt idx="7">
                  <c:v>RORAIMA</c:v>
                </c:pt>
                <c:pt idx="8">
                  <c:v>PARÁ</c:v>
                </c:pt>
                <c:pt idx="9">
                  <c:v>PARAÍBA</c:v>
                </c:pt>
                <c:pt idx="10">
                  <c:v>MATO GROSSO DO SUL</c:v>
                </c:pt>
                <c:pt idx="11">
                  <c:v>RIO GRANDE DO NORTE</c:v>
                </c:pt>
                <c:pt idx="12">
                  <c:v>PERNAMBUCO</c:v>
                </c:pt>
                <c:pt idx="13">
                  <c:v>AMAPÁ</c:v>
                </c:pt>
                <c:pt idx="14">
                  <c:v>PARANÁ</c:v>
                </c:pt>
                <c:pt idx="15">
                  <c:v>TOCANTINS</c:v>
                </c:pt>
                <c:pt idx="16">
                  <c:v>MINAS GERAIS</c:v>
                </c:pt>
                <c:pt idx="17">
                  <c:v>ALAGOAS</c:v>
                </c:pt>
                <c:pt idx="18">
                  <c:v>RIO GRANDE DO SUL</c:v>
                </c:pt>
                <c:pt idx="19">
                  <c:v>SÃO PAULO</c:v>
                </c:pt>
                <c:pt idx="20">
                  <c:v>PIAUÍ</c:v>
                </c:pt>
                <c:pt idx="21">
                  <c:v>MARANHÃO</c:v>
                </c:pt>
                <c:pt idx="22">
                  <c:v>RIO DE JANEIRO</c:v>
                </c:pt>
                <c:pt idx="23">
                  <c:v>SERGIPE</c:v>
                </c:pt>
                <c:pt idx="24">
                  <c:v>ESPÍRITO SANTO</c:v>
                </c:pt>
                <c:pt idx="25">
                  <c:v>MATO GROSSO</c:v>
                </c:pt>
                <c:pt idx="26">
                  <c:v>RONDÔNIA</c:v>
                </c:pt>
              </c:strCache>
            </c:strRef>
          </c:cat>
          <c:val>
            <c:numRef>
              <c:f>agg_estados!$C$37:$C$63</c:f>
              <c:numCache>
                <c:formatCode>0%</c:formatCode>
                <c:ptCount val="27"/>
                <c:pt idx="0">
                  <c:v>0.14183983282028043</c:v>
                </c:pt>
                <c:pt idx="1">
                  <c:v>0.27064043467563792</c:v>
                </c:pt>
                <c:pt idx="2">
                  <c:v>0.22473445182372728</c:v>
                </c:pt>
                <c:pt idx="3">
                  <c:v>0.1374310135561079</c:v>
                </c:pt>
                <c:pt idx="4">
                  <c:v>0.10894530995611711</c:v>
                </c:pt>
                <c:pt idx="5">
                  <c:v>0.11199162955792424</c:v>
                </c:pt>
                <c:pt idx="6">
                  <c:v>9.4787188110427703E-2</c:v>
                </c:pt>
                <c:pt idx="7">
                  <c:v>0.14350567110439294</c:v>
                </c:pt>
                <c:pt idx="8">
                  <c:v>9.9726374003152957E-2</c:v>
                </c:pt>
                <c:pt idx="9">
                  <c:v>0.13955453158793923</c:v>
                </c:pt>
                <c:pt idx="10">
                  <c:v>0.13316044662472104</c:v>
                </c:pt>
                <c:pt idx="11">
                  <c:v>0.11197762367098567</c:v>
                </c:pt>
                <c:pt idx="12">
                  <c:v>0.1018201904645482</c:v>
                </c:pt>
                <c:pt idx="13">
                  <c:v>0.10184683391460385</c:v>
                </c:pt>
                <c:pt idx="14">
                  <c:v>9.7116840199261686E-2</c:v>
                </c:pt>
                <c:pt idx="15">
                  <c:v>0.11696972675988712</c:v>
                </c:pt>
                <c:pt idx="16">
                  <c:v>0.10211755249731305</c:v>
                </c:pt>
                <c:pt idx="17">
                  <c:v>9.6168662000445951E-2</c:v>
                </c:pt>
                <c:pt idx="18">
                  <c:v>9.5351903578106204E-2</c:v>
                </c:pt>
                <c:pt idx="19">
                  <c:v>9.9076638965835642E-2</c:v>
                </c:pt>
                <c:pt idx="20">
                  <c:v>9.8715252098724213E-2</c:v>
                </c:pt>
                <c:pt idx="21">
                  <c:v>0.10319923105964296</c:v>
                </c:pt>
                <c:pt idx="22">
                  <c:v>9.431853749192462E-2</c:v>
                </c:pt>
                <c:pt idx="23">
                  <c:v>9.6258446947243628E-2</c:v>
                </c:pt>
                <c:pt idx="24">
                  <c:v>9.8790185225603802E-2</c:v>
                </c:pt>
                <c:pt idx="25">
                  <c:v>9.3574774085081039E-2</c:v>
                </c:pt>
                <c:pt idx="26">
                  <c:v>5.4948805460750851E-2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71-4A1C-AC5A-1A282B7C380E}"/>
            </c:ext>
          </c:extLst>
        </c:ser>
        <c:ser>
          <c:idx val="2"/>
          <c:order val="2"/>
          <c:tx>
            <c:strRef>
              <c:f>agg_estados!$D$36</c:f>
              <c:strCache>
                <c:ptCount val="1"/>
                <c:pt idx="0">
                  <c:v>% Cotas Pessoa Negra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agg_estados!$A$37:$A$63</c:f>
              <c:strCache>
                <c:ptCount val="27"/>
                <c:pt idx="0">
                  <c:v>BAHIA</c:v>
                </c:pt>
                <c:pt idx="1">
                  <c:v>AMAZONAS</c:v>
                </c:pt>
                <c:pt idx="2">
                  <c:v>ACRE</c:v>
                </c:pt>
                <c:pt idx="3">
                  <c:v>DISTRITO FEDERAL</c:v>
                </c:pt>
                <c:pt idx="4">
                  <c:v>CEARÁ</c:v>
                </c:pt>
                <c:pt idx="5">
                  <c:v>SANTA CATARINA</c:v>
                </c:pt>
                <c:pt idx="6">
                  <c:v>GOIÁS</c:v>
                </c:pt>
                <c:pt idx="7">
                  <c:v>RORAIMA</c:v>
                </c:pt>
                <c:pt idx="8">
                  <c:v>PARÁ</c:v>
                </c:pt>
                <c:pt idx="9">
                  <c:v>PARAÍBA</c:v>
                </c:pt>
                <c:pt idx="10">
                  <c:v>MATO GROSSO DO SUL</c:v>
                </c:pt>
                <c:pt idx="11">
                  <c:v>RIO GRANDE DO NORTE</c:v>
                </c:pt>
                <c:pt idx="12">
                  <c:v>PERNAMBUCO</c:v>
                </c:pt>
                <c:pt idx="13">
                  <c:v>AMAPÁ</c:v>
                </c:pt>
                <c:pt idx="14">
                  <c:v>PARANÁ</c:v>
                </c:pt>
                <c:pt idx="15">
                  <c:v>TOCANTINS</c:v>
                </c:pt>
                <c:pt idx="16">
                  <c:v>MINAS GERAIS</c:v>
                </c:pt>
                <c:pt idx="17">
                  <c:v>ALAGOAS</c:v>
                </c:pt>
                <c:pt idx="18">
                  <c:v>RIO GRANDE DO SUL</c:v>
                </c:pt>
                <c:pt idx="19">
                  <c:v>SÃO PAULO</c:v>
                </c:pt>
                <c:pt idx="20">
                  <c:v>PIAUÍ</c:v>
                </c:pt>
                <c:pt idx="21">
                  <c:v>MARANHÃO</c:v>
                </c:pt>
                <c:pt idx="22">
                  <c:v>RIO DE JANEIRO</c:v>
                </c:pt>
                <c:pt idx="23">
                  <c:v>SERGIPE</c:v>
                </c:pt>
                <c:pt idx="24">
                  <c:v>ESPÍRITO SANTO</c:v>
                </c:pt>
                <c:pt idx="25">
                  <c:v>MATO GROSSO</c:v>
                </c:pt>
                <c:pt idx="26">
                  <c:v>RONDÔNIA</c:v>
                </c:pt>
              </c:strCache>
            </c:strRef>
          </c:cat>
          <c:val>
            <c:numRef>
              <c:f>agg_estados!$D$37:$D$63</c:f>
              <c:numCache>
                <c:formatCode>0%</c:formatCode>
                <c:ptCount val="27"/>
                <c:pt idx="0">
                  <c:v>0.4703618861233762</c:v>
                </c:pt>
                <c:pt idx="1">
                  <c:v>0.26473497791703876</c:v>
                </c:pt>
                <c:pt idx="2">
                  <c:v>0.2274069467919001</c:v>
                </c:pt>
                <c:pt idx="3">
                  <c:v>0.25160189755685186</c:v>
                </c:pt>
                <c:pt idx="4">
                  <c:v>0.25582569775625241</c:v>
                </c:pt>
                <c:pt idx="5">
                  <c:v>0.26070696095617879</c:v>
                </c:pt>
                <c:pt idx="6">
                  <c:v>0.24677944519208239</c:v>
                </c:pt>
                <c:pt idx="7">
                  <c:v>0.24303455057044979</c:v>
                </c:pt>
                <c:pt idx="8">
                  <c:v>0.2505640285275017</c:v>
                </c:pt>
                <c:pt idx="9">
                  <c:v>0.23441423282790466</c:v>
                </c:pt>
                <c:pt idx="10">
                  <c:v>0.23409137319981455</c:v>
                </c:pt>
                <c:pt idx="11">
                  <c:v>0.25574086705273441</c:v>
                </c:pt>
                <c:pt idx="12">
                  <c:v>0.26365142848411138</c:v>
                </c:pt>
                <c:pt idx="13">
                  <c:v>0.25355029557454128</c:v>
                </c:pt>
                <c:pt idx="14">
                  <c:v>0.25607990121732821</c:v>
                </c:pt>
                <c:pt idx="15">
                  <c:v>0.2393807500933188</c:v>
                </c:pt>
                <c:pt idx="16">
                  <c:v>0.25106002992478343</c:v>
                </c:pt>
                <c:pt idx="17">
                  <c:v>0.24535761690539529</c:v>
                </c:pt>
                <c:pt idx="18">
                  <c:v>0.26175912172667987</c:v>
                </c:pt>
                <c:pt idx="19">
                  <c:v>0.25239519852262232</c:v>
                </c:pt>
                <c:pt idx="20">
                  <c:v>0.24612377321898521</c:v>
                </c:pt>
                <c:pt idx="21">
                  <c:v>0.24472353421521134</c:v>
                </c:pt>
                <c:pt idx="22">
                  <c:v>0.23758103215034496</c:v>
                </c:pt>
                <c:pt idx="23">
                  <c:v>0.23546769413159457</c:v>
                </c:pt>
                <c:pt idx="24">
                  <c:v>0.22885479541901632</c:v>
                </c:pt>
                <c:pt idx="25">
                  <c:v>0.22614868691511314</c:v>
                </c:pt>
                <c:pt idx="26">
                  <c:v>0.19709897610921501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71-4A1C-AC5A-1A282B7C380E}"/>
            </c:ext>
          </c:extLst>
        </c:ser>
        <c:ser>
          <c:idx val="3"/>
          <c:order val="3"/>
          <c:tx>
            <c:strRef>
              <c:f>agg_estados!$E$36</c:f>
              <c:strCache>
                <c:ptCount val="1"/>
                <c:pt idx="0">
                  <c:v> Soma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agg_estados!$A$37:$A$63</c:f>
              <c:strCache>
                <c:ptCount val="27"/>
                <c:pt idx="0">
                  <c:v>BAHIA</c:v>
                </c:pt>
                <c:pt idx="1">
                  <c:v>AMAZONAS</c:v>
                </c:pt>
                <c:pt idx="2">
                  <c:v>ACRE</c:v>
                </c:pt>
                <c:pt idx="3">
                  <c:v>DISTRITO FEDERAL</c:v>
                </c:pt>
                <c:pt idx="4">
                  <c:v>CEARÁ</c:v>
                </c:pt>
                <c:pt idx="5">
                  <c:v>SANTA CATARINA</c:v>
                </c:pt>
                <c:pt idx="6">
                  <c:v>GOIÁS</c:v>
                </c:pt>
                <c:pt idx="7">
                  <c:v>RORAIMA</c:v>
                </c:pt>
                <c:pt idx="8">
                  <c:v>PARÁ</c:v>
                </c:pt>
                <c:pt idx="9">
                  <c:v>PARAÍBA</c:v>
                </c:pt>
                <c:pt idx="10">
                  <c:v>MATO GROSSO DO SUL</c:v>
                </c:pt>
                <c:pt idx="11">
                  <c:v>RIO GRANDE DO NORTE</c:v>
                </c:pt>
                <c:pt idx="12">
                  <c:v>PERNAMBUCO</c:v>
                </c:pt>
                <c:pt idx="13">
                  <c:v>AMAPÁ</c:v>
                </c:pt>
                <c:pt idx="14">
                  <c:v>PARANÁ</c:v>
                </c:pt>
                <c:pt idx="15">
                  <c:v>TOCANTINS</c:v>
                </c:pt>
                <c:pt idx="16">
                  <c:v>MINAS GERAIS</c:v>
                </c:pt>
                <c:pt idx="17">
                  <c:v>ALAGOAS</c:v>
                </c:pt>
                <c:pt idx="18">
                  <c:v>RIO GRANDE DO SUL</c:v>
                </c:pt>
                <c:pt idx="19">
                  <c:v>SÃO PAULO</c:v>
                </c:pt>
                <c:pt idx="20">
                  <c:v>PIAUÍ</c:v>
                </c:pt>
                <c:pt idx="21">
                  <c:v>MARANHÃO</c:v>
                </c:pt>
                <c:pt idx="22">
                  <c:v>RIO DE JANEIRO</c:v>
                </c:pt>
                <c:pt idx="23">
                  <c:v>SERGIPE</c:v>
                </c:pt>
                <c:pt idx="24">
                  <c:v>ESPÍRITO SANTO</c:v>
                </c:pt>
                <c:pt idx="25">
                  <c:v>MATO GROSSO</c:v>
                </c:pt>
                <c:pt idx="26">
                  <c:v>RONDÔNIA</c:v>
                </c:pt>
              </c:strCache>
            </c:strRef>
          </c:cat>
          <c:val>
            <c:numRef>
              <c:f>agg_estados!$E$37:$E$63</c:f>
              <c:numCache>
                <c:formatCode>0%</c:formatCode>
                <c:ptCount val="27"/>
                <c:pt idx="0">
                  <c:v>0.6614224173819454</c:v>
                </c:pt>
                <c:pt idx="1">
                  <c:v>0.61434766105857097</c:v>
                </c:pt>
                <c:pt idx="2">
                  <c:v>0.58996198950946011</c:v>
                </c:pt>
                <c:pt idx="3">
                  <c:v>0.52913085720172037</c:v>
                </c:pt>
                <c:pt idx="4">
                  <c:v>0.45658501192036249</c:v>
                </c:pt>
                <c:pt idx="5">
                  <c:v>0.44835231384953722</c:v>
                </c:pt>
                <c:pt idx="6">
                  <c:v>0.43635382141293777</c:v>
                </c:pt>
                <c:pt idx="7">
                  <c:v>0.43588875163844121</c:v>
                </c:pt>
                <c:pt idx="8">
                  <c:v>0.43584892703354883</c:v>
                </c:pt>
                <c:pt idx="9">
                  <c:v>0.42495616635122591</c:v>
                </c:pt>
                <c:pt idx="10">
                  <c:v>0.4214067850686567</c:v>
                </c:pt>
                <c:pt idx="11">
                  <c:v>0.41720152996476834</c:v>
                </c:pt>
                <c:pt idx="12">
                  <c:v>0.41410647610024842</c:v>
                </c:pt>
                <c:pt idx="13">
                  <c:v>0.40961384497912889</c:v>
                </c:pt>
                <c:pt idx="14">
                  <c:v>0.40280610292584906</c:v>
                </c:pt>
                <c:pt idx="15">
                  <c:v>0.40231946624467435</c:v>
                </c:pt>
                <c:pt idx="16">
                  <c:v>0.40226975819365407</c:v>
                </c:pt>
                <c:pt idx="17">
                  <c:v>0.40158733194763185</c:v>
                </c:pt>
                <c:pt idx="18">
                  <c:v>0.4014495796452861</c:v>
                </c:pt>
                <c:pt idx="19">
                  <c:v>0.39888088642659281</c:v>
                </c:pt>
                <c:pt idx="20">
                  <c:v>0.39353229433924619</c:v>
                </c:pt>
                <c:pt idx="21">
                  <c:v>0.39181345733857359</c:v>
                </c:pt>
                <c:pt idx="22">
                  <c:v>0.38188809869097939</c:v>
                </c:pt>
                <c:pt idx="23">
                  <c:v>0.37819561351511566</c:v>
                </c:pt>
                <c:pt idx="24">
                  <c:v>0.37069231495209398</c:v>
                </c:pt>
                <c:pt idx="25">
                  <c:v>0.36474658254992676</c:v>
                </c:pt>
                <c:pt idx="26">
                  <c:v>0.29249146757679179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71-4A1C-AC5A-1A282B7C380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1634048"/>
        <c:axId val="1865170704"/>
      </c:barChart>
      <c:catAx>
        <c:axId val="81634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5170704"/>
        <c:crosses val="autoZero"/>
        <c:auto val="1"/>
        <c:lblAlgn val="ctr"/>
        <c:lblOffset val="100"/>
        <c:noMultiLvlLbl val="0"/>
      </c:catAx>
      <c:valAx>
        <c:axId val="186517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63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agg_estados_negras!$B$33</c:f>
              <c:strCache>
                <c:ptCount val="1"/>
                <c:pt idx="0">
                  <c:v> Valor Cotas Pessoa Negra (R$) 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agg_estados_negras!$A$34:$A$60</c:f>
              <c:strCache>
                <c:ptCount val="27"/>
                <c:pt idx="0">
                  <c:v>BAHIA</c:v>
                </c:pt>
                <c:pt idx="1">
                  <c:v>AMAZONAS</c:v>
                </c:pt>
                <c:pt idx="2">
                  <c:v>PERNAMBUCO</c:v>
                </c:pt>
                <c:pt idx="3">
                  <c:v>RIO GRANDE DO SUL</c:v>
                </c:pt>
                <c:pt idx="4">
                  <c:v>SANTA CATARINA</c:v>
                </c:pt>
                <c:pt idx="5">
                  <c:v>PARANÁ</c:v>
                </c:pt>
                <c:pt idx="6">
                  <c:v>CEARÁ</c:v>
                </c:pt>
                <c:pt idx="7">
                  <c:v>RIO GRANDE DO NORTE</c:v>
                </c:pt>
                <c:pt idx="8">
                  <c:v>AMAPÁ</c:v>
                </c:pt>
                <c:pt idx="9">
                  <c:v>SÃO PAULO</c:v>
                </c:pt>
                <c:pt idx="10">
                  <c:v>DISTRITO FEDERAL</c:v>
                </c:pt>
                <c:pt idx="11">
                  <c:v>MINAS GERAIS</c:v>
                </c:pt>
                <c:pt idx="12">
                  <c:v>PARÁ</c:v>
                </c:pt>
                <c:pt idx="13">
                  <c:v>GOIÁS</c:v>
                </c:pt>
                <c:pt idx="14">
                  <c:v>PIAUÍ</c:v>
                </c:pt>
                <c:pt idx="15">
                  <c:v>ALAGOAS</c:v>
                </c:pt>
                <c:pt idx="16">
                  <c:v>MARANHÃO</c:v>
                </c:pt>
                <c:pt idx="17">
                  <c:v>RORAIMA</c:v>
                </c:pt>
                <c:pt idx="18">
                  <c:v>TOCANTINS</c:v>
                </c:pt>
                <c:pt idx="19">
                  <c:v>RIO DE JANEIRO</c:v>
                </c:pt>
                <c:pt idx="20">
                  <c:v>SERGIPE</c:v>
                </c:pt>
                <c:pt idx="21">
                  <c:v>PARAÍBA</c:v>
                </c:pt>
                <c:pt idx="22">
                  <c:v>MATO GROSSO DO SUL</c:v>
                </c:pt>
                <c:pt idx="23">
                  <c:v>ESPÍRITO SANTO</c:v>
                </c:pt>
                <c:pt idx="24">
                  <c:v>ACRE</c:v>
                </c:pt>
                <c:pt idx="25">
                  <c:v>MATO GROSSO</c:v>
                </c:pt>
                <c:pt idx="26">
                  <c:v>RONDÔNIA</c:v>
                </c:pt>
              </c:strCache>
            </c:strRef>
          </c:cat>
          <c:val>
            <c:numRef>
              <c:f>agg_estados_negras!$B$34:$B$60</c:f>
              <c:numCache>
                <c:formatCode>"R$"\ #,##0.00</c:formatCode>
                <c:ptCount val="27"/>
                <c:pt idx="0">
                  <c:v>33776687.042519644</c:v>
                </c:pt>
                <c:pt idx="1">
                  <c:v>8629298.2692580521</c:v>
                </c:pt>
                <c:pt idx="2">
                  <c:v>17381791.649999999</c:v>
                </c:pt>
                <c:pt idx="3">
                  <c:v>14514543.299744399</c:v>
                </c:pt>
                <c:pt idx="4">
                  <c:v>10915800.455235206</c:v>
                </c:pt>
                <c:pt idx="5">
                  <c:v>16459026.558778552</c:v>
                </c:pt>
                <c:pt idx="6">
                  <c:v>22399842.269839704</c:v>
                </c:pt>
                <c:pt idx="7">
                  <c:v>6893495.0714064566</c:v>
                </c:pt>
                <c:pt idx="8">
                  <c:v>4124451.9480519481</c:v>
                </c:pt>
                <c:pt idx="9">
                  <c:v>68336000</c:v>
                </c:pt>
                <c:pt idx="10">
                  <c:v>7675419.5282058138</c:v>
                </c:pt>
                <c:pt idx="11">
                  <c:v>32640942.140595905</c:v>
                </c:pt>
                <c:pt idx="12">
                  <c:v>14893839.288723627</c:v>
                </c:pt>
                <c:pt idx="13">
                  <c:v>11663783.697558582</c:v>
                </c:pt>
                <c:pt idx="14">
                  <c:v>5918784.4983701566</c:v>
                </c:pt>
                <c:pt idx="15">
                  <c:v>6285252.4649804393</c:v>
                </c:pt>
                <c:pt idx="16">
                  <c:v>7598665.7373823123</c:v>
                </c:pt>
                <c:pt idx="17">
                  <c:v>3345799.8094916581</c:v>
                </c:pt>
                <c:pt idx="18">
                  <c:v>5905523.1048021745</c:v>
                </c:pt>
                <c:pt idx="19">
                  <c:v>20676677.228044521</c:v>
                </c:pt>
                <c:pt idx="20">
                  <c:v>2837385.7142857146</c:v>
                </c:pt>
                <c:pt idx="21">
                  <c:v>8345146.6886734059</c:v>
                </c:pt>
                <c:pt idx="22">
                  <c:v>4442586.0805860804</c:v>
                </c:pt>
                <c:pt idx="23">
                  <c:v>9504339.6537517477</c:v>
                </c:pt>
                <c:pt idx="24">
                  <c:v>3309759.2681612917</c:v>
                </c:pt>
                <c:pt idx="25">
                  <c:v>4171990.9762100074</c:v>
                </c:pt>
                <c:pt idx="26">
                  <c:v>1155000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9-4C45-91B0-1166F79F2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8357104"/>
        <c:axId val="67464432"/>
      </c:barChart>
      <c:lineChart>
        <c:grouping val="standard"/>
        <c:varyColors val="0"/>
        <c:ser>
          <c:idx val="1"/>
          <c:order val="1"/>
          <c:tx>
            <c:strRef>
              <c:f>agg_estados_negras!$C$33</c:f>
              <c:strCache>
                <c:ptCount val="1"/>
                <c:pt idx="0">
                  <c:v>% Valor Pessoa Negra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agg_estados_negras!$A$34:$A$60</c:f>
              <c:strCache>
                <c:ptCount val="27"/>
                <c:pt idx="0">
                  <c:v>BAHIA</c:v>
                </c:pt>
                <c:pt idx="1">
                  <c:v>AMAZONAS</c:v>
                </c:pt>
                <c:pt idx="2">
                  <c:v>PERNAMBUCO</c:v>
                </c:pt>
                <c:pt idx="3">
                  <c:v>RIO GRANDE DO SUL</c:v>
                </c:pt>
                <c:pt idx="4">
                  <c:v>SANTA CATARINA</c:v>
                </c:pt>
                <c:pt idx="5">
                  <c:v>PARANÁ</c:v>
                </c:pt>
                <c:pt idx="6">
                  <c:v>CEARÁ</c:v>
                </c:pt>
                <c:pt idx="7">
                  <c:v>RIO GRANDE DO NORTE</c:v>
                </c:pt>
                <c:pt idx="8">
                  <c:v>AMAPÁ</c:v>
                </c:pt>
                <c:pt idx="9">
                  <c:v>SÃO PAULO</c:v>
                </c:pt>
                <c:pt idx="10">
                  <c:v>DISTRITO FEDERAL</c:v>
                </c:pt>
                <c:pt idx="11">
                  <c:v>MINAS GERAIS</c:v>
                </c:pt>
                <c:pt idx="12">
                  <c:v>PARÁ</c:v>
                </c:pt>
                <c:pt idx="13">
                  <c:v>GOIÁS</c:v>
                </c:pt>
                <c:pt idx="14">
                  <c:v>PIAUÍ</c:v>
                </c:pt>
                <c:pt idx="15">
                  <c:v>ALAGOAS</c:v>
                </c:pt>
                <c:pt idx="16">
                  <c:v>MARANHÃO</c:v>
                </c:pt>
                <c:pt idx="17">
                  <c:v>RORAIMA</c:v>
                </c:pt>
                <c:pt idx="18">
                  <c:v>TOCANTINS</c:v>
                </c:pt>
                <c:pt idx="19">
                  <c:v>RIO DE JANEIRO</c:v>
                </c:pt>
                <c:pt idx="20">
                  <c:v>SERGIPE</c:v>
                </c:pt>
                <c:pt idx="21">
                  <c:v>PARAÍBA</c:v>
                </c:pt>
                <c:pt idx="22">
                  <c:v>MATO GROSSO DO SUL</c:v>
                </c:pt>
                <c:pt idx="23">
                  <c:v>ESPÍRITO SANTO</c:v>
                </c:pt>
                <c:pt idx="24">
                  <c:v>ACRE</c:v>
                </c:pt>
                <c:pt idx="25">
                  <c:v>MATO GROSSO</c:v>
                </c:pt>
                <c:pt idx="26">
                  <c:v>RONDÔNIA</c:v>
                </c:pt>
              </c:strCache>
            </c:strRef>
          </c:cat>
          <c:val>
            <c:numRef>
              <c:f>agg_estados_negras!$C$34:$C$60</c:f>
              <c:numCache>
                <c:formatCode>0%</c:formatCode>
                <c:ptCount val="27"/>
                <c:pt idx="0">
                  <c:v>0.4703618861233762</c:v>
                </c:pt>
                <c:pt idx="1">
                  <c:v>0.26473497791703876</c:v>
                </c:pt>
                <c:pt idx="2">
                  <c:v>0.26365142848411138</c:v>
                </c:pt>
                <c:pt idx="3">
                  <c:v>0.26175912172667987</c:v>
                </c:pt>
                <c:pt idx="4">
                  <c:v>0.26070696095617879</c:v>
                </c:pt>
                <c:pt idx="5">
                  <c:v>0.25607990121732821</c:v>
                </c:pt>
                <c:pt idx="6">
                  <c:v>0.25582569775625241</c:v>
                </c:pt>
                <c:pt idx="7">
                  <c:v>0.25574086705273441</c:v>
                </c:pt>
                <c:pt idx="8">
                  <c:v>0.25355029557454128</c:v>
                </c:pt>
                <c:pt idx="9">
                  <c:v>0.25239519852262232</c:v>
                </c:pt>
                <c:pt idx="10">
                  <c:v>0.25160189755685186</c:v>
                </c:pt>
                <c:pt idx="11">
                  <c:v>0.25106002992478343</c:v>
                </c:pt>
                <c:pt idx="12">
                  <c:v>0.2505640285275017</c:v>
                </c:pt>
                <c:pt idx="13">
                  <c:v>0.24677944519208239</c:v>
                </c:pt>
                <c:pt idx="14">
                  <c:v>0.24612377321898521</c:v>
                </c:pt>
                <c:pt idx="15">
                  <c:v>0.24535761690539529</c:v>
                </c:pt>
                <c:pt idx="16">
                  <c:v>0.24472353421521134</c:v>
                </c:pt>
                <c:pt idx="17">
                  <c:v>0.24303455057044979</c:v>
                </c:pt>
                <c:pt idx="18">
                  <c:v>0.2393807500933188</c:v>
                </c:pt>
                <c:pt idx="19">
                  <c:v>0.23758103215034496</c:v>
                </c:pt>
                <c:pt idx="20">
                  <c:v>0.23546769413159457</c:v>
                </c:pt>
                <c:pt idx="21">
                  <c:v>0.23441423282790466</c:v>
                </c:pt>
                <c:pt idx="22">
                  <c:v>0.23409137319981455</c:v>
                </c:pt>
                <c:pt idx="23">
                  <c:v>0.22885479541901632</c:v>
                </c:pt>
                <c:pt idx="24">
                  <c:v>0.2274069467919001</c:v>
                </c:pt>
                <c:pt idx="25">
                  <c:v>0.22614868691511314</c:v>
                </c:pt>
                <c:pt idx="26">
                  <c:v>0.19709897610921501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E9-4C45-91B0-1166F79F2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352704"/>
        <c:axId val="67467760"/>
      </c:lineChart>
      <c:catAx>
        <c:axId val="191835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464432"/>
        <c:crosses val="autoZero"/>
        <c:auto val="1"/>
        <c:lblAlgn val="ctr"/>
        <c:lblOffset val="100"/>
        <c:noMultiLvlLbl val="0"/>
      </c:catAx>
      <c:valAx>
        <c:axId val="6746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357104"/>
        <c:crosses val="autoZero"/>
        <c:crossBetween val="between"/>
      </c:valAx>
      <c:valAx>
        <c:axId val="67467760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352704"/>
        <c:crosses val="max"/>
        <c:crossBetween val="between"/>
      </c:valAx>
      <c:catAx>
        <c:axId val="19183527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7467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agg_estados_indígena!$B$36</c:f>
              <c:strCache>
                <c:ptCount val="1"/>
                <c:pt idx="0">
                  <c:v> Valor Cotas Pessoa Indígena (R$)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agg_estados_indígena!$A$37:$A$63</c:f>
              <c:strCache>
                <c:ptCount val="27"/>
                <c:pt idx="0">
                  <c:v>AMAZONAS</c:v>
                </c:pt>
                <c:pt idx="1">
                  <c:v>ACRE</c:v>
                </c:pt>
                <c:pt idx="2">
                  <c:v>RORAIMA</c:v>
                </c:pt>
                <c:pt idx="3">
                  <c:v>BAHIA</c:v>
                </c:pt>
                <c:pt idx="4">
                  <c:v>PARAÍBA</c:v>
                </c:pt>
                <c:pt idx="5">
                  <c:v>DISTRITO FEDERAL</c:v>
                </c:pt>
                <c:pt idx="6">
                  <c:v>MATO GROSSO DO SUL</c:v>
                </c:pt>
                <c:pt idx="7">
                  <c:v>TOCANTINS</c:v>
                </c:pt>
                <c:pt idx="8">
                  <c:v>SANTA CATARINA</c:v>
                </c:pt>
                <c:pt idx="9">
                  <c:v>RIO GRANDE DO NORTE</c:v>
                </c:pt>
                <c:pt idx="10">
                  <c:v>CEARÁ</c:v>
                </c:pt>
                <c:pt idx="11">
                  <c:v>MARANHÃO</c:v>
                </c:pt>
                <c:pt idx="12">
                  <c:v>MINAS GERAIS</c:v>
                </c:pt>
                <c:pt idx="13">
                  <c:v>AMAPÁ</c:v>
                </c:pt>
                <c:pt idx="14">
                  <c:v>PERNAMBUCO</c:v>
                </c:pt>
                <c:pt idx="15">
                  <c:v>PARÁ</c:v>
                </c:pt>
                <c:pt idx="16">
                  <c:v>SÃO PAULO</c:v>
                </c:pt>
                <c:pt idx="17">
                  <c:v>ESPÍRITO SANTO</c:v>
                </c:pt>
                <c:pt idx="18">
                  <c:v>PIAUÍ</c:v>
                </c:pt>
                <c:pt idx="19">
                  <c:v>PARANÁ</c:v>
                </c:pt>
                <c:pt idx="20">
                  <c:v>SERGIPE</c:v>
                </c:pt>
                <c:pt idx="21">
                  <c:v>ALAGOAS</c:v>
                </c:pt>
                <c:pt idx="22">
                  <c:v>RIO GRANDE DO SUL</c:v>
                </c:pt>
                <c:pt idx="23">
                  <c:v>GOIÁS</c:v>
                </c:pt>
                <c:pt idx="24">
                  <c:v>RIO DE JANEIRO</c:v>
                </c:pt>
                <c:pt idx="25">
                  <c:v>MATO GROSSO</c:v>
                </c:pt>
                <c:pt idx="26">
                  <c:v>RONDÔNIA</c:v>
                </c:pt>
              </c:strCache>
            </c:strRef>
          </c:cat>
          <c:val>
            <c:numRef>
              <c:f>agg_estados_indígena!$B$37:$B$63</c:f>
              <c:numCache>
                <c:formatCode>"R$"\ #,##0.00</c:formatCode>
                <c:ptCount val="27"/>
                <c:pt idx="0">
                  <c:v>8821792.4692580514</c:v>
                </c:pt>
                <c:pt idx="1">
                  <c:v>3270862.8531009429</c:v>
                </c:pt>
                <c:pt idx="2">
                  <c:v>1975609.0066826497</c:v>
                </c:pt>
                <c:pt idx="3">
                  <c:v>10185518.394824337</c:v>
                </c:pt>
                <c:pt idx="4">
                  <c:v>4968141.3245306369</c:v>
                </c:pt>
                <c:pt idx="5">
                  <c:v>4192498.9257734716</c:v>
                </c:pt>
                <c:pt idx="6">
                  <c:v>2527118.9560439559</c:v>
                </c:pt>
                <c:pt idx="7">
                  <c:v>2885643.1591664152</c:v>
                </c:pt>
                <c:pt idx="8">
                  <c:v>4689089.5295902882</c:v>
                </c:pt>
                <c:pt idx="9">
                  <c:v>3018356.8460514187</c:v>
                </c:pt>
                <c:pt idx="10">
                  <c:v>9539142.3944476582</c:v>
                </c:pt>
                <c:pt idx="11">
                  <c:v>3204336.124401914</c:v>
                </c:pt>
                <c:pt idx="12">
                  <c:v>13276558.294056913</c:v>
                </c:pt>
                <c:pt idx="13">
                  <c:v>1656722.0779220778</c:v>
                </c:pt>
                <c:pt idx="14">
                  <c:v>6712716.6600000001</c:v>
                </c:pt>
                <c:pt idx="15">
                  <c:v>5927860.4194659162</c:v>
                </c:pt>
                <c:pt idx="16">
                  <c:v>26825000</c:v>
                </c:pt>
                <c:pt idx="17">
                  <c:v>4102756.3924193261</c:v>
                </c:pt>
                <c:pt idx="18">
                  <c:v>2373904.3824701197</c:v>
                </c:pt>
                <c:pt idx="19">
                  <c:v>6241991.8335868921</c:v>
                </c:pt>
                <c:pt idx="20">
                  <c:v>1159914.2857142857</c:v>
                </c:pt>
                <c:pt idx="21">
                  <c:v>2463523.7638668236</c:v>
                </c:pt>
                <c:pt idx="22">
                  <c:v>5287263.053405989</c:v>
                </c:pt>
                <c:pt idx="23">
                  <c:v>4480021.6588512547</c:v>
                </c:pt>
                <c:pt idx="24">
                  <c:v>8208542.3179221991</c:v>
                </c:pt>
                <c:pt idx="25">
                  <c:v>1726267.432321575</c:v>
                </c:pt>
                <c:pt idx="26">
                  <c:v>322000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E-497C-8ED1-5F78679FC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8278304"/>
        <c:axId val="2080762832"/>
      </c:barChart>
      <c:lineChart>
        <c:grouping val="standard"/>
        <c:varyColors val="0"/>
        <c:ser>
          <c:idx val="1"/>
          <c:order val="1"/>
          <c:tx>
            <c:strRef>
              <c:f>agg_estados_indígena!$C$36</c:f>
              <c:strCache>
                <c:ptCount val="1"/>
                <c:pt idx="0">
                  <c:v>% Valor  Pessoa Indígena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agg_estados_indígena!$A$37:$A$63</c:f>
              <c:strCache>
                <c:ptCount val="27"/>
                <c:pt idx="0">
                  <c:v>AMAZONAS</c:v>
                </c:pt>
                <c:pt idx="1">
                  <c:v>ACRE</c:v>
                </c:pt>
                <c:pt idx="2">
                  <c:v>RORAIMA</c:v>
                </c:pt>
                <c:pt idx="3">
                  <c:v>BAHIA</c:v>
                </c:pt>
                <c:pt idx="4">
                  <c:v>PARAÍBA</c:v>
                </c:pt>
                <c:pt idx="5">
                  <c:v>DISTRITO FEDERAL</c:v>
                </c:pt>
                <c:pt idx="6">
                  <c:v>MATO GROSSO DO SUL</c:v>
                </c:pt>
                <c:pt idx="7">
                  <c:v>TOCANTINS</c:v>
                </c:pt>
                <c:pt idx="8">
                  <c:v>SANTA CATARINA</c:v>
                </c:pt>
                <c:pt idx="9">
                  <c:v>RIO GRANDE DO NORTE</c:v>
                </c:pt>
                <c:pt idx="10">
                  <c:v>CEARÁ</c:v>
                </c:pt>
                <c:pt idx="11">
                  <c:v>MARANHÃO</c:v>
                </c:pt>
                <c:pt idx="12">
                  <c:v>MINAS GERAIS</c:v>
                </c:pt>
                <c:pt idx="13">
                  <c:v>AMAPÁ</c:v>
                </c:pt>
                <c:pt idx="14">
                  <c:v>PERNAMBUCO</c:v>
                </c:pt>
                <c:pt idx="15">
                  <c:v>PARÁ</c:v>
                </c:pt>
                <c:pt idx="16">
                  <c:v>SÃO PAULO</c:v>
                </c:pt>
                <c:pt idx="17">
                  <c:v>ESPÍRITO SANTO</c:v>
                </c:pt>
                <c:pt idx="18">
                  <c:v>PIAUÍ</c:v>
                </c:pt>
                <c:pt idx="19">
                  <c:v>PARANÁ</c:v>
                </c:pt>
                <c:pt idx="20">
                  <c:v>SERGIPE</c:v>
                </c:pt>
                <c:pt idx="21">
                  <c:v>ALAGOAS</c:v>
                </c:pt>
                <c:pt idx="22">
                  <c:v>RIO GRANDE DO SUL</c:v>
                </c:pt>
                <c:pt idx="23">
                  <c:v>GOIÁS</c:v>
                </c:pt>
                <c:pt idx="24">
                  <c:v>RIO DE JANEIRO</c:v>
                </c:pt>
                <c:pt idx="25">
                  <c:v>MATO GROSSO</c:v>
                </c:pt>
                <c:pt idx="26">
                  <c:v>RONDÔNIA</c:v>
                </c:pt>
              </c:strCache>
            </c:strRef>
          </c:cat>
          <c:val>
            <c:numRef>
              <c:f>agg_estados_indígena!$C$37:$C$63</c:f>
              <c:numCache>
                <c:formatCode>0%</c:formatCode>
                <c:ptCount val="27"/>
                <c:pt idx="0">
                  <c:v>0.27064043467563792</c:v>
                </c:pt>
                <c:pt idx="1">
                  <c:v>0.22473445182372728</c:v>
                </c:pt>
                <c:pt idx="2">
                  <c:v>0.14350567110439294</c:v>
                </c:pt>
                <c:pt idx="3">
                  <c:v>0.14183983282028043</c:v>
                </c:pt>
                <c:pt idx="4">
                  <c:v>0.13955453158793923</c:v>
                </c:pt>
                <c:pt idx="5">
                  <c:v>0.1374310135561079</c:v>
                </c:pt>
                <c:pt idx="6">
                  <c:v>0.13316044662472104</c:v>
                </c:pt>
                <c:pt idx="7">
                  <c:v>0.11696972675988712</c:v>
                </c:pt>
                <c:pt idx="8">
                  <c:v>0.11199162955792424</c:v>
                </c:pt>
                <c:pt idx="9">
                  <c:v>0.11197762367098567</c:v>
                </c:pt>
                <c:pt idx="10">
                  <c:v>0.10894530995611711</c:v>
                </c:pt>
                <c:pt idx="11">
                  <c:v>0.10319923105964296</c:v>
                </c:pt>
                <c:pt idx="12">
                  <c:v>0.10211755249731305</c:v>
                </c:pt>
                <c:pt idx="13">
                  <c:v>0.10184683391460385</c:v>
                </c:pt>
                <c:pt idx="14">
                  <c:v>0.1018201904645482</c:v>
                </c:pt>
                <c:pt idx="15">
                  <c:v>9.9726374003152957E-2</c:v>
                </c:pt>
                <c:pt idx="16">
                  <c:v>9.9076638965835642E-2</c:v>
                </c:pt>
                <c:pt idx="17">
                  <c:v>9.8790185225603802E-2</c:v>
                </c:pt>
                <c:pt idx="18">
                  <c:v>9.8715252098724213E-2</c:v>
                </c:pt>
                <c:pt idx="19">
                  <c:v>9.7116840199261686E-2</c:v>
                </c:pt>
                <c:pt idx="20">
                  <c:v>9.6258446947243628E-2</c:v>
                </c:pt>
                <c:pt idx="21">
                  <c:v>9.6168662000445951E-2</c:v>
                </c:pt>
                <c:pt idx="22">
                  <c:v>9.5351903578106204E-2</c:v>
                </c:pt>
                <c:pt idx="23">
                  <c:v>9.4787188110427703E-2</c:v>
                </c:pt>
                <c:pt idx="24">
                  <c:v>9.431853749192462E-2</c:v>
                </c:pt>
                <c:pt idx="25">
                  <c:v>9.3574774085081039E-2</c:v>
                </c:pt>
                <c:pt idx="26">
                  <c:v>5.4948805460750851E-2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3E-497C-8ED1-5F78679FC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300304"/>
        <c:axId val="2080766992"/>
      </c:lineChart>
      <c:catAx>
        <c:axId val="191827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0762832"/>
        <c:crosses val="autoZero"/>
        <c:auto val="1"/>
        <c:lblAlgn val="ctr"/>
        <c:lblOffset val="100"/>
        <c:noMultiLvlLbl val="0"/>
      </c:catAx>
      <c:valAx>
        <c:axId val="208076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278304"/>
        <c:crosses val="autoZero"/>
        <c:crossBetween val="between"/>
      </c:valAx>
      <c:valAx>
        <c:axId val="208076699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300304"/>
        <c:crosses val="max"/>
        <c:crossBetween val="between"/>
      </c:valAx>
      <c:catAx>
        <c:axId val="19183003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80766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F05-413A-A291-D7610EA165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05-413A-A291-D7610EA165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F05-413A-A291-D7610EA165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6F05-413A-A291-D7610EA16584}"/>
              </c:ext>
            </c:extLst>
          </c:dPt>
          <c:dLbls>
            <c:dLbl>
              <c:idx val="0"/>
              <c:layout>
                <c:manualLayout>
                  <c:x val="-3.6904571309885344E-2"/>
                  <c:y val="1.09452258239244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F05-413A-A291-D7610EA16584}"/>
                </c:ext>
              </c:extLst>
            </c:dLbl>
            <c:dLbl>
              <c:idx val="1"/>
              <c:layout>
                <c:manualLayout>
                  <c:x val="-3.1632489694187443E-2"/>
                  <c:y val="-5.47261291196224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F05-413A-A291-D7610EA16584}"/>
                </c:ext>
              </c:extLst>
            </c:dLbl>
            <c:dLbl>
              <c:idx val="2"/>
              <c:layout>
                <c:manualLayout>
                  <c:x val="-2.4603047539923564E-2"/>
                  <c:y val="-3.55719839277546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F05-413A-A291-D7610EA16584}"/>
                </c:ext>
              </c:extLst>
            </c:dLbl>
            <c:dLbl>
              <c:idx val="3"/>
              <c:layout>
                <c:manualLayout>
                  <c:x val="3.5147210771319312E-2"/>
                  <c:y val="-1.91541451918677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F05-413A-A291-D7610EA165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agg_estados_indígena!$A$70:$A$73</c:f>
              <c:strCache>
                <c:ptCount val="4"/>
                <c:pt idx="0">
                  <c:v>Pessoas negras</c:v>
                </c:pt>
                <c:pt idx="1">
                  <c:v>Pessoas indígenas</c:v>
                </c:pt>
                <c:pt idx="2">
                  <c:v>Pessoas com deficiência</c:v>
                </c:pt>
                <c:pt idx="3">
                  <c:v>Ampla concorrência</c:v>
                </c:pt>
              </c:strCache>
            </c:strRef>
          </c:cat>
          <c:val>
            <c:numRef>
              <c:f>agg_estados_indígena!$B$70:$B$73</c:f>
              <c:numCache>
                <c:formatCode>0%</c:formatCode>
                <c:ptCount val="4"/>
                <c:pt idx="0">
                  <c:v>0.2566930239266314</c:v>
                </c:pt>
                <c:pt idx="1">
                  <c:v>0.10830155652281273</c:v>
                </c:pt>
                <c:pt idx="2">
                  <c:v>5.6872030920818356E-2</c:v>
                </c:pt>
                <c:pt idx="3">
                  <c:v>0.57813338862973751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05-413A-A291-D7610EA16584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F05-413A-A291-D7610EA165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05-413A-A291-D7610EA165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F05-413A-A291-D7610EA165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05-413A-A291-D7610EA16584}"/>
              </c:ext>
            </c:extLst>
          </c:dPt>
          <c:dLbls>
            <c:dLbl>
              <c:idx val="0"/>
              <c:layout>
                <c:manualLayout>
                  <c:x val="7.1663294702305202E-2"/>
                  <c:y val="-4.43463707204005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348443288464744"/>
                      <c:h val="7.51964894316111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F05-413A-A291-D7610EA16584}"/>
                </c:ext>
              </c:extLst>
            </c:dLbl>
            <c:dLbl>
              <c:idx val="1"/>
              <c:layout>
                <c:manualLayout>
                  <c:x val="8.8017471761499336E-2"/>
                  <c:y val="-5.583788827811660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05-413A-A291-D7610EA16584}"/>
                </c:ext>
              </c:extLst>
            </c:dLbl>
            <c:dLbl>
              <c:idx val="2"/>
              <c:layout>
                <c:manualLayout>
                  <c:x val="8.0847994263532397E-2"/>
                  <c:y val="4.08123339767603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F05-413A-A291-D7610EA16584}"/>
                </c:ext>
              </c:extLst>
            </c:dLbl>
            <c:dLbl>
              <c:idx val="3"/>
              <c:layout>
                <c:manualLayout>
                  <c:x val="-0.10287187305713068"/>
                  <c:y val="-1.40148445702522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05-413A-A291-D7610EA165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agg_estados_indígena!$A$70:$A$73</c:f>
              <c:strCache>
                <c:ptCount val="4"/>
                <c:pt idx="0">
                  <c:v>Pessoas negras</c:v>
                </c:pt>
                <c:pt idx="1">
                  <c:v>Pessoas indígenas</c:v>
                </c:pt>
                <c:pt idx="2">
                  <c:v>Pessoas com deficiência</c:v>
                </c:pt>
                <c:pt idx="3">
                  <c:v>Ampla concorrência</c:v>
                </c:pt>
              </c:strCache>
            </c:strRef>
          </c:cat>
          <c:val>
            <c:numRef>
              <c:f>agg_estados_indígena!$C$70:$C$73</c:f>
              <c:numCache>
                <c:formatCode>_-[$R$-416]\ * #,##0.00_-;\-[$R$-416]\ * #,##0.00_-;_-[$R$-416]\ * "-"??_-;_-@_-</c:formatCode>
                <c:ptCount val="4"/>
                <c:pt idx="0">
                  <c:v>416774027</c:v>
                </c:pt>
                <c:pt idx="1">
                  <c:v>175841459</c:v>
                </c:pt>
                <c:pt idx="2">
                  <c:v>92339032</c:v>
                </c:pt>
                <c:pt idx="3">
                  <c:v>938673661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5-413A-A291-D7610EA165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agg_estados_pcd!$B$36</c:f>
              <c:strCache>
                <c:ptCount val="1"/>
                <c:pt idx="0">
                  <c:v> Valor Cotas PCD (R$) 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agg_estados_pcd!$A$37:$A$63</c:f>
              <c:strCache>
                <c:ptCount val="27"/>
                <c:pt idx="0">
                  <c:v>DISTRITO FEDERAL</c:v>
                </c:pt>
                <c:pt idx="1">
                  <c:v>ACRE</c:v>
                </c:pt>
                <c:pt idx="2">
                  <c:v>GOIÁS</c:v>
                </c:pt>
                <c:pt idx="3">
                  <c:v>CEARÁ</c:v>
                </c:pt>
                <c:pt idx="4">
                  <c:v>PARÁ</c:v>
                </c:pt>
                <c:pt idx="5">
                  <c:v>AMAZONAS</c:v>
                </c:pt>
                <c:pt idx="6">
                  <c:v>SANTA CATARINA</c:v>
                </c:pt>
                <c:pt idx="7">
                  <c:v>ALAGOAS</c:v>
                </c:pt>
                <c:pt idx="8">
                  <c:v>AMAPÁ</c:v>
                </c:pt>
                <c:pt idx="9">
                  <c:v>MATO GROSSO DO SUL</c:v>
                </c:pt>
                <c:pt idx="10">
                  <c:v>PARAÍBA</c:v>
                </c:pt>
                <c:pt idx="11">
                  <c:v>RIO DE JANEIRO</c:v>
                </c:pt>
                <c:pt idx="12">
                  <c:v>PARANÁ</c:v>
                </c:pt>
                <c:pt idx="13">
                  <c:v>RIO GRANDE DO NORTE</c:v>
                </c:pt>
                <c:pt idx="14">
                  <c:v>RORAIMA</c:v>
                </c:pt>
                <c:pt idx="15">
                  <c:v>BAHIA</c:v>
                </c:pt>
                <c:pt idx="16">
                  <c:v>MINAS GERAIS</c:v>
                </c:pt>
                <c:pt idx="17">
                  <c:v>PIAUÍ</c:v>
                </c:pt>
                <c:pt idx="18">
                  <c:v>PERNAMBUCO</c:v>
                </c:pt>
                <c:pt idx="19">
                  <c:v>SÃO PAULO</c:v>
                </c:pt>
                <c:pt idx="20">
                  <c:v>SERGIPE</c:v>
                </c:pt>
                <c:pt idx="21">
                  <c:v>TOCANTINS</c:v>
                </c:pt>
                <c:pt idx="22">
                  <c:v>MATO GROSSO</c:v>
                </c:pt>
                <c:pt idx="23">
                  <c:v>RIO GRANDE DO SUL</c:v>
                </c:pt>
                <c:pt idx="24">
                  <c:v>MARANHÃO</c:v>
                </c:pt>
                <c:pt idx="25">
                  <c:v>ESPÍRITO SANTO</c:v>
                </c:pt>
                <c:pt idx="26">
                  <c:v>RONDÔNIA</c:v>
                </c:pt>
              </c:strCache>
            </c:strRef>
          </c:cat>
          <c:val>
            <c:numRef>
              <c:f>agg_estados_pcd!$B$37:$B$63</c:f>
              <c:numCache>
                <c:formatCode>_(* #,##0.00_);_(* \(#,##0.00\);_(* "-"??_);_(@_)</c:formatCode>
                <c:ptCount val="27"/>
                <c:pt idx="0">
                  <c:v>4273856.9212429002</c:v>
                </c:pt>
                <c:pt idx="1">
                  <c:v>2005888.4941265839</c:v>
                </c:pt>
                <c:pt idx="2">
                  <c:v>4480021.6588512547</c:v>
                </c:pt>
                <c:pt idx="3">
                  <c:v>8039142.3944476573</c:v>
                </c:pt>
                <c:pt idx="4">
                  <c:v>5085705.7224659156</c:v>
                </c:pt>
                <c:pt idx="5">
                  <c:v>2574178.4949162058</c:v>
                </c:pt>
                <c:pt idx="6">
                  <c:v>3167621.3960546283</c:v>
                </c:pt>
                <c:pt idx="7">
                  <c:v>1538565.9774556381</c:v>
                </c:pt>
                <c:pt idx="8">
                  <c:v>881932.46753246756</c:v>
                </c:pt>
                <c:pt idx="9">
                  <c:v>1027752.9304029305</c:v>
                </c:pt>
                <c:pt idx="10">
                  <c:v>1815151.5088996005</c:v>
                </c:pt>
                <c:pt idx="11">
                  <c:v>4350501.6831092127</c:v>
                </c:pt>
                <c:pt idx="12">
                  <c:v>3188543.0866047665</c:v>
                </c:pt>
                <c:pt idx="13">
                  <c:v>1333815.3227424563</c:v>
                </c:pt>
                <c:pt idx="14">
                  <c:v>679369.66889421642</c:v>
                </c:pt>
                <c:pt idx="15">
                  <c:v>3534538.3548535174</c:v>
                </c:pt>
                <c:pt idx="16">
                  <c:v>6382596.502499626</c:v>
                </c:pt>
                <c:pt idx="17">
                  <c:v>1170975.7334299167</c:v>
                </c:pt>
                <c:pt idx="18">
                  <c:v>3206358.33</c:v>
                </c:pt>
                <c:pt idx="19">
                  <c:v>12836000</c:v>
                </c:pt>
                <c:pt idx="20">
                  <c:v>559957.14285714296</c:v>
                </c:pt>
                <c:pt idx="21">
                  <c:v>1134054.9682875264</c:v>
                </c:pt>
                <c:pt idx="22">
                  <c:v>830586.54634946678</c:v>
                </c:pt>
                <c:pt idx="23">
                  <c:v>2458572.8381807264</c:v>
                </c:pt>
                <c:pt idx="24">
                  <c:v>1362805.9885784842</c:v>
                </c:pt>
                <c:pt idx="25">
                  <c:v>1787755.7937893884</c:v>
                </c:pt>
                <c:pt idx="26">
                  <c:v>237000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1-4DD6-97DA-5C6D0364A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8278304"/>
        <c:axId val="2080762832"/>
      </c:barChart>
      <c:lineChart>
        <c:grouping val="standard"/>
        <c:varyColors val="0"/>
        <c:ser>
          <c:idx val="1"/>
          <c:order val="1"/>
          <c:tx>
            <c:strRef>
              <c:f>agg_estados_pcd!$C$36</c:f>
              <c:strCache>
                <c:ptCount val="1"/>
                <c:pt idx="0">
                  <c:v>% Valor PCD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agg_estados_pcd!$A$37:$A$63</c:f>
              <c:strCache>
                <c:ptCount val="27"/>
                <c:pt idx="0">
                  <c:v>DISTRITO FEDERAL</c:v>
                </c:pt>
                <c:pt idx="1">
                  <c:v>ACRE</c:v>
                </c:pt>
                <c:pt idx="2">
                  <c:v>GOIÁS</c:v>
                </c:pt>
                <c:pt idx="3">
                  <c:v>CEARÁ</c:v>
                </c:pt>
                <c:pt idx="4">
                  <c:v>PARÁ</c:v>
                </c:pt>
                <c:pt idx="5">
                  <c:v>AMAZONAS</c:v>
                </c:pt>
                <c:pt idx="6">
                  <c:v>SANTA CATARINA</c:v>
                </c:pt>
                <c:pt idx="7">
                  <c:v>ALAGOAS</c:v>
                </c:pt>
                <c:pt idx="8">
                  <c:v>AMAPÁ</c:v>
                </c:pt>
                <c:pt idx="9">
                  <c:v>MATO GROSSO DO SUL</c:v>
                </c:pt>
                <c:pt idx="10">
                  <c:v>PARAÍBA</c:v>
                </c:pt>
                <c:pt idx="11">
                  <c:v>RIO DE JANEIRO</c:v>
                </c:pt>
                <c:pt idx="12">
                  <c:v>PARANÁ</c:v>
                </c:pt>
                <c:pt idx="13">
                  <c:v>RIO GRANDE DO NORTE</c:v>
                </c:pt>
                <c:pt idx="14">
                  <c:v>RORAIMA</c:v>
                </c:pt>
                <c:pt idx="15">
                  <c:v>BAHIA</c:v>
                </c:pt>
                <c:pt idx="16">
                  <c:v>MINAS GERAIS</c:v>
                </c:pt>
                <c:pt idx="17">
                  <c:v>PIAUÍ</c:v>
                </c:pt>
                <c:pt idx="18">
                  <c:v>PERNAMBUCO</c:v>
                </c:pt>
                <c:pt idx="19">
                  <c:v>SÃO PAULO</c:v>
                </c:pt>
                <c:pt idx="20">
                  <c:v>SERGIPE</c:v>
                </c:pt>
                <c:pt idx="21">
                  <c:v>TOCANTINS</c:v>
                </c:pt>
                <c:pt idx="22">
                  <c:v>MATO GROSSO</c:v>
                </c:pt>
                <c:pt idx="23">
                  <c:v>RIO GRANDE DO SUL</c:v>
                </c:pt>
                <c:pt idx="24">
                  <c:v>MARANHÃO</c:v>
                </c:pt>
                <c:pt idx="25">
                  <c:v>ESPÍRITO SANTO</c:v>
                </c:pt>
                <c:pt idx="26">
                  <c:v>RONDÔNIA</c:v>
                </c:pt>
              </c:strCache>
            </c:strRef>
          </c:cat>
          <c:val>
            <c:numRef>
              <c:f>agg_estados_pcd!$C$37:$C$63</c:f>
              <c:numCache>
                <c:formatCode>0%</c:formatCode>
                <c:ptCount val="27"/>
                <c:pt idx="0">
                  <c:v>0.14009794608876061</c:v>
                </c:pt>
                <c:pt idx="1">
                  <c:v>0.13782059089383275</c:v>
                </c:pt>
                <c:pt idx="2">
                  <c:v>9.4787188110427703E-2</c:v>
                </c:pt>
                <c:pt idx="3">
                  <c:v>9.1814004207992975E-2</c:v>
                </c:pt>
                <c:pt idx="4">
                  <c:v>8.5558524502894168E-2</c:v>
                </c:pt>
                <c:pt idx="5">
                  <c:v>7.8972248465894221E-2</c:v>
                </c:pt>
                <c:pt idx="6">
                  <c:v>7.5653723335434159E-2</c:v>
                </c:pt>
                <c:pt idx="7">
                  <c:v>6.0061053041790637E-2</c:v>
                </c:pt>
                <c:pt idx="8">
                  <c:v>5.4216715489983747E-2</c:v>
                </c:pt>
                <c:pt idx="9">
                  <c:v>5.4154965244121112E-2</c:v>
                </c:pt>
                <c:pt idx="10">
                  <c:v>5.0987401935382037E-2</c:v>
                </c:pt>
                <c:pt idx="11">
                  <c:v>4.9988529048709783E-2</c:v>
                </c:pt>
                <c:pt idx="12">
                  <c:v>4.9609361509259181E-2</c:v>
                </c:pt>
                <c:pt idx="13">
                  <c:v>4.9483039241048278E-2</c:v>
                </c:pt>
                <c:pt idx="14">
                  <c:v>4.9348529963598474E-2</c:v>
                </c:pt>
                <c:pt idx="15">
                  <c:v>4.922069843828878E-2</c:v>
                </c:pt>
                <c:pt idx="16">
                  <c:v>4.9092175771557549E-2</c:v>
                </c:pt>
                <c:pt idx="17">
                  <c:v>4.8693269021536791E-2</c:v>
                </c:pt>
                <c:pt idx="18">
                  <c:v>4.8634857151588856E-2</c:v>
                </c:pt>
                <c:pt idx="19">
                  <c:v>4.7409048938134808E-2</c:v>
                </c:pt>
                <c:pt idx="20">
                  <c:v>4.6469472436277422E-2</c:v>
                </c:pt>
                <c:pt idx="21">
                  <c:v>4.5968989391468436E-2</c:v>
                </c:pt>
                <c:pt idx="22">
                  <c:v>4.5023121549732585E-2</c:v>
                </c:pt>
                <c:pt idx="23">
                  <c:v>4.4338554340500026E-2</c:v>
                </c:pt>
                <c:pt idx="24">
                  <c:v>4.3890692063719296E-2</c:v>
                </c:pt>
                <c:pt idx="25">
                  <c:v>4.3047334307473838E-2</c:v>
                </c:pt>
                <c:pt idx="26">
                  <c:v>4.0443686006825935E-2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31-4DD6-97DA-5C6D0364A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300304"/>
        <c:axId val="2080766992"/>
      </c:lineChart>
      <c:catAx>
        <c:axId val="191827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0762832"/>
        <c:crosses val="autoZero"/>
        <c:auto val="1"/>
        <c:lblAlgn val="ctr"/>
        <c:lblOffset val="100"/>
        <c:noMultiLvlLbl val="0"/>
      </c:catAx>
      <c:valAx>
        <c:axId val="208076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278304"/>
        <c:crosses val="autoZero"/>
        <c:crossBetween val="between"/>
      </c:valAx>
      <c:valAx>
        <c:axId val="208076699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300304"/>
        <c:crosses val="max"/>
        <c:crossBetween val="between"/>
      </c:valAx>
      <c:catAx>
        <c:axId val="19183003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80766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1076325</xdr:colOff>
      <xdr:row>2</xdr:row>
      <xdr:rowOff>60325</xdr:rowOff>
    </xdr:from>
    <xdr:to>
      <xdr:col>5</xdr:col>
      <xdr:colOff>663575</xdr:colOff>
      <xdr:row>17</xdr:row>
      <xdr:rowOff>41275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037FF3E-7DBC-4A24-8177-3906ADAA2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1050925</xdr:colOff>
      <xdr:row>19</xdr:row>
      <xdr:rowOff>130175</xdr:rowOff>
    </xdr:from>
    <xdr:to>
      <xdr:col>5</xdr:col>
      <xdr:colOff>638175</xdr:colOff>
      <xdr:row>34</xdr:row>
      <xdr:rowOff>111125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8E6194-47DA-42B8-AE70-02C2357ED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822325</xdr:colOff>
      <xdr:row>2</xdr:row>
      <xdr:rowOff>60325</xdr:rowOff>
    </xdr:from>
    <xdr:to>
      <xdr:col>5</xdr:col>
      <xdr:colOff>663575</xdr:colOff>
      <xdr:row>17</xdr:row>
      <xdr:rowOff>41275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39650AD-8F38-43D4-BA08-87AC617AC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657225</xdr:colOff>
      <xdr:row>19</xdr:row>
      <xdr:rowOff>47625</xdr:rowOff>
    </xdr:from>
    <xdr:to>
      <xdr:col>5</xdr:col>
      <xdr:colOff>244475</xdr:colOff>
      <xdr:row>34</xdr:row>
      <xdr:rowOff>28575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CE8C758-A2C8-4DC4-8A82-D23B14641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36762</xdr:colOff>
      <xdr:row>0</xdr:row>
      <xdr:rowOff>111404</xdr:rowOff>
    </xdr:from>
    <xdr:to>
      <xdr:col>7</xdr:col>
      <xdr:colOff>1392544</xdr:colOff>
      <xdr:row>23</xdr:row>
      <xdr:rowOff>155964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3497354-D174-4EBE-ADF0-CFCB8B9A4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691695</xdr:colOff>
      <xdr:row>41</xdr:row>
      <xdr:rowOff>126544</xdr:rowOff>
    </xdr:from>
    <xdr:to>
      <xdr:col>12</xdr:col>
      <xdr:colOff>244928</xdr:colOff>
      <xdr:row>87</xdr:row>
      <xdr:rowOff>145143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A4C398-2A63-4492-870C-B5DFE9B75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984249</xdr:colOff>
      <xdr:row>39</xdr:row>
      <xdr:rowOff>88899</xdr:rowOff>
    </xdr:from>
    <xdr:to>
      <xdr:col>9</xdr:col>
      <xdr:colOff>498928</xdr:colOff>
      <xdr:row>64</xdr:row>
      <xdr:rowOff>117927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98869B3-DD97-48A2-AA18-1AC447068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984249</xdr:colOff>
      <xdr:row>39</xdr:row>
      <xdr:rowOff>88899</xdr:rowOff>
    </xdr:from>
    <xdr:to>
      <xdr:col>9</xdr:col>
      <xdr:colOff>498928</xdr:colOff>
      <xdr:row>64</xdr:row>
      <xdr:rowOff>117927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8E22A7-F20C-41CA-9899-08E58F775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984249</xdr:colOff>
      <xdr:row>39</xdr:row>
      <xdr:rowOff>88899</xdr:rowOff>
    </xdr:from>
    <xdr:to>
      <xdr:col>9</xdr:col>
      <xdr:colOff>498928</xdr:colOff>
      <xdr:row>64</xdr:row>
      <xdr:rowOff>117927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2AD5B6-3D79-49F3-9634-212E2A789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749300</xdr:colOff>
      <xdr:row>35</xdr:row>
      <xdr:rowOff>114300</xdr:rowOff>
    </xdr:from>
    <xdr:to>
      <xdr:col>13</xdr:col>
      <xdr:colOff>635000</xdr:colOff>
      <xdr:row>64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CFC97A9-9DCF-4718-9748-93BB9DCC3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1231900</xdr:colOff>
      <xdr:row>35</xdr:row>
      <xdr:rowOff>165100</xdr:rowOff>
    </xdr:from>
    <xdr:to>
      <xdr:col>26</xdr:col>
      <xdr:colOff>317500</xdr:colOff>
      <xdr:row>63</xdr:row>
      <xdr:rowOff>165100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08A8B2-EDE4-430D-9754-8C64F36184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177800</xdr:colOff>
      <xdr:row>32</xdr:row>
      <xdr:rowOff>63500</xdr:rowOff>
    </xdr:from>
    <xdr:to>
      <xdr:col>17</xdr:col>
      <xdr:colOff>520700</xdr:colOff>
      <xdr:row>60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0AEDB71-6436-41FE-BEC8-DEBA9910D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1050534</xdr:colOff>
      <xdr:row>35</xdr:row>
      <xdr:rowOff>227040</xdr:rowOff>
    </xdr:from>
    <xdr:to>
      <xdr:col>12</xdr:col>
      <xdr:colOff>1593070</xdr:colOff>
      <xdr:row>63</xdr:row>
      <xdr:rowOff>44561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8FB9F02-4605-4D8E-A315-547C1E2DC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359832</xdr:colOff>
      <xdr:row>66</xdr:row>
      <xdr:rowOff>137917</xdr:rowOff>
    </xdr:from>
    <xdr:to>
      <xdr:col>8</xdr:col>
      <xdr:colOff>278509</xdr:colOff>
      <xdr:row>91</xdr:row>
      <xdr:rowOff>44560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0499AF4-ED70-4A18-9A69-09808A985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1050534</xdr:colOff>
      <xdr:row>36</xdr:row>
      <xdr:rowOff>33421</xdr:rowOff>
    </xdr:from>
    <xdr:to>
      <xdr:col>12</xdr:col>
      <xdr:colOff>1593070</xdr:colOff>
      <xdr:row>63</xdr:row>
      <xdr:rowOff>44561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14B244-D8D7-4FF2-86F4-27FAD7F83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Ribeiro Bizerril" refreshedDate="46051.42404189815" createdVersion="8" refreshedVersion="8" minRefreshableVersion="3" recordCount="496" xr:uid="{70E344C0-4BBF-BA47-9EBC-058A482CE8AC}">
  <cacheSource type="worksheet">
    <worksheetSource name="Table1"/>
  </cacheSource>
  <cacheFields count="21">
    <cacheField name="ente_federativo" numFmtId="49">
      <sharedItems count="53">
        <s v="ACRE"/>
        <s v="ALAGOAS"/>
        <s v="AMAPÁ"/>
        <s v="AMAZONAS"/>
        <s v="ARACAJU"/>
        <s v="BAHIA"/>
        <s v="BELÉM"/>
        <s v="BELO HORIZONTE"/>
        <s v="BOA VISTA"/>
        <s v="CAMPO GRANDE"/>
        <s v="CEARÁ"/>
        <s v="CUIABÁ"/>
        <s v="CURITIBA"/>
        <s v="DISTRITO FEDERAL"/>
        <s v="ESPÍRITO SANTO"/>
        <s v="FLORIANÓPOLIS"/>
        <s v="FORTALEZA"/>
        <s v="GOIÂNIA"/>
        <s v="GOIÁS"/>
        <s v="JOÃO PESSOA"/>
        <s v="MACAPÁ"/>
        <s v="MACEIÓ"/>
        <s v="MANAUS"/>
        <s v="MARANHÃO"/>
        <s v="MATO GROSSO"/>
        <s v="MATO GROSSO DO SUL"/>
        <s v="MINAS GERAIS"/>
        <s v="NATAL"/>
        <s v="PALMAS"/>
        <s v="PARÁ"/>
        <s v="PARAÍBA"/>
        <s v="PARANÁ"/>
        <s v="PERNAMBUCO"/>
        <s v="PIAUÍ"/>
        <s v="PORTO ALEGRE"/>
        <s v="PORTO VELHO"/>
        <s v="RECIFE"/>
        <s v="RIO BRANCO"/>
        <s v="RIO DE JANEIRO"/>
        <s v="RIO DE JANEIRO (capital)"/>
        <s v="RIO GRANDE DO NORTE"/>
        <s v="RIO GRANDE DO SUL"/>
        <s v="RONDÔNIA"/>
        <s v="RORAIMA"/>
        <s v="SALVADOR"/>
        <s v="SANTA CATARINA"/>
        <s v="SÃO LUIS"/>
        <s v="SÃO PAULO"/>
        <s v="SÃO PAULO (capital)"/>
        <s v="SERGIPE"/>
        <s v="TERESINA"/>
        <s v="TOCANTINS"/>
        <s v="VITÓRIA"/>
      </sharedItems>
    </cacheField>
    <cacheField name="nome_pdf_pk" numFmtId="0">
      <sharedItems/>
    </cacheField>
    <cacheField name="valor_total" numFmtId="44">
      <sharedItems containsSemiMixedTypes="0" containsString="0" containsNumber="1" minValue="100000" maxValue="40000000"/>
    </cacheField>
    <cacheField name="perc_cotas_negras" numFmtId="9">
      <sharedItems containsSemiMixedTypes="0" containsString="0" containsNumber="1" minValue="0" maxValue="1"/>
    </cacheField>
    <cacheField name="perc_cotas_indigenas" numFmtId="9">
      <sharedItems containsSemiMixedTypes="0" containsString="0" containsNumber="1" minValue="0" maxValue="1"/>
    </cacheField>
    <cacheField name="perc_cotas_pcd" numFmtId="9">
      <sharedItems containsSemiMixedTypes="0" containsString="0" containsNumber="1" minValue="0" maxValue="1"/>
    </cacheField>
    <cacheField name="vagas_totais" numFmtId="0">
      <sharedItems containsString="0" containsBlank="1" containsNumber="1" containsInteger="1" minValue="1" maxValue="2114"/>
    </cacheField>
    <cacheField name="específico" numFmtId="0">
      <sharedItems containsBlank="1"/>
    </cacheField>
    <cacheField name="flag_cotas_negras" numFmtId="0">
      <sharedItems count="2">
        <b v="1"/>
        <b v="0"/>
      </sharedItems>
    </cacheField>
    <cacheField name="flag_cotas_indigenas" numFmtId="0">
      <sharedItems/>
    </cacheField>
    <cacheField name="flag_cotas_pcd" numFmtId="0">
      <sharedItems/>
    </cacheField>
    <cacheField name="cod_ibge" numFmtId="49">
      <sharedItems/>
    </cacheField>
    <cacheField name="tipo_ente" numFmtId="49">
      <sharedItems count="2">
        <s v="ESTADO"/>
        <s v="CAPITAL"/>
      </sharedItems>
    </cacheField>
    <cacheField name="vagas_cotas_negras" numFmtId="0">
      <sharedItems containsString="0" containsBlank="1" containsNumber="1" containsInteger="1" minValue="0" maxValue="528"/>
    </cacheField>
    <cacheField name="vagas_cotas_indigenas" numFmtId="0">
      <sharedItems containsString="0" containsBlank="1" containsNumber="1" containsInteger="1" minValue="0" maxValue="211"/>
    </cacheField>
    <cacheField name="vagas_cotas_pcd" numFmtId="0">
      <sharedItems containsString="0" containsBlank="1" containsNumber="1" containsInteger="1" minValue="0" maxValue="106"/>
    </cacheField>
    <cacheField name="valor_por_vaga" numFmtId="44">
      <sharedItems containsString="0" containsBlank="1" containsNumber="1" minValue="1359.2233009708741" maxValue="4000000"/>
    </cacheField>
    <cacheField name="valor_cotas_negras" numFmtId="44">
      <sharedItems containsSemiMixedTypes="0" containsString="0" containsNumber="1" minValue="0" maxValue="10000000"/>
    </cacheField>
    <cacheField name="valor_cotas_indigenas" numFmtId="44">
      <sharedItems containsSemiMixedTypes="0" containsString="0" containsNumber="1" minValue="0" maxValue="4000000"/>
    </cacheField>
    <cacheField name="valor_cotas_pcd" numFmtId="44">
      <sharedItems containsSemiMixedTypes="0" containsString="0" containsNumber="1" minValue="0" maxValue="4020198.3846575348"/>
    </cacheField>
    <cacheField name="tipo_edital" numFmtId="49">
      <sharedItems count="5">
        <s v="BOLSA"/>
        <s v="CULTURA VIVA"/>
        <s v="FOMENTO"/>
        <s v="PRÊMIO"/>
        <s v="SUBSÍDI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6.577855902775" createdVersion="6" refreshedVersion="8" minRefreshableVersion="3" recordCount="496" xr:uid="{8EF1683D-0F51-4F88-A829-117A05BAC64B}">
  <cacheSource type="worksheet">
    <worksheetSource name="Table1"/>
  </cacheSource>
  <cacheFields count="21">
    <cacheField name="ente_federativo" numFmtId="49">
      <sharedItems count="53">
        <s v="ACRE"/>
        <s v="ALAGOAS"/>
        <s v="AMAPÁ"/>
        <s v="AMAZONAS"/>
        <s v="ARACAJU"/>
        <s v="BAHIA"/>
        <s v="BELÉM"/>
        <s v="BELO HORIZONTE"/>
        <s v="BOA VISTA"/>
        <s v="CAMPO GRANDE"/>
        <s v="CEARÁ"/>
        <s v="CUIABÁ"/>
        <s v="CURITIBA"/>
        <s v="DISTRITO FEDERAL"/>
        <s v="ESPÍRITO SANTO"/>
        <s v="FLORIANÓPOLIS"/>
        <s v="FORTALEZA"/>
        <s v="GOIÂNIA"/>
        <s v="GOIÁS"/>
        <s v="JOÃO PESSOA"/>
        <s v="MACAPÁ"/>
        <s v="MACEIÓ"/>
        <s v="MANAUS"/>
        <s v="MARANHÃO"/>
        <s v="MATO GROSSO"/>
        <s v="MATO GROSSO DO SUL"/>
        <s v="MINAS GERAIS"/>
        <s v="NATAL"/>
        <s v="PALMAS"/>
        <s v="PARÁ"/>
        <s v="PARAÍBA"/>
        <s v="PARANÁ"/>
        <s v="PERNAMBUCO"/>
        <s v="PIAUÍ"/>
        <s v="PORTO ALEGRE"/>
        <s v="PORTO VELHO"/>
        <s v="RECIFE"/>
        <s v="RIO BRANCO"/>
        <s v="RIO DE JANEIRO"/>
        <s v="RIO DE JANEIRO (capital)"/>
        <s v="RIO GRANDE DO NORTE"/>
        <s v="RIO GRANDE DO SUL"/>
        <s v="RONDÔNIA"/>
        <s v="RORAIMA"/>
        <s v="SALVADOR"/>
        <s v="SANTA CATARINA"/>
        <s v="SÃO LUIS"/>
        <s v="SÃO PAULO"/>
        <s v="SÃO PAULO (capital)"/>
        <s v="SERGIPE"/>
        <s v="TERESINA"/>
        <s v="TOCANTINS"/>
        <s v="VITÓRIA"/>
      </sharedItems>
    </cacheField>
    <cacheField name="nome_pdf_pk" numFmtId="0">
      <sharedItems/>
    </cacheField>
    <cacheField name="valor_total" numFmtId="44">
      <sharedItems containsSemiMixedTypes="0" containsString="0" containsNumber="1" minValue="100000" maxValue="40000000"/>
    </cacheField>
    <cacheField name="perc_cotas_negras" numFmtId="9">
      <sharedItems containsSemiMixedTypes="0" containsString="0" containsNumber="1" minValue="0" maxValue="1"/>
    </cacheField>
    <cacheField name="perc_cotas_indigenas" numFmtId="9">
      <sharedItems containsSemiMixedTypes="0" containsString="0" containsNumber="1" minValue="0" maxValue="1"/>
    </cacheField>
    <cacheField name="perc_cotas_pcd" numFmtId="9">
      <sharedItems containsSemiMixedTypes="0" containsString="0" containsNumber="1" minValue="0" maxValue="1"/>
    </cacheField>
    <cacheField name="vagas_totais" numFmtId="0">
      <sharedItems containsString="0" containsBlank="1" containsNumber="1" containsInteger="1" minValue="1" maxValue="2114"/>
    </cacheField>
    <cacheField name="específico" numFmtId="0">
      <sharedItems containsBlank="1" count="21">
        <m/>
        <s v="MESTRES E MESTRAS"/>
        <s v="INDÍGENA"/>
        <s v="LGBTQIAPN+"/>
        <s v="POVOS E COMUNIDADES TRADICIONAIS"/>
        <s v="PERIFERIAS"/>
        <s v="NEGRA"/>
        <s v="INFÂNCIA"/>
        <s v="PCD"/>
        <s v="IDOSO"/>
        <s v="MESTRAS/ MULHER"/>
        <s v="MESTRES E MESTRAS "/>
        <s v="MULHER"/>
        <s v="POVOS E COMUNIDADES TRADICIONAIS "/>
        <s v="POVOS E COMUNIDADES TRADICIONAIS (QUILOMBOLA)"/>
        <s v="MULHER / NEGRA"/>
        <s v="JUVENTUDE"/>
        <s v="INFÂNCIA / JUVENTUDE"/>
        <s v="PESSOAS TRANS" u="1"/>
        <s v="POVOS E COMUNIDADES TRADICIONAIS (INDÍGENA / QUILOMBOLA)" u="1"/>
        <s v="POVOS E COMUNIDADES TRADICIONAIS (CIGANO)" u="1"/>
      </sharedItems>
    </cacheField>
    <cacheField name="flag_cotas_negras" numFmtId="0">
      <sharedItems/>
    </cacheField>
    <cacheField name="flag_cotas_indigenas" numFmtId="0">
      <sharedItems/>
    </cacheField>
    <cacheField name="flag_cotas_pcd" numFmtId="0">
      <sharedItems/>
    </cacheField>
    <cacheField name="cod_ibge" numFmtId="49">
      <sharedItems/>
    </cacheField>
    <cacheField name="tipo_ente" numFmtId="49">
      <sharedItems count="2">
        <s v="ESTADO"/>
        <s v="CAPITAL"/>
      </sharedItems>
    </cacheField>
    <cacheField name="vagas_cotas_negras" numFmtId="0">
      <sharedItems containsString="0" containsBlank="1" containsNumber="1" containsInteger="1" minValue="0" maxValue="528"/>
    </cacheField>
    <cacheField name="vagas_cotas_indigenas" numFmtId="0">
      <sharedItems containsString="0" containsBlank="1" containsNumber="1" containsInteger="1" minValue="0" maxValue="211"/>
    </cacheField>
    <cacheField name="vagas_cotas_pcd" numFmtId="0">
      <sharedItems containsString="0" containsBlank="1" containsNumber="1" containsInteger="1" minValue="0" maxValue="106"/>
    </cacheField>
    <cacheField name="valor_por_vaga" numFmtId="44">
      <sharedItems containsString="0" containsBlank="1" containsNumber="1" minValue="1359.2233009708741" maxValue="4000000"/>
    </cacheField>
    <cacheField name="valor_cotas_negras" numFmtId="44">
      <sharedItems containsSemiMixedTypes="0" containsString="0" containsNumber="1" minValue="0" maxValue="10000000"/>
    </cacheField>
    <cacheField name="valor_cotas_indigenas" numFmtId="44">
      <sharedItems containsSemiMixedTypes="0" containsString="0" containsNumber="1" minValue="0" maxValue="4000000"/>
    </cacheField>
    <cacheField name="valor_cotas_pcd" numFmtId="44">
      <sharedItems containsSemiMixedTypes="0" containsString="0" containsNumber="1" minValue="0" maxValue="4020198.3846575348"/>
    </cacheField>
    <cacheField name="tipo_edital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6">
  <r>
    <x v="0"/>
    <s v="ACRE_BOLSA_112024.pdf"/>
    <n v="696000"/>
    <n v="0.26"/>
    <n v="0.12"/>
    <n v="0.12"/>
    <n v="42"/>
    <m/>
    <x v="0"/>
    <b v="1"/>
    <b v="1"/>
    <s v="12"/>
    <x v="0"/>
    <n v="11"/>
    <n v="5"/>
    <n v="5"/>
    <n v="16571.428571428569"/>
    <n v="182285.71428571429"/>
    <n v="82857.14285714287"/>
    <n v="82857.14285714287"/>
    <x v="0"/>
  </r>
  <r>
    <x v="0"/>
    <s v="ACRE_CULTURAVIVA_012025.pdf"/>
    <n v="1470000"/>
    <n v="0.28570000000000001"/>
    <n v="0.1429"/>
    <n v="0.1429"/>
    <n v="42"/>
    <m/>
    <x v="0"/>
    <b v="1"/>
    <b v="1"/>
    <s v="12"/>
    <x v="0"/>
    <n v="12"/>
    <n v="6"/>
    <n v="6"/>
    <n v="35000"/>
    <n v="420000"/>
    <n v="210000"/>
    <n v="210000"/>
    <x v="1"/>
  </r>
  <r>
    <x v="0"/>
    <s v="ACRE_CULTURAVIVA_122024.pdf"/>
    <n v="1672276.38"/>
    <n v="0.16669999999999999"/>
    <n v="0.16669999999999999"/>
    <n v="0.16669999999999999"/>
    <n v="30"/>
    <m/>
    <x v="1"/>
    <b v="1"/>
    <b v="1"/>
    <s v="12"/>
    <x v="0"/>
    <n v="5"/>
    <n v="5"/>
    <n v="5"/>
    <n v="55742.545999999988"/>
    <n v="278712.73"/>
    <n v="278712.73"/>
    <n v="278712.73"/>
    <x v="1"/>
  </r>
  <r>
    <x v="0"/>
    <s v="ACRE_CULTURAVIVA_132024.pdf"/>
    <n v="418069.1"/>
    <n v="0"/>
    <n v="0"/>
    <n v="0"/>
    <n v="1"/>
    <m/>
    <x v="0"/>
    <b v="1"/>
    <b v="1"/>
    <s v="12"/>
    <x v="0"/>
    <n v="0"/>
    <n v="0"/>
    <n v="0"/>
    <n v="418069.1"/>
    <n v="0"/>
    <n v="0"/>
    <n v="0"/>
    <x v="1"/>
  </r>
  <r>
    <x v="0"/>
    <s v="ACRE_FOMENTO_062024.pdf"/>
    <n v="4100000"/>
    <n v="0.25"/>
    <n v="0.18"/>
    <n v="0.18"/>
    <n v="122"/>
    <m/>
    <x v="0"/>
    <b v="1"/>
    <b v="1"/>
    <s v="12"/>
    <x v="0"/>
    <n v="30"/>
    <n v="22"/>
    <n v="22"/>
    <n v="33606.557377049183"/>
    <n v="1008196.721311475"/>
    <n v="739344.26229508198"/>
    <n v="739344.26229508198"/>
    <x v="2"/>
  </r>
  <r>
    <x v="0"/>
    <s v="ACRE_FOMENTO_072024.pdf"/>
    <n v="300000"/>
    <n v="0.27800000000000002"/>
    <n v="0.111"/>
    <n v="5.6000000000000008E-2"/>
    <n v="18"/>
    <m/>
    <x v="0"/>
    <b v="1"/>
    <b v="1"/>
    <s v="12"/>
    <x v="0"/>
    <n v="5"/>
    <n v="2"/>
    <n v="1"/>
    <n v="16666.666666666672"/>
    <n v="83333.333333333343"/>
    <n v="33333.333333333343"/>
    <n v="16666.666666666672"/>
    <x v="2"/>
  </r>
  <r>
    <x v="0"/>
    <s v="ACRE_FOMENTO_082024.pdf"/>
    <n v="200000"/>
    <n v="0.5"/>
    <n v="0"/>
    <n v="0"/>
    <n v="10"/>
    <m/>
    <x v="0"/>
    <b v="0"/>
    <b v="1"/>
    <s v="12"/>
    <x v="0"/>
    <n v="5"/>
    <n v="0"/>
    <n v="0"/>
    <n v="20000"/>
    <n v="100000"/>
    <n v="0"/>
    <n v="0"/>
    <x v="2"/>
  </r>
  <r>
    <x v="0"/>
    <s v="ACRE_FOMENTO_092024.pdf"/>
    <n v="2500000"/>
    <n v="0.307"/>
    <n v="0.15379999999999999"/>
    <n v="7.6899999999999996E-2"/>
    <n v="13"/>
    <m/>
    <x v="0"/>
    <b v="1"/>
    <b v="1"/>
    <s v="12"/>
    <x v="0"/>
    <n v="4"/>
    <n v="2"/>
    <n v="1"/>
    <n v="192307.69230769231"/>
    <n v="769230.76923076925"/>
    <n v="384615.38461538462"/>
    <n v="192307.69230769231"/>
    <x v="2"/>
  </r>
  <r>
    <x v="0"/>
    <s v="ACRE_PRÊMIO_142024.pdf"/>
    <n v="900000"/>
    <n v="0.2"/>
    <n v="0.2"/>
    <n v="0.2"/>
    <n v="60"/>
    <s v="MESTRES E MESTRAS"/>
    <x v="0"/>
    <b v="1"/>
    <b v="1"/>
    <s v="12"/>
    <x v="0"/>
    <n v="12"/>
    <n v="12"/>
    <n v="12"/>
    <n v="15000"/>
    <n v="180000"/>
    <n v="180000"/>
    <n v="180000"/>
    <x v="3"/>
  </r>
  <r>
    <x v="0"/>
    <s v="ACRE_PRÊMIO_152024.pdf"/>
    <n v="1200000"/>
    <n v="0"/>
    <n v="1"/>
    <n v="0.15"/>
    <n v="80"/>
    <s v="INDÍGENA"/>
    <x v="0"/>
    <b v="1"/>
    <b v="1"/>
    <s v="12"/>
    <x v="0"/>
    <n v="0"/>
    <n v="80"/>
    <n v="12"/>
    <n v="15000"/>
    <n v="0"/>
    <n v="1200000"/>
    <n v="180000"/>
    <x v="3"/>
  </r>
  <r>
    <x v="0"/>
    <s v="ACRE_SUBSÍDIO_102024.pdf"/>
    <n v="1098000"/>
    <n v="0.26229999999999998"/>
    <n v="0.14749999999999999"/>
    <n v="0.1148"/>
    <n v="61"/>
    <m/>
    <x v="0"/>
    <b v="1"/>
    <b v="1"/>
    <s v="12"/>
    <x v="0"/>
    <n v="16"/>
    <n v="9"/>
    <n v="7"/>
    <n v="18000"/>
    <n v="288000"/>
    <n v="162000"/>
    <n v="126000"/>
    <x v="4"/>
  </r>
  <r>
    <x v="1"/>
    <s v="ALAGOAS_CULTURAVIVA_012025.pdf"/>
    <n v="2616000"/>
    <n v="0.25"/>
    <n v="8.3299999999999999E-2"/>
    <n v="4.1700000000000001E-2"/>
    <n v="24"/>
    <m/>
    <x v="0"/>
    <b v="1"/>
    <b v="1"/>
    <s v="27"/>
    <x v="0"/>
    <n v="6"/>
    <n v="2"/>
    <n v="1"/>
    <n v="109000"/>
    <n v="654000"/>
    <n v="218000"/>
    <n v="109000"/>
    <x v="1"/>
  </r>
  <r>
    <x v="1"/>
    <s v="ALAGOAS_CULTURAVIVA_022025.pdf"/>
    <n v="653000"/>
    <n v="0"/>
    <n v="0"/>
    <n v="0"/>
    <n v="2"/>
    <m/>
    <x v="0"/>
    <b v="1"/>
    <b v="1"/>
    <s v="27"/>
    <x v="0"/>
    <n v="0"/>
    <n v="0"/>
    <n v="0"/>
    <n v="326500"/>
    <n v="0"/>
    <n v="0"/>
    <n v="0"/>
    <x v="1"/>
  </r>
  <r>
    <x v="1"/>
    <s v="ALAGOAS_FOMENTO_072024.pdf"/>
    <n v="900000"/>
    <n v="0.25640000000000002"/>
    <n v="7.6899999999999996E-2"/>
    <n v="5.1299999999999998E-2"/>
    <n v="39"/>
    <m/>
    <x v="0"/>
    <b v="0"/>
    <b v="1"/>
    <s v="27"/>
    <x v="0"/>
    <n v="10"/>
    <n v="3"/>
    <n v="2"/>
    <n v="23076.923076923082"/>
    <n v="230769.23076923081"/>
    <n v="69230.769230769234"/>
    <n v="46153.846153846163"/>
    <x v="2"/>
  </r>
  <r>
    <x v="1"/>
    <s v="ALAGOAS_FOMENTO_082024.pdf"/>
    <n v="1100000"/>
    <n v="0.25"/>
    <n v="0.125"/>
    <n v="0.125"/>
    <n v="16"/>
    <m/>
    <x v="0"/>
    <b v="1"/>
    <b v="1"/>
    <s v="27"/>
    <x v="0"/>
    <n v="4"/>
    <n v="2"/>
    <n v="2"/>
    <n v="68750"/>
    <n v="275000"/>
    <n v="137500"/>
    <n v="137500"/>
    <x v="2"/>
  </r>
  <r>
    <x v="1"/>
    <s v="ALAGOAS_FOMENTO_092024.pdf"/>
    <n v="400000"/>
    <n v="0.26319999999999999"/>
    <n v="0.1053"/>
    <n v="7.0199999999999999E-2"/>
    <n v="57"/>
    <m/>
    <x v="0"/>
    <b v="1"/>
    <b v="1"/>
    <s v="27"/>
    <x v="0"/>
    <n v="15"/>
    <n v="6"/>
    <n v="4"/>
    <n v="7017.5438596491231"/>
    <n v="105263.1578947368"/>
    <n v="42105.26315789474"/>
    <n v="28070.175438596489"/>
    <x v="2"/>
  </r>
  <r>
    <x v="1"/>
    <s v="ALAGOAS_FOMENTO_102024.pdf"/>
    <n v="200000"/>
    <n v="0.25530000000000003"/>
    <n v="0.1176"/>
    <n v="5.8799999999999998E-2"/>
    <n v="17"/>
    <m/>
    <x v="0"/>
    <b v="1"/>
    <b v="1"/>
    <s v="27"/>
    <x v="0"/>
    <n v="4"/>
    <n v="2"/>
    <n v="1"/>
    <n v="11764.705882352941"/>
    <n v="47058.823529411762"/>
    <n v="23529.411764705881"/>
    <n v="11764.705882352941"/>
    <x v="2"/>
  </r>
  <r>
    <x v="1"/>
    <s v="ALAGOAS_FOMENTO_112024.pdf"/>
    <n v="200000"/>
    <n v="0.21429999999999999"/>
    <n v="7.1400000000000005E-2"/>
    <n v="7.1400000000000005E-2"/>
    <n v="14"/>
    <m/>
    <x v="0"/>
    <b v="1"/>
    <b v="1"/>
    <s v="27"/>
    <x v="0"/>
    <n v="3"/>
    <n v="1"/>
    <n v="1"/>
    <n v="14285.71428571429"/>
    <n v="42857.142857142862"/>
    <n v="14285.71428571429"/>
    <n v="14285.71428571429"/>
    <x v="2"/>
  </r>
  <r>
    <x v="1"/>
    <s v="ALAGOAS_FOMENTO_122024.pdf"/>
    <n v="900000"/>
    <n v="0.25640000000000002"/>
    <n v="0.1026"/>
    <n v="7.6899999999999996E-2"/>
    <n v="39"/>
    <m/>
    <x v="0"/>
    <b v="1"/>
    <b v="1"/>
    <s v="27"/>
    <x v="0"/>
    <n v="10"/>
    <n v="4"/>
    <n v="3"/>
    <n v="23076.923076923082"/>
    <n v="230769.23076923081"/>
    <n v="92307.692307692312"/>
    <n v="69230.769230769234"/>
    <x v="2"/>
  </r>
  <r>
    <x v="1"/>
    <s v="ALAGOAS_FOMENTO_132024.pdf"/>
    <n v="200000"/>
    <n v="0.25"/>
    <n v="0.1"/>
    <n v="7.4999999999999997E-2"/>
    <n v="40"/>
    <m/>
    <x v="0"/>
    <b v="1"/>
    <b v="1"/>
    <s v="27"/>
    <x v="0"/>
    <n v="10"/>
    <n v="4"/>
    <n v="3"/>
    <n v="5000"/>
    <n v="50000"/>
    <n v="20000"/>
    <n v="15000"/>
    <x v="2"/>
  </r>
  <r>
    <x v="1"/>
    <s v="ALAGOAS_FOMENTO_152024.pdf"/>
    <n v="900000"/>
    <n v="0.28000000000000003"/>
    <n v="0.125"/>
    <n v="0.1"/>
    <n v="50"/>
    <m/>
    <x v="0"/>
    <b v="1"/>
    <b v="1"/>
    <s v="27"/>
    <x v="0"/>
    <n v="14"/>
    <n v="6"/>
    <n v="5"/>
    <n v="18000"/>
    <n v="252000"/>
    <n v="108000"/>
    <n v="90000"/>
    <x v="2"/>
  </r>
  <r>
    <x v="1"/>
    <s v="ALAGOAS_FOMENTO_172024.pdf"/>
    <n v="1398000"/>
    <n v="0.24099999999999999"/>
    <n v="0.1084"/>
    <n v="6.0199999999999997E-2"/>
    <n v="83"/>
    <m/>
    <x v="0"/>
    <b v="1"/>
    <b v="1"/>
    <s v="27"/>
    <x v="0"/>
    <n v="20"/>
    <n v="9"/>
    <n v="5"/>
    <n v="16843.373493975909"/>
    <n v="336867.46987951809"/>
    <n v="151590.36144578311"/>
    <n v="84216.867469879522"/>
    <x v="2"/>
  </r>
  <r>
    <x v="1"/>
    <s v="ALAGOAS_FOMENTO_182024.pdf"/>
    <n v="1010000"/>
    <n v="0.2571"/>
    <n v="0.1"/>
    <n v="7.1400000000000005E-2"/>
    <n v="70"/>
    <s v="LGBTQIAPN+"/>
    <x v="0"/>
    <b v="1"/>
    <b v="1"/>
    <s v="27"/>
    <x v="0"/>
    <n v="18"/>
    <n v="7"/>
    <n v="5"/>
    <n v="14428.571428571429"/>
    <n v="259714.28571428571"/>
    <n v="101000"/>
    <n v="72142.857142857145"/>
    <x v="2"/>
  </r>
  <r>
    <x v="1"/>
    <s v="ALAGOAS_FOMENTO_192024.pdf"/>
    <n v="1780000"/>
    <n v="0.253"/>
    <n v="9.64E-2"/>
    <n v="6.0199999999999997E-2"/>
    <n v="83"/>
    <m/>
    <x v="0"/>
    <b v="1"/>
    <b v="1"/>
    <s v="27"/>
    <x v="0"/>
    <n v="21"/>
    <n v="8"/>
    <n v="5"/>
    <n v="21445.783132530119"/>
    <n v="450361.44578313251"/>
    <n v="171566.26506024101"/>
    <n v="107228.9156626506"/>
    <x v="2"/>
  </r>
  <r>
    <x v="1"/>
    <s v="2024-20_ALAGOAS_FOMENTO.pdf"/>
    <n v="1800000"/>
    <n v="0.26669999999999999"/>
    <n v="0.1"/>
    <n v="6.6699999999999995E-2"/>
    <n v="90"/>
    <s v="POVOS E COMUNIDADES TRADICIONAIS"/>
    <x v="0"/>
    <b v="1"/>
    <b v="1"/>
    <s v="27"/>
    <x v="0"/>
    <n v="24"/>
    <n v="9"/>
    <n v="6"/>
    <n v="20000"/>
    <n v="480000"/>
    <n v="180000"/>
    <n v="120000"/>
    <x v="2"/>
  </r>
  <r>
    <x v="1"/>
    <s v="ALAGOAS_FOMENTO_212024.pdf"/>
    <n v="1039700"/>
    <n v="0.24099999999999999"/>
    <n v="0.1084"/>
    <n v="9.64E-2"/>
    <n v="83"/>
    <m/>
    <x v="1"/>
    <b v="1"/>
    <b v="1"/>
    <s v="27"/>
    <x v="0"/>
    <n v="20"/>
    <n v="9"/>
    <n v="8"/>
    <n v="12526.506024096379"/>
    <n v="250530.1204819277"/>
    <n v="112738.5542168675"/>
    <n v="100212.04819277109"/>
    <x v="2"/>
  </r>
  <r>
    <x v="1"/>
    <s v="ALAGOAS_FOMENTO_232024.pdf"/>
    <n v="2000000"/>
    <n v="0.2407"/>
    <n v="9.2600000000000002E-2"/>
    <n v="5.5599999999999997E-2"/>
    <n v="54"/>
    <s v="PERIFERIAS"/>
    <x v="0"/>
    <b v="1"/>
    <b v="1"/>
    <s v="27"/>
    <x v="0"/>
    <n v="13"/>
    <n v="5"/>
    <n v="3"/>
    <n v="37037.037037037036"/>
    <n v="481481.48148148152"/>
    <n v="185185.1851851852"/>
    <n v="111111.11111111109"/>
    <x v="2"/>
  </r>
  <r>
    <x v="1"/>
    <s v="ALAGOAS_FOMENTO_242024.pdf"/>
    <n v="2300000"/>
    <n v="0.2485"/>
    <n v="9.7000000000000017E-2"/>
    <n v="4.24E-2"/>
    <n v="165"/>
    <m/>
    <x v="0"/>
    <b v="1"/>
    <b v="0"/>
    <s v="27"/>
    <x v="0"/>
    <n v="41"/>
    <n v="16"/>
    <n v="7"/>
    <n v="13939.39393939394"/>
    <n v="571515.15151515149"/>
    <n v="223030.30303030301"/>
    <n v="97575.757575757583"/>
    <x v="2"/>
  </r>
  <r>
    <x v="1"/>
    <s v="ALAGOAS_FOMENTO_252024.pdf"/>
    <n v="1000000"/>
    <n v="0.2545"/>
    <n v="9.0899999999999995E-2"/>
    <n v="5.45E-2"/>
    <n v="55"/>
    <m/>
    <x v="0"/>
    <b v="1"/>
    <b v="1"/>
    <s v="27"/>
    <x v="0"/>
    <n v="14"/>
    <n v="5"/>
    <n v="3"/>
    <n v="18181.81818181818"/>
    <n v="254545.4545454545"/>
    <n v="90909.090909090897"/>
    <n v="54545.454545454537"/>
    <x v="2"/>
  </r>
  <r>
    <x v="1"/>
    <s v="ALAGOAS_FOMENTO_262024.pdf"/>
    <n v="1000000"/>
    <n v="0.23530000000000001"/>
    <n v="8.8200000000000001E-2"/>
    <n v="5.8799999999999998E-2"/>
    <n v="34"/>
    <m/>
    <x v="0"/>
    <b v="1"/>
    <b v="1"/>
    <s v="27"/>
    <x v="0"/>
    <n v="8"/>
    <n v="3"/>
    <n v="2"/>
    <n v="29411.76470588235"/>
    <n v="235294.1176470588"/>
    <n v="88235.294117647063"/>
    <n v="58823.529411764714"/>
    <x v="2"/>
  </r>
  <r>
    <x v="1"/>
    <s v="ALAGOAS_FOMENTO_272024.pdf"/>
    <n v="1200000"/>
    <n v="0.2535"/>
    <n v="9.8599999999999993E-2"/>
    <n v="4.2299999999999997E-2"/>
    <n v="71"/>
    <m/>
    <x v="0"/>
    <b v="1"/>
    <b v="1"/>
    <s v="27"/>
    <x v="0"/>
    <n v="18"/>
    <n v="7"/>
    <n v="3"/>
    <n v="16901.408450704221"/>
    <n v="304225.35211267602"/>
    <n v="118309.8591549296"/>
    <n v="50704.225352112669"/>
    <x v="2"/>
  </r>
  <r>
    <x v="1"/>
    <s v="ALAGOAS_PRÊMIO_062024.pdf"/>
    <n v="300000"/>
    <n v="0.26"/>
    <n v="0.1"/>
    <n v="0.06"/>
    <n v="50"/>
    <m/>
    <x v="0"/>
    <b v="1"/>
    <b v="1"/>
    <s v="27"/>
    <x v="0"/>
    <n v="13"/>
    <n v="5"/>
    <n v="3"/>
    <n v="6000"/>
    <n v="78000"/>
    <n v="30000"/>
    <n v="18000"/>
    <x v="3"/>
  </r>
  <r>
    <x v="1"/>
    <s v="ALAGOAS_PRÊMIO_162024.pdf"/>
    <n v="300000"/>
    <n v="0.25"/>
    <n v="0.1"/>
    <n v="0.05"/>
    <n v="20"/>
    <s v="MESTRES E MESTRAS"/>
    <x v="0"/>
    <b v="1"/>
    <b v="1"/>
    <s v="27"/>
    <x v="0"/>
    <n v="5"/>
    <n v="2"/>
    <n v="1"/>
    <n v="15000"/>
    <n v="75000"/>
    <n v="30000"/>
    <n v="15000"/>
    <x v="3"/>
  </r>
  <r>
    <x v="1"/>
    <s v="ALAGOAS_PRÊMIO_222024.pdf"/>
    <n v="260000"/>
    <n v="0.30769999999999997"/>
    <n v="0.15379999999999999"/>
    <n v="7.6899999999999996E-2"/>
    <n v="52"/>
    <m/>
    <x v="0"/>
    <b v="1"/>
    <b v="1"/>
    <s v="27"/>
    <x v="0"/>
    <n v="16"/>
    <n v="8"/>
    <n v="4"/>
    <n v="5000"/>
    <n v="80000"/>
    <n v="40000"/>
    <n v="20000"/>
    <x v="3"/>
  </r>
  <r>
    <x v="1"/>
    <s v="ALAGOAS_SUBSÍDIO_302024.pdf"/>
    <n v="2160000"/>
    <n v="0.25"/>
    <n v="0.1"/>
    <n v="0.05"/>
    <n v="60"/>
    <m/>
    <x v="0"/>
    <b v="1"/>
    <b v="1"/>
    <s v="27"/>
    <x v="0"/>
    <n v="15"/>
    <n v="6"/>
    <n v="3"/>
    <n v="36000"/>
    <n v="540000"/>
    <n v="216000"/>
    <n v="108000"/>
    <x v="4"/>
  </r>
  <r>
    <x v="2"/>
    <s v="AMAPÁ_CULTURAVIVA_062024.pdf"/>
    <n v="2116800"/>
    <n v="0.25"/>
    <n v="0.1"/>
    <n v="0.05"/>
    <n v="22"/>
    <m/>
    <x v="0"/>
    <b v="1"/>
    <b v="1"/>
    <s v="16"/>
    <x v="0"/>
    <n v="6"/>
    <n v="2"/>
    <n v="1"/>
    <n v="96218.181818181823"/>
    <n v="577309.09090909094"/>
    <n v="192436.36363636359"/>
    <n v="96218.181818181823"/>
    <x v="1"/>
  </r>
  <r>
    <x v="2"/>
    <s v="AMAPÁ_FOMENTO_012024.pdf"/>
    <n v="2400000"/>
    <n v="0.2571"/>
    <n v="0.1143"/>
    <n v="8.5699999999999998E-2"/>
    <n v="35"/>
    <m/>
    <x v="0"/>
    <b v="1"/>
    <b v="1"/>
    <s v="16"/>
    <x v="0"/>
    <n v="9"/>
    <n v="4"/>
    <n v="3"/>
    <n v="68571.428571428565"/>
    <n v="617142.85714285704"/>
    <n v="274285.71428571432"/>
    <n v="205714.28571428571"/>
    <x v="2"/>
  </r>
  <r>
    <x v="2"/>
    <s v="AMAPÁ_FOMENTO_022024.pdf"/>
    <n v="1050000"/>
    <n v="0.25"/>
    <n v="0.1"/>
    <n v="0.05"/>
    <n v="35"/>
    <m/>
    <x v="0"/>
    <b v="1"/>
    <b v="1"/>
    <s v="16"/>
    <x v="0"/>
    <n v="9"/>
    <n v="4"/>
    <n v="2"/>
    <n v="30000"/>
    <n v="270000"/>
    <n v="120000"/>
    <n v="60000"/>
    <x v="2"/>
  </r>
  <r>
    <x v="2"/>
    <s v="AMAPÁ_FOMENTO_032024.pdf"/>
    <n v="8200000"/>
    <n v="0.25"/>
    <n v="0.1"/>
    <n v="0.05"/>
    <n v="410"/>
    <m/>
    <x v="0"/>
    <b v="1"/>
    <b v="1"/>
    <s v="16"/>
    <x v="0"/>
    <n v="102"/>
    <n v="41"/>
    <n v="20"/>
    <n v="20000"/>
    <n v="2040000"/>
    <n v="820000"/>
    <n v="400000"/>
    <x v="2"/>
  </r>
  <r>
    <x v="2"/>
    <s v="2024-04_AMAPÁ_FOMENTO.pdf"/>
    <n v="400000"/>
    <n v="0.25"/>
    <n v="0.1"/>
    <n v="0.05"/>
    <n v="20"/>
    <s v="POVOS E COMUNIDADES TRADICIONAIS"/>
    <x v="0"/>
    <b v="1"/>
    <b v="1"/>
    <s v="16"/>
    <x v="0"/>
    <n v="5"/>
    <n v="2"/>
    <n v="1"/>
    <n v="20000"/>
    <n v="100000"/>
    <n v="40000"/>
    <n v="20000"/>
    <x v="2"/>
  </r>
  <r>
    <x v="2"/>
    <s v="AMAPÁ_SUBSÍDIO_052024.pdf"/>
    <n v="2100000"/>
    <n v="0.25"/>
    <n v="0.1"/>
    <n v="0.05"/>
    <n v="210"/>
    <m/>
    <x v="0"/>
    <b v="1"/>
    <b v="1"/>
    <s v="16"/>
    <x v="0"/>
    <n v="52"/>
    <n v="21"/>
    <n v="10"/>
    <n v="10000"/>
    <n v="520000"/>
    <n v="210000"/>
    <n v="100000"/>
    <x v="4"/>
  </r>
  <r>
    <x v="3"/>
    <s v="AMAZONAS_FOMENTO_022024.pdf"/>
    <n v="2000000"/>
    <n v="0.25"/>
    <n v="0.25"/>
    <n v="0.05"/>
    <n v="52"/>
    <m/>
    <x v="0"/>
    <b v="1"/>
    <b v="1"/>
    <s v="13"/>
    <x v="0"/>
    <n v="13"/>
    <n v="13"/>
    <n v="3"/>
    <n v="38461.538461538461"/>
    <n v="500000"/>
    <n v="500000"/>
    <n v="115384.6153846154"/>
    <x v="2"/>
  </r>
  <r>
    <x v="3"/>
    <s v="AMAZONAS_FOMENTO_032024.pdf"/>
    <n v="2000000"/>
    <n v="0.25"/>
    <n v="0.25"/>
    <n v="0.05"/>
    <n v="44"/>
    <m/>
    <x v="0"/>
    <b v="1"/>
    <b v="1"/>
    <s v="13"/>
    <x v="0"/>
    <n v="11"/>
    <n v="11"/>
    <n v="2"/>
    <n v="45454.545454545463"/>
    <n v="500000"/>
    <n v="500000"/>
    <n v="90909.090909090912"/>
    <x v="2"/>
  </r>
  <r>
    <x v="3"/>
    <s v="AMAZONAS_FOMENTO_042024.pdf"/>
    <n v="2000000"/>
    <n v="0.25"/>
    <n v="0.25"/>
    <n v="0.05"/>
    <n v="32"/>
    <m/>
    <x v="0"/>
    <b v="1"/>
    <b v="1"/>
    <s v="13"/>
    <x v="0"/>
    <n v="8"/>
    <n v="8"/>
    <n v="2"/>
    <n v="62500"/>
    <n v="500000"/>
    <n v="500000"/>
    <n v="125000"/>
    <x v="2"/>
  </r>
  <r>
    <x v="3"/>
    <s v="AMAZONAS_FOMENTO_052024.pdf"/>
    <n v="2000000"/>
    <n v="0.1905"/>
    <n v="0.1905"/>
    <n v="0.16669999999999999"/>
    <n v="42"/>
    <m/>
    <x v="1"/>
    <b v="1"/>
    <b v="1"/>
    <s v="13"/>
    <x v="0"/>
    <n v="8"/>
    <n v="8"/>
    <n v="7"/>
    <n v="47619.047619047618"/>
    <n v="380952.38095238089"/>
    <n v="380952.38095238089"/>
    <n v="333333.33333333331"/>
    <x v="2"/>
  </r>
  <r>
    <x v="3"/>
    <s v="AMAZONAS_FOMENTO_062024.pdf"/>
    <n v="2000000"/>
    <n v="0.25"/>
    <n v="0.25"/>
    <n v="0.05"/>
    <n v="30"/>
    <m/>
    <x v="0"/>
    <b v="1"/>
    <b v="1"/>
    <s v="13"/>
    <x v="0"/>
    <n v="8"/>
    <n v="8"/>
    <n v="2"/>
    <n v="66666.666666666672"/>
    <n v="533333.33333333337"/>
    <n v="533333.33333333337"/>
    <n v="133333.33333333331"/>
    <x v="2"/>
  </r>
  <r>
    <x v="3"/>
    <s v="AMAZONAS_FOMENTO_072024.pdf"/>
    <n v="2000000"/>
    <n v="0.25"/>
    <n v="0.25"/>
    <n v="0.05"/>
    <n v="42"/>
    <m/>
    <x v="0"/>
    <b v="1"/>
    <b v="1"/>
    <s v="13"/>
    <x v="0"/>
    <n v="10"/>
    <n v="10"/>
    <n v="2"/>
    <n v="47619.047619047618"/>
    <n v="476190.47619047621"/>
    <n v="476190.47619047621"/>
    <n v="95238.095238095237"/>
    <x v="2"/>
  </r>
  <r>
    <x v="3"/>
    <s v="AMAZONAS_FOMENTO_082024.pdf"/>
    <n v="1485000"/>
    <n v="0.25"/>
    <n v="0.25"/>
    <n v="0.05"/>
    <n v="30"/>
    <s v="PESSOAS TRANS"/>
    <x v="0"/>
    <b v="1"/>
    <b v="1"/>
    <s v="13"/>
    <x v="0"/>
    <n v="8"/>
    <n v="8"/>
    <n v="2"/>
    <n v="49500"/>
    <n v="396000"/>
    <n v="396000"/>
    <n v="99000"/>
    <x v="2"/>
  </r>
  <r>
    <x v="3"/>
    <s v="AMAZONAS_FOMENTO_092024.pdf"/>
    <n v="2000000"/>
    <n v="0.25"/>
    <n v="0.25"/>
    <n v="0.05"/>
    <n v="38"/>
    <m/>
    <x v="0"/>
    <b v="1"/>
    <b v="1"/>
    <s v="13"/>
    <x v="0"/>
    <n v="10"/>
    <n v="10"/>
    <n v="2"/>
    <n v="52631.57894736842"/>
    <n v="526315.78947368416"/>
    <n v="526315.78947368416"/>
    <n v="105263.1578947368"/>
    <x v="2"/>
  </r>
  <r>
    <x v="3"/>
    <s v="AMAZONAS_FOMENTO_102024.pdf"/>
    <n v="1413000"/>
    <n v="1"/>
    <n v="0"/>
    <n v="0.25"/>
    <n v="44"/>
    <s v="NEGRA"/>
    <x v="0"/>
    <b v="1"/>
    <b v="1"/>
    <s v="13"/>
    <x v="0"/>
    <n v="44"/>
    <n v="0"/>
    <n v="11"/>
    <n v="32113.63636363636"/>
    <n v="1413000"/>
    <n v="0"/>
    <n v="353250"/>
    <x v="2"/>
  </r>
  <r>
    <x v="3"/>
    <s v="AMAZONAS_FOMENTO_112024.pdf"/>
    <n v="1413000"/>
    <n v="0"/>
    <n v="1"/>
    <n v="0.125"/>
    <n v="40"/>
    <s v="INDÍGENA"/>
    <x v="0"/>
    <b v="1"/>
    <b v="1"/>
    <s v="13"/>
    <x v="0"/>
    <n v="0"/>
    <n v="40"/>
    <n v="5"/>
    <n v="35325"/>
    <n v="0"/>
    <n v="1413000"/>
    <n v="176625"/>
    <x v="2"/>
  </r>
  <r>
    <x v="3"/>
    <s v="AMAZONAS_FOMENTO_122024.pdf"/>
    <n v="1500000"/>
    <n v="0.25"/>
    <n v="0.25"/>
    <n v="0.05"/>
    <n v="40"/>
    <m/>
    <x v="0"/>
    <b v="1"/>
    <b v="1"/>
    <s v="13"/>
    <x v="0"/>
    <n v="10"/>
    <n v="10"/>
    <n v="2"/>
    <n v="37500"/>
    <n v="375000"/>
    <n v="375000"/>
    <n v="75000"/>
    <x v="2"/>
  </r>
  <r>
    <x v="3"/>
    <s v="AMAZONAS_FOMENTO_132024.pdf"/>
    <n v="6500000"/>
    <n v="0.25"/>
    <n v="0.25"/>
    <n v="0.05"/>
    <n v="106"/>
    <m/>
    <x v="0"/>
    <b v="1"/>
    <b v="1"/>
    <s v="13"/>
    <x v="0"/>
    <n v="26"/>
    <n v="26"/>
    <n v="5"/>
    <n v="61320.75471698113"/>
    <n v="1594339.6226415089"/>
    <n v="1594339.6226415089"/>
    <n v="306603.77358490572"/>
    <x v="2"/>
  </r>
  <r>
    <x v="3"/>
    <s v="2025-01_AMAZONAS_FOMENTO.pdf"/>
    <n v="930000"/>
    <n v="0.25"/>
    <n v="0.25"/>
    <n v="0.05"/>
    <n v="18"/>
    <m/>
    <x v="0"/>
    <b v="1"/>
    <b v="1"/>
    <s v="13"/>
    <x v="0"/>
    <n v="4"/>
    <n v="4"/>
    <n v="1"/>
    <n v="51666.666666666657"/>
    <n v="206666.66666666669"/>
    <n v="206666.66666666669"/>
    <n v="51666.666666666657"/>
    <x v="2"/>
  </r>
  <r>
    <x v="3"/>
    <s v="2025-02_AMAZONAS_SUBSÍDIO.pdf"/>
    <n v="3000000"/>
    <n v="0.24"/>
    <n v="0.24"/>
    <n v="0.12"/>
    <n v="25"/>
    <m/>
    <x v="0"/>
    <b v="1"/>
    <b v="1"/>
    <s v="13"/>
    <x v="0"/>
    <n v="6"/>
    <n v="6"/>
    <n v="3"/>
    <n v="120000"/>
    <n v="720000"/>
    <n v="720000"/>
    <n v="360000"/>
    <x v="4"/>
  </r>
  <r>
    <x v="3"/>
    <s v="2025-03_AMAZONAS_CULTURAVIVA.pdf"/>
    <n v="150000"/>
    <n v="0.25"/>
    <n v="0.25"/>
    <n v="0.35699999999999998"/>
    <n v="28"/>
    <m/>
    <x v="0"/>
    <b v="1"/>
    <b v="1"/>
    <s v="13"/>
    <x v="0"/>
    <n v="7"/>
    <n v="7"/>
    <n v="10"/>
    <n v="5357.1428571428569"/>
    <n v="37500"/>
    <n v="37500"/>
    <n v="53571.428571428572"/>
    <x v="1"/>
  </r>
  <r>
    <x v="3"/>
    <s v="2025-04_AMAZONAS_CULTURAVIVA.pdf"/>
    <n v="420000"/>
    <n v="0.28000000000000003"/>
    <n v="0.28000000000000003"/>
    <n v="7.0000000000000007E-2"/>
    <n v="14"/>
    <m/>
    <x v="0"/>
    <b v="1"/>
    <b v="1"/>
    <s v="13"/>
    <x v="0"/>
    <n v="4"/>
    <n v="4"/>
    <n v="1"/>
    <n v="30000"/>
    <n v="120000"/>
    <n v="120000"/>
    <n v="30000"/>
    <x v="1"/>
  </r>
  <r>
    <x v="3"/>
    <s v="2025-05_AMAZONAS_CULTURAVIVA.pdf"/>
    <n v="384988.4"/>
    <n v="0"/>
    <n v="0.5"/>
    <n v="0"/>
    <n v="2"/>
    <m/>
    <x v="0"/>
    <b v="1"/>
    <b v="1"/>
    <s v="13"/>
    <x v="0"/>
    <n v="0"/>
    <n v="1"/>
    <n v="0"/>
    <n v="192494.2"/>
    <n v="0"/>
    <n v="192494.2"/>
    <n v="0"/>
    <x v="1"/>
  </r>
  <r>
    <x v="3"/>
    <s v="2025-06_AMAZONAS_FOMENTO.pdf"/>
    <n v="1400000"/>
    <n v="0.25"/>
    <n v="0.25"/>
    <n v="0.05"/>
    <n v="40"/>
    <m/>
    <x v="0"/>
    <b v="1"/>
    <b v="1"/>
    <s v="13"/>
    <x v="0"/>
    <n v="10"/>
    <n v="10"/>
    <n v="2"/>
    <n v="35000"/>
    <n v="350000"/>
    <n v="350000"/>
    <n v="70000"/>
    <x v="2"/>
  </r>
  <r>
    <x v="4"/>
    <s v="2024-09_ARACAJU_BOLSA.pdf.pdf"/>
    <n v="250000"/>
    <n v="0"/>
    <n v="0"/>
    <n v="0"/>
    <n v="5"/>
    <m/>
    <x v="0"/>
    <b v="1"/>
    <b v="1"/>
    <s v="2800308"/>
    <x v="1"/>
    <n v="0"/>
    <n v="0"/>
    <n v="0"/>
    <n v="50000"/>
    <n v="0"/>
    <n v="0"/>
    <n v="0"/>
    <x v="0"/>
  </r>
  <r>
    <x v="4"/>
    <s v="2024-11_ARACAJU_CULTURAVIVA.pdf.pdf"/>
    <n v="800000"/>
    <n v="0.25"/>
    <n v="0.1"/>
    <n v="0.05"/>
    <n v="10"/>
    <m/>
    <x v="0"/>
    <b v="1"/>
    <b v="1"/>
    <s v="2800308"/>
    <x v="1"/>
    <n v="2"/>
    <n v="1"/>
    <n v="0"/>
    <n v="80000"/>
    <n v="160000"/>
    <n v="80000"/>
    <n v="0"/>
    <x v="1"/>
  </r>
  <r>
    <x v="4"/>
    <s v="2025-06_ARACAJU_FOMENTO.pdf"/>
    <n v="2420000"/>
    <n v="0.25"/>
    <n v="0.1"/>
    <n v="0.05"/>
    <n v="60"/>
    <m/>
    <x v="0"/>
    <b v="1"/>
    <b v="1"/>
    <s v="2800308"/>
    <x v="1"/>
    <n v="15"/>
    <n v="6"/>
    <n v="3"/>
    <n v="40333.333333333343"/>
    <n v="605000"/>
    <n v="242000"/>
    <n v="121000"/>
    <x v="2"/>
  </r>
  <r>
    <x v="4"/>
    <s v="2024-12_ARACAJU_CULTURAVIVA.pdf.pdf"/>
    <n v="330085.32"/>
    <n v="0.25"/>
    <n v="0.1"/>
    <n v="0.05"/>
    <n v="12"/>
    <m/>
    <x v="0"/>
    <b v="1"/>
    <b v="1"/>
    <s v="2800308"/>
    <x v="1"/>
    <n v="3"/>
    <n v="1"/>
    <n v="1"/>
    <n v="27507.11"/>
    <n v="82521.33"/>
    <n v="27507.11"/>
    <n v="27507.11"/>
    <x v="1"/>
  </r>
  <r>
    <x v="5"/>
    <s v="BAHIA_BOLSA_242024.pdf"/>
    <n v="1200000"/>
    <n v="0.5"/>
    <n v="0.1"/>
    <n v="0.05"/>
    <n v="20"/>
    <m/>
    <x v="0"/>
    <b v="1"/>
    <b v="1"/>
    <s v="29"/>
    <x v="0"/>
    <n v="10"/>
    <n v="2"/>
    <n v="1"/>
    <n v="60000"/>
    <n v="600000"/>
    <n v="120000"/>
    <n v="60000"/>
    <x v="0"/>
  </r>
  <r>
    <x v="5"/>
    <s v="BAHIA_CULTURAVIVA_252024.pdf"/>
    <n v="1980000"/>
    <n v="0.5"/>
    <n v="0.5"/>
    <n v="0.05"/>
    <n v="66"/>
    <m/>
    <x v="0"/>
    <b v="1"/>
    <b v="1"/>
    <s v="29"/>
    <x v="0"/>
    <n v="33"/>
    <n v="33"/>
    <n v="3"/>
    <n v="30000"/>
    <n v="990000"/>
    <n v="990000"/>
    <n v="90000"/>
    <x v="1"/>
  </r>
  <r>
    <x v="5"/>
    <s v="BAHIA_CULTURAVIVA_262024.pdf"/>
    <n v="4220000"/>
    <n v="0.5"/>
    <n v="0.1"/>
    <n v="0.05"/>
    <n v="74"/>
    <m/>
    <x v="0"/>
    <b v="1"/>
    <b v="1"/>
    <s v="29"/>
    <x v="0"/>
    <n v="37"/>
    <n v="7"/>
    <n v="4"/>
    <n v="57027.027027027027"/>
    <n v="2110000"/>
    <n v="399189.18918918917"/>
    <n v="228108.10810810811"/>
    <x v="1"/>
  </r>
  <r>
    <x v="5"/>
    <s v="BAHIA_CULTURAVIVA_272024.pdf"/>
    <n v="3840000"/>
    <n v="0.5"/>
    <n v="0.1"/>
    <n v="0.05"/>
    <n v="48"/>
    <m/>
    <x v="0"/>
    <b v="1"/>
    <b v="1"/>
    <s v="29"/>
    <x v="0"/>
    <n v="24"/>
    <n v="5"/>
    <n v="2"/>
    <n v="80000"/>
    <n v="1920000"/>
    <n v="400000"/>
    <n v="160000"/>
    <x v="1"/>
  </r>
  <r>
    <x v="5"/>
    <s v="BAHIA_CULTURAVIVA_282024.pdf"/>
    <n v="1080000"/>
    <n v="0.5"/>
    <n v="0.1"/>
    <n v="0.05"/>
    <n v="27"/>
    <m/>
    <x v="0"/>
    <b v="1"/>
    <b v="1"/>
    <s v="29"/>
    <x v="0"/>
    <n v="14"/>
    <n v="3"/>
    <n v="1"/>
    <n v="40000"/>
    <n v="560000"/>
    <n v="120000"/>
    <n v="40000"/>
    <x v="1"/>
  </r>
  <r>
    <x v="5"/>
    <s v="BAHIA_CULTURAVIVA_292024.pdf"/>
    <n v="2100000"/>
    <n v="0.5"/>
    <n v="0.1"/>
    <n v="0.05"/>
    <n v="7"/>
    <m/>
    <x v="0"/>
    <b v="1"/>
    <b v="1"/>
    <s v="29"/>
    <x v="0"/>
    <n v="4"/>
    <n v="1"/>
    <n v="0"/>
    <n v="300000"/>
    <n v="1200000"/>
    <n v="300000"/>
    <n v="0"/>
    <x v="1"/>
  </r>
  <r>
    <x v="5"/>
    <s v="BAHIA_FOMENTO_052024.pdf"/>
    <n v="7250000"/>
    <n v="0.5"/>
    <n v="0.1"/>
    <n v="0.05"/>
    <n v="113"/>
    <m/>
    <x v="0"/>
    <b v="1"/>
    <b v="1"/>
    <s v="29"/>
    <x v="0"/>
    <n v="56"/>
    <n v="11"/>
    <n v="6"/>
    <n v="64159.292035398234"/>
    <n v="3592920.353982301"/>
    <n v="705752.21238938055"/>
    <n v="384955.75221238937"/>
    <x v="2"/>
  </r>
  <r>
    <x v="5"/>
    <s v="BAHIA_FOMENTO_062024.pdf"/>
    <n v="840000"/>
    <n v="0.5"/>
    <n v="0.1"/>
    <n v="0.05"/>
    <n v="36"/>
    <m/>
    <x v="0"/>
    <b v="1"/>
    <b v="1"/>
    <s v="29"/>
    <x v="0"/>
    <n v="18"/>
    <n v="4"/>
    <n v="2"/>
    <n v="23333.333333333328"/>
    <n v="420000"/>
    <n v="93333.333333333328"/>
    <n v="46666.666666666657"/>
    <x v="2"/>
  </r>
  <r>
    <x v="5"/>
    <s v="BAHIA_FOMENTO_072024.pdf"/>
    <n v="780000"/>
    <n v="0.5"/>
    <n v="0.1"/>
    <n v="0.05"/>
    <n v="12"/>
    <m/>
    <x v="0"/>
    <b v="1"/>
    <b v="1"/>
    <s v="29"/>
    <x v="0"/>
    <n v="6"/>
    <n v="1"/>
    <n v="1"/>
    <n v="65000"/>
    <n v="390000"/>
    <n v="65000"/>
    <n v="65000"/>
    <x v="2"/>
  </r>
  <r>
    <x v="5"/>
    <s v="BAHIA_FOMENTO_082024.pdf"/>
    <n v="6900000"/>
    <n v="0.5"/>
    <n v="0.1"/>
    <n v="0.05"/>
    <n v="29"/>
    <m/>
    <x v="0"/>
    <b v="1"/>
    <b v="1"/>
    <s v="29"/>
    <x v="0"/>
    <n v="14"/>
    <n v="3"/>
    <n v="1"/>
    <n v="237931.03448275861"/>
    <n v="3331034.4827586212"/>
    <n v="713793.10344827583"/>
    <n v="237931.03448275861"/>
    <x v="2"/>
  </r>
  <r>
    <x v="5"/>
    <s v="BAHIA_FOMENTO_092024.pdf"/>
    <n v="7200000"/>
    <n v="0.5"/>
    <n v="0.1"/>
    <n v="0.05"/>
    <n v="75"/>
    <m/>
    <x v="0"/>
    <b v="1"/>
    <b v="1"/>
    <s v="29"/>
    <x v="0"/>
    <n v="38"/>
    <n v="8"/>
    <n v="4"/>
    <n v="96000"/>
    <n v="3648000"/>
    <n v="768000"/>
    <n v="384000"/>
    <x v="2"/>
  </r>
  <r>
    <x v="5"/>
    <s v="BAHIA_FOMENTO_102024.pdf"/>
    <n v="3000000"/>
    <n v="0.5"/>
    <n v="0.17"/>
    <n v="0.08"/>
    <n v="12"/>
    <m/>
    <x v="0"/>
    <b v="1"/>
    <b v="1"/>
    <s v="29"/>
    <x v="0"/>
    <n v="6"/>
    <n v="2"/>
    <n v="1"/>
    <n v="250000"/>
    <n v="1500000"/>
    <n v="500000"/>
    <n v="250000"/>
    <x v="2"/>
  </r>
  <r>
    <x v="5"/>
    <s v="BAHIA_FOMENTO_112024.pdf"/>
    <n v="500000"/>
    <n v="0.5"/>
    <n v="0.1"/>
    <n v="0.1"/>
    <n v="10"/>
    <m/>
    <x v="0"/>
    <b v="1"/>
    <b v="1"/>
    <s v="29"/>
    <x v="0"/>
    <n v="5"/>
    <n v="1"/>
    <n v="1"/>
    <n v="50000"/>
    <n v="250000"/>
    <n v="50000"/>
    <n v="50000"/>
    <x v="2"/>
  </r>
  <r>
    <x v="5"/>
    <s v="BAHIA_FOMENTO_122024.pdf"/>
    <n v="1050000"/>
    <n v="0.5"/>
    <n v="0.1"/>
    <n v="0.05"/>
    <n v="21"/>
    <m/>
    <x v="0"/>
    <b v="1"/>
    <b v="1"/>
    <s v="29"/>
    <x v="0"/>
    <n v="10"/>
    <n v="2"/>
    <n v="1"/>
    <n v="50000"/>
    <n v="500000"/>
    <n v="100000"/>
    <n v="50000"/>
    <x v="2"/>
  </r>
  <r>
    <x v="5"/>
    <s v="BAHIA_FOMENTO_132024.pdf"/>
    <n v="1200000"/>
    <n v="0.5"/>
    <n v="0.12"/>
    <n v="0"/>
    <n v="8"/>
    <m/>
    <x v="0"/>
    <b v="1"/>
    <b v="1"/>
    <s v="29"/>
    <x v="0"/>
    <n v="4"/>
    <n v="1"/>
    <n v="0"/>
    <n v="150000"/>
    <n v="600000"/>
    <n v="150000"/>
    <n v="0"/>
    <x v="2"/>
  </r>
  <r>
    <x v="5"/>
    <s v="BAHIA_FOMENTO_142024.pdf"/>
    <n v="1250000"/>
    <n v="0.4"/>
    <n v="0.2"/>
    <n v="0"/>
    <n v="5"/>
    <m/>
    <x v="0"/>
    <b v="1"/>
    <b v="1"/>
    <s v="29"/>
    <x v="0"/>
    <n v="2"/>
    <n v="1"/>
    <n v="0"/>
    <n v="250000"/>
    <n v="500000"/>
    <n v="250000"/>
    <n v="0"/>
    <x v="2"/>
  </r>
  <r>
    <x v="5"/>
    <s v="BAHIA_FOMENTO_152024.pdf"/>
    <n v="1700000"/>
    <n v="0.55000000000000004"/>
    <n v="0.15"/>
    <n v="0.05"/>
    <n v="40"/>
    <m/>
    <x v="0"/>
    <b v="1"/>
    <b v="1"/>
    <s v="29"/>
    <x v="0"/>
    <n v="22"/>
    <n v="6"/>
    <n v="2"/>
    <n v="42500"/>
    <n v="935000"/>
    <n v="255000"/>
    <n v="85000"/>
    <x v="2"/>
  </r>
  <r>
    <x v="5"/>
    <s v="BAHIA_FOMENTO_162024.pdf"/>
    <n v="5150000"/>
    <n v="0.5"/>
    <n v="0.1"/>
    <n v="0.05"/>
    <n v="43"/>
    <m/>
    <x v="0"/>
    <b v="1"/>
    <b v="1"/>
    <s v="29"/>
    <x v="0"/>
    <n v="22"/>
    <n v="4"/>
    <n v="2"/>
    <n v="119767.4418604651"/>
    <n v="2634883.7209302331"/>
    <n v="479069.76744186052"/>
    <n v="239534.8837209302"/>
    <x v="2"/>
  </r>
  <r>
    <x v="5"/>
    <s v="BAHIA_FOMENTO_172024.pdf"/>
    <n v="900000"/>
    <n v="0.5"/>
    <n v="0.1"/>
    <n v="0.05"/>
    <n v="20"/>
    <m/>
    <x v="0"/>
    <b v="1"/>
    <b v="1"/>
    <s v="29"/>
    <x v="0"/>
    <n v="10"/>
    <n v="2"/>
    <n v="1"/>
    <n v="45000"/>
    <n v="450000"/>
    <n v="90000"/>
    <n v="45000"/>
    <x v="2"/>
  </r>
  <r>
    <x v="5"/>
    <s v="BAHIA_FOMENTO_182024.pdf"/>
    <n v="1750000"/>
    <n v="0.5"/>
    <n v="0.1"/>
    <n v="0.05"/>
    <n v="35"/>
    <m/>
    <x v="0"/>
    <b v="1"/>
    <b v="1"/>
    <s v="29"/>
    <x v="0"/>
    <n v="18"/>
    <n v="4"/>
    <n v="2"/>
    <n v="50000"/>
    <n v="900000"/>
    <n v="200000"/>
    <n v="100000"/>
    <x v="2"/>
  </r>
  <r>
    <x v="5"/>
    <s v="BAHIA_FOMENTO_192024.pdf"/>
    <n v="1000000"/>
    <n v="0.5"/>
    <n v="0.1"/>
    <n v="0.05"/>
    <n v="33"/>
    <m/>
    <x v="0"/>
    <b v="1"/>
    <b v="1"/>
    <s v="29"/>
    <x v="0"/>
    <n v="16"/>
    <n v="3"/>
    <n v="2"/>
    <n v="30303.0303030303"/>
    <n v="484848.48484848492"/>
    <n v="90909.090909090912"/>
    <n v="60606.060606060608"/>
    <x v="2"/>
  </r>
  <r>
    <x v="5"/>
    <s v="BAHIA_FOMENTO_202024.pdf"/>
    <n v="3000000"/>
    <n v="0.5"/>
    <n v="0.1"/>
    <n v="0.05"/>
    <n v="12"/>
    <m/>
    <x v="0"/>
    <b v="1"/>
    <b v="1"/>
    <s v="29"/>
    <x v="0"/>
    <n v="6"/>
    <n v="1"/>
    <n v="1"/>
    <n v="250000"/>
    <n v="1500000"/>
    <n v="250000"/>
    <n v="250000"/>
    <x v="2"/>
  </r>
  <r>
    <x v="5"/>
    <s v="BAHIA_PRÊMIO_012024.pdf"/>
    <n v="900000"/>
    <n v="0.5"/>
    <n v="0.1"/>
    <n v="0.05"/>
    <n v="30"/>
    <m/>
    <x v="0"/>
    <b v="1"/>
    <b v="1"/>
    <s v="29"/>
    <x v="0"/>
    <n v="15"/>
    <n v="3"/>
    <n v="2"/>
    <n v="30000"/>
    <n v="450000"/>
    <n v="90000"/>
    <n v="60000"/>
    <x v="3"/>
  </r>
  <r>
    <x v="5"/>
    <s v="BAHIA_PRÊMIO_022024.pdf"/>
    <n v="160000"/>
    <n v="0.5"/>
    <n v="0.1"/>
    <n v="0.05"/>
    <n v="16"/>
    <m/>
    <x v="0"/>
    <b v="1"/>
    <b v="1"/>
    <s v="29"/>
    <x v="0"/>
    <n v="8"/>
    <n v="2"/>
    <n v="1"/>
    <n v="10000"/>
    <n v="80000"/>
    <n v="20000"/>
    <n v="10000"/>
    <x v="3"/>
  </r>
  <r>
    <x v="5"/>
    <s v="BAHIA_PRÊMIO_032024.pdf"/>
    <n v="840000"/>
    <n v="0.5"/>
    <n v="0.1"/>
    <n v="0.05"/>
    <n v="28"/>
    <m/>
    <x v="0"/>
    <b v="1"/>
    <b v="1"/>
    <s v="29"/>
    <x v="0"/>
    <n v="14"/>
    <n v="3"/>
    <n v="1"/>
    <n v="30000"/>
    <n v="420000"/>
    <n v="90000"/>
    <n v="30000"/>
    <x v="3"/>
  </r>
  <r>
    <x v="5"/>
    <s v="BAHIA_PRÊMIO_042024.pdf"/>
    <n v="2520000"/>
    <n v="0.5"/>
    <n v="0.1071"/>
    <n v="4.7600000000000003E-2"/>
    <n v="84"/>
    <m/>
    <x v="0"/>
    <b v="1"/>
    <b v="1"/>
    <s v="29"/>
    <x v="0"/>
    <n v="42"/>
    <n v="9"/>
    <n v="4"/>
    <n v="30000"/>
    <n v="1260000"/>
    <n v="270000"/>
    <n v="120000"/>
    <x v="3"/>
  </r>
  <r>
    <x v="5"/>
    <s v="BAHIA_SUBSÍDIO_212024.pdf"/>
    <n v="1000000"/>
    <n v="0.5"/>
    <n v="0.1"/>
    <n v="0.05"/>
    <n v="20"/>
    <m/>
    <x v="0"/>
    <b v="1"/>
    <b v="1"/>
    <s v="29"/>
    <x v="0"/>
    <n v="10"/>
    <n v="2"/>
    <n v="1"/>
    <n v="50000"/>
    <n v="500000"/>
    <n v="100000"/>
    <n v="50000"/>
    <x v="4"/>
  </r>
  <r>
    <x v="5"/>
    <s v="2024-22_BAHIA_SUBSÍDIO.pdf"/>
    <n v="4300000"/>
    <n v="0.48"/>
    <n v="0.48"/>
    <n v="4.6511627906976702E-2"/>
    <n v="86"/>
    <s v="POVOS E COMUNIDADES TRADICIONAIS"/>
    <x v="0"/>
    <b v="1"/>
    <b v="1"/>
    <s v="29"/>
    <x v="0"/>
    <n v="41"/>
    <n v="41"/>
    <n v="4"/>
    <n v="50000"/>
    <n v="2050000"/>
    <n v="2050000"/>
    <n v="200000"/>
    <x v="4"/>
  </r>
  <r>
    <x v="5"/>
    <s v="BAHIA_SUBSÍDIO_232024.pdf"/>
    <n v="4200000"/>
    <n v="0"/>
    <n v="0.1132"/>
    <n v="5.6599999999999998E-2"/>
    <n v="53"/>
    <m/>
    <x v="0"/>
    <b v="1"/>
    <b v="1"/>
    <s v="29"/>
    <x v="0"/>
    <n v="0"/>
    <n v="6"/>
    <n v="3"/>
    <n v="79245.283018867922"/>
    <n v="0"/>
    <n v="475471.69811320747"/>
    <n v="237735.84905660379"/>
    <x v="4"/>
  </r>
  <r>
    <x v="6"/>
    <s v="2024-04_BELÉM_FOMENTO.pdf.pdf"/>
    <n v="5224089"/>
    <n v="0.25"/>
    <n v="0.1"/>
    <n v="0.05"/>
    <n v="100"/>
    <m/>
    <x v="0"/>
    <b v="1"/>
    <b v="1"/>
    <s v="1501402"/>
    <x v="1"/>
    <n v="25"/>
    <n v="10"/>
    <n v="5"/>
    <n v="52240.89"/>
    <n v="1306022.25"/>
    <n v="522408.9"/>
    <n v="261204.45"/>
    <x v="2"/>
  </r>
  <r>
    <x v="7"/>
    <s v="2024-01_BH_CULTURAVIVA.pdf"/>
    <n v="4060000"/>
    <n v="0.25"/>
    <n v="0.1"/>
    <n v="0.05"/>
    <n v="124"/>
    <m/>
    <x v="0"/>
    <b v="1"/>
    <b v="1"/>
    <s v="3106200"/>
    <x v="1"/>
    <n v="31"/>
    <n v="12"/>
    <n v="6"/>
    <n v="32741.93548387097"/>
    <n v="1015000"/>
    <n v="392903.22580645158"/>
    <n v="196451.61290322579"/>
    <x v="1"/>
  </r>
  <r>
    <x v="7"/>
    <s v="2024-03_BH_FOMENTO.pdf"/>
    <n v="5990000"/>
    <n v="0.25"/>
    <n v="0.1"/>
    <n v="0.05"/>
    <n v="79"/>
    <m/>
    <x v="0"/>
    <b v="1"/>
    <b v="1"/>
    <s v="3106200"/>
    <x v="1"/>
    <n v="20"/>
    <n v="8"/>
    <n v="4"/>
    <n v="75822.784810126584"/>
    <n v="1516455.6962025319"/>
    <n v="606582.27848101268"/>
    <n v="303291.13924050628"/>
    <x v="2"/>
  </r>
  <r>
    <x v="7"/>
    <s v="2024-02_BH_PRÊMIO.pdf"/>
    <n v="5580000"/>
    <n v="0.25"/>
    <n v="0.1"/>
    <n v="0.05"/>
    <n v="219"/>
    <m/>
    <x v="0"/>
    <b v="1"/>
    <b v="1"/>
    <s v="3106200"/>
    <x v="1"/>
    <n v="55"/>
    <n v="22"/>
    <n v="11"/>
    <n v="25479.452054794521"/>
    <n v="1401369.863013699"/>
    <n v="560547.94520547951"/>
    <n v="280273.97260273981"/>
    <x v="3"/>
  </r>
  <r>
    <x v="8"/>
    <s v="2025-05_BOAVISTA_CULTURAVIVA.pdf"/>
    <n v="450000"/>
    <n v="0.25"/>
    <n v="0.1"/>
    <n v="0.05"/>
    <n v="5"/>
    <m/>
    <x v="0"/>
    <b v="1"/>
    <b v="1"/>
    <s v="1400100"/>
    <x v="1"/>
    <n v="1"/>
    <n v="0"/>
    <n v="0"/>
    <n v="90000"/>
    <n v="90000"/>
    <n v="0"/>
    <n v="0"/>
    <x v="1"/>
  </r>
  <r>
    <x v="8"/>
    <s v="2025-04_BOAVISTA_FOMENTO.pdf"/>
    <n v="2643100"/>
    <n v="0.25"/>
    <n v="0.1"/>
    <n v="0.05"/>
    <n v="259"/>
    <m/>
    <x v="0"/>
    <b v="1"/>
    <b v="1"/>
    <s v="1400100"/>
    <x v="1"/>
    <n v="65"/>
    <n v="26"/>
    <n v="13"/>
    <n v="10205.019305019299"/>
    <n v="663326.25482625479"/>
    <n v="265330.50193050189"/>
    <n v="132665.25096525089"/>
    <x v="2"/>
  </r>
  <r>
    <x v="8"/>
    <s v="2025-06_BOAVISTA_FOMENTO.pdf"/>
    <n v="472868"/>
    <n v="0"/>
    <n v="0"/>
    <n v="0"/>
    <n v="1"/>
    <m/>
    <x v="0"/>
    <b v="1"/>
    <b v="1"/>
    <s v="1400100"/>
    <x v="1"/>
    <n v="0"/>
    <n v="0"/>
    <n v="0"/>
    <n v="472868"/>
    <n v="0"/>
    <n v="0"/>
    <n v="0"/>
    <x v="2"/>
  </r>
  <r>
    <x v="9"/>
    <s v="2025-13_CAMPOGRANDE_FOMENTO.pdf"/>
    <n v="1197706.2"/>
    <n v="0.25"/>
    <n v="0.1"/>
    <n v="0.1"/>
    <n v="25"/>
    <m/>
    <x v="0"/>
    <b v="1"/>
    <b v="1"/>
    <s v="5002704"/>
    <x v="1"/>
    <n v="6"/>
    <n v="2"/>
    <n v="2"/>
    <n v="47908.248"/>
    <n v="287449.48800000001"/>
    <n v="95816.495999999999"/>
    <n v="95816.495999999999"/>
    <x v="2"/>
  </r>
  <r>
    <x v="9"/>
    <s v="2024-13_CAMPOGRANDE_FOMENTO.pdf"/>
    <n v="2004628.5"/>
    <n v="0.25"/>
    <n v="0.1"/>
    <n v="0.1"/>
    <n v="50"/>
    <m/>
    <x v="0"/>
    <b v="1"/>
    <b v="1"/>
    <s v="5002704"/>
    <x v="1"/>
    <n v="12"/>
    <n v="5"/>
    <n v="5"/>
    <n v="40092.57"/>
    <n v="481110.84"/>
    <n v="200462.85"/>
    <n v="200462.85"/>
    <x v="2"/>
  </r>
  <r>
    <x v="9"/>
    <s v="2024-12_CAMPOGRANDE_SUBSÍDIO.pdf"/>
    <n v="1431877.6"/>
    <n v="0.25"/>
    <n v="0.1"/>
    <n v="0.1"/>
    <n v="30"/>
    <m/>
    <x v="0"/>
    <b v="1"/>
    <b v="1"/>
    <s v="5002704"/>
    <x v="1"/>
    <n v="8"/>
    <n v="3"/>
    <n v="3"/>
    <n v="47729.253333333327"/>
    <n v="381834.02666666667"/>
    <n v="143187.76"/>
    <n v="143187.76"/>
    <x v="4"/>
  </r>
  <r>
    <x v="9"/>
    <s v="2024-14_CAMPOGRANDE_FOMENTO.pdf"/>
    <n v="2004628.5"/>
    <n v="0.26"/>
    <n v="0.1"/>
    <n v="0.06"/>
    <n v="50"/>
    <m/>
    <x v="0"/>
    <b v="1"/>
    <b v="1"/>
    <s v="5002704"/>
    <x v="1"/>
    <n v="13"/>
    <n v="5"/>
    <n v="3"/>
    <n v="40092.57"/>
    <n v="521203.41"/>
    <n v="200462.85"/>
    <n v="120277.71"/>
    <x v="2"/>
  </r>
  <r>
    <x v="10"/>
    <s v="CEARÁ_CULTURAVIVA_07.pdf"/>
    <n v="1020000"/>
    <n v="0.25"/>
    <n v="0.1"/>
    <n v="0.1"/>
    <n v="28"/>
    <m/>
    <x v="0"/>
    <b v="1"/>
    <b v="1"/>
    <s v="23"/>
    <x v="0"/>
    <n v="7"/>
    <n v="3"/>
    <n v="3"/>
    <n v="36428.571428571428"/>
    <n v="255000"/>
    <n v="109285.7142857143"/>
    <n v="109285.7142857143"/>
    <x v="1"/>
  </r>
  <r>
    <x v="10"/>
    <s v="CEARÁ_CULTURAVIVA_09.pdf"/>
    <n v="4560000"/>
    <n v="0.25"/>
    <n v="0.1"/>
    <n v="0.1"/>
    <n v="38"/>
    <m/>
    <x v="0"/>
    <b v="1"/>
    <b v="1"/>
    <s v="23"/>
    <x v="0"/>
    <n v="10"/>
    <n v="4"/>
    <n v="4"/>
    <n v="120000"/>
    <n v="1200000"/>
    <n v="480000"/>
    <n v="480000"/>
    <x v="1"/>
  </r>
  <r>
    <x v="10"/>
    <s v="CEARÁ_CULTURAVIVA_10.pdf"/>
    <n v="1500000"/>
    <n v="0.25"/>
    <n v="0.1"/>
    <n v="0.1"/>
    <n v="3"/>
    <m/>
    <x v="0"/>
    <b v="1"/>
    <b v="1"/>
    <s v="23"/>
    <x v="0"/>
    <n v="1"/>
    <n v="0"/>
    <n v="0"/>
    <n v="500000"/>
    <n v="500000"/>
    <n v="0"/>
    <n v="0"/>
    <x v="1"/>
  </r>
  <r>
    <x v="10"/>
    <s v="SN_CEARÁ_CULTURAVIVA_01.pdf"/>
    <n v="1000000"/>
    <n v="0.25"/>
    <n v="0.1"/>
    <n v="0.1"/>
    <n v="20"/>
    <s v="LGBTQIAPN+"/>
    <x v="0"/>
    <b v="1"/>
    <b v="1"/>
    <s v="23"/>
    <x v="0"/>
    <n v="5"/>
    <n v="2"/>
    <n v="2"/>
    <n v="50000"/>
    <n v="250000"/>
    <n v="100000"/>
    <n v="100000"/>
    <x v="1"/>
  </r>
  <r>
    <x v="10"/>
    <s v="SN_CEARÁ_FOMENTO_02.pdf"/>
    <n v="2000000"/>
    <n v="0.25"/>
    <n v="0.1"/>
    <n v="0.1"/>
    <n v="20"/>
    <s v="PERIFERIAS"/>
    <x v="0"/>
    <b v="1"/>
    <b v="1"/>
    <s v="23"/>
    <x v="0"/>
    <n v="5"/>
    <n v="2"/>
    <n v="2"/>
    <n v="100000"/>
    <n v="500000"/>
    <n v="200000"/>
    <n v="200000"/>
    <x v="2"/>
  </r>
  <r>
    <x v="10"/>
    <s v="CEARÁ_FOMENTO_02.pdf"/>
    <n v="15000000"/>
    <n v="0.25"/>
    <n v="0.1"/>
    <n v="0.1"/>
    <n v="410"/>
    <m/>
    <x v="0"/>
    <b v="1"/>
    <b v="1"/>
    <s v="23"/>
    <x v="0"/>
    <n v="102"/>
    <n v="41"/>
    <n v="41"/>
    <n v="36585.365853658543"/>
    <n v="3731707.317073171"/>
    <n v="1500000"/>
    <n v="1500000"/>
    <x v="2"/>
  </r>
  <r>
    <x v="10"/>
    <s v="CEARÁ_FOMENTO_03.pdf"/>
    <n v="15000000"/>
    <n v="0.25"/>
    <n v="0.1"/>
    <n v="0.1"/>
    <n v="13"/>
    <m/>
    <x v="0"/>
    <b v="1"/>
    <b v="1"/>
    <s v="23"/>
    <x v="0"/>
    <n v="3"/>
    <n v="1"/>
    <n v="1"/>
    <n v="1153846.153846154"/>
    <n v="3461538.461538461"/>
    <n v="1153846.153846154"/>
    <n v="1153846.153846154"/>
    <x v="2"/>
  </r>
  <r>
    <x v="10"/>
    <s v="CEARÁ_FOMENTO_04.pdf"/>
    <n v="15900000"/>
    <n v="0.25"/>
    <n v="0.1"/>
    <n v="0.1"/>
    <n v="114"/>
    <m/>
    <x v="0"/>
    <b v="1"/>
    <b v="1"/>
    <s v="23"/>
    <x v="0"/>
    <n v="28"/>
    <n v="11"/>
    <n v="11"/>
    <n v="139473.68421052629"/>
    <n v="3905263.1578947371"/>
    <n v="1534210.526315789"/>
    <n v="1534210.526315789"/>
    <x v="2"/>
  </r>
  <r>
    <x v="10"/>
    <s v="CEARÁ_FOMENTO_12.pdf"/>
    <n v="2000000"/>
    <n v="0.25"/>
    <n v="0.1"/>
    <n v="0.1"/>
    <n v="30"/>
    <m/>
    <x v="0"/>
    <b v="1"/>
    <b v="1"/>
    <s v="23"/>
    <x v="0"/>
    <n v="8"/>
    <n v="3"/>
    <n v="3"/>
    <n v="66666.666666666672"/>
    <n v="533333.33333333337"/>
    <n v="200000"/>
    <n v="200000"/>
    <x v="2"/>
  </r>
  <r>
    <x v="10"/>
    <s v="CEARÁ_FOMENTO_13.pdf"/>
    <n v="2691000"/>
    <n v="0.25"/>
    <n v="0.1"/>
    <n v="0.1"/>
    <n v="26"/>
    <m/>
    <x v="0"/>
    <b v="1"/>
    <b v="1"/>
    <s v="23"/>
    <x v="0"/>
    <n v="6"/>
    <n v="3"/>
    <n v="3"/>
    <n v="103500"/>
    <n v="621000"/>
    <n v="310500"/>
    <n v="310500"/>
    <x v="2"/>
  </r>
  <r>
    <x v="10"/>
    <s v="CEARÁ_FOMENTO_14.pdf"/>
    <n v="2400000"/>
    <n v="0.25"/>
    <n v="0.1"/>
    <n v="0.1"/>
    <n v="20"/>
    <m/>
    <x v="0"/>
    <b v="1"/>
    <b v="1"/>
    <s v="23"/>
    <x v="0"/>
    <n v="5"/>
    <n v="2"/>
    <n v="2"/>
    <n v="120000"/>
    <n v="600000"/>
    <n v="240000"/>
    <n v="240000"/>
    <x v="2"/>
  </r>
  <r>
    <x v="10"/>
    <s v="CEARÁ_FOMENTO_15.pdf"/>
    <n v="3000000"/>
    <n v="0.25"/>
    <n v="0.1"/>
    <n v="0.1"/>
    <n v="50"/>
    <m/>
    <x v="0"/>
    <b v="1"/>
    <b v="1"/>
    <s v="23"/>
    <x v="0"/>
    <n v="12"/>
    <n v="5"/>
    <n v="5"/>
    <n v="60000"/>
    <n v="720000"/>
    <n v="300000"/>
    <n v="300000"/>
    <x v="2"/>
  </r>
  <r>
    <x v="10"/>
    <s v="CEARÁ_FOMENTO_16.pdf"/>
    <n v="2500000"/>
    <n v="0.25"/>
    <n v="0.1"/>
    <n v="0.1"/>
    <n v="16"/>
    <m/>
    <x v="0"/>
    <b v="1"/>
    <b v="1"/>
    <s v="23"/>
    <x v="0"/>
    <n v="4"/>
    <n v="2"/>
    <n v="2"/>
    <n v="156250"/>
    <n v="625000"/>
    <n v="312500"/>
    <n v="312500"/>
    <x v="2"/>
  </r>
  <r>
    <x v="10"/>
    <s v="CEARÁ_FOMENTO_17.pdf"/>
    <n v="14988000"/>
    <n v="0.25"/>
    <n v="0.1"/>
    <n v="0.1"/>
    <n v="40"/>
    <m/>
    <x v="0"/>
    <b v="1"/>
    <b v="1"/>
    <s v="23"/>
    <x v="0"/>
    <n v="10"/>
    <n v="4"/>
    <n v="4"/>
    <n v="374700"/>
    <n v="3747000"/>
    <n v="1498800"/>
    <n v="1498800"/>
    <x v="2"/>
  </r>
  <r>
    <x v="10"/>
    <s v="CEARÁ_PRÊMIO_06.pdf"/>
    <n v="1000000"/>
    <n v="0.25"/>
    <n v="0.1"/>
    <n v="0.1"/>
    <n v="20"/>
    <m/>
    <x v="0"/>
    <b v="1"/>
    <b v="1"/>
    <s v="23"/>
    <x v="0"/>
    <n v="5"/>
    <n v="2"/>
    <n v="2"/>
    <n v="50000"/>
    <n v="250000"/>
    <n v="100000"/>
    <n v="100000"/>
    <x v="3"/>
  </r>
  <r>
    <x v="10"/>
    <s v="SN_CEARÁ_PRÊMIO_12.pdf"/>
    <n v="3000000"/>
    <n v="0.5"/>
    <n v="0.5"/>
    <n v="0"/>
    <n v="98"/>
    <s v="POVOS E COMUNIDADES TRADICIONAIS"/>
    <x v="0"/>
    <b v="1"/>
    <b v="0"/>
    <s v="23"/>
    <x v="0"/>
    <n v="49"/>
    <n v="49"/>
    <n v="0"/>
    <n v="30612.244897959179"/>
    <n v="1500000"/>
    <n v="1500000"/>
    <n v="0"/>
    <x v="3"/>
  </r>
  <r>
    <x v="11"/>
    <s v="2024-01_CUIABÁ_FOMENTO.pdf"/>
    <n v="2530000"/>
    <n v="0.25"/>
    <n v="0.1"/>
    <n v="0.05"/>
    <n v="89"/>
    <m/>
    <x v="0"/>
    <b v="1"/>
    <b v="1"/>
    <s v="5103403"/>
    <x v="1"/>
    <n v="22"/>
    <n v="9"/>
    <n v="4"/>
    <n v="28426.966292134832"/>
    <n v="625393.25842696626"/>
    <n v="255842.69662921349"/>
    <n v="113707.8651685393"/>
    <x v="2"/>
  </r>
  <r>
    <x v="11"/>
    <s v="2024-03_CUIABÁ_CULTURAVIVA.pdf"/>
    <n v="1050000"/>
    <n v="0.25"/>
    <n v="0.1"/>
    <n v="0.05"/>
    <n v="39"/>
    <m/>
    <x v="0"/>
    <b v="1"/>
    <b v="1"/>
    <s v="5103403"/>
    <x v="1"/>
    <n v="10"/>
    <n v="4"/>
    <n v="2"/>
    <n v="26923.076923076918"/>
    <n v="269230.76923076919"/>
    <n v="107692.3076923077"/>
    <n v="53846.153846153837"/>
    <x v="1"/>
  </r>
  <r>
    <x v="11"/>
    <s v="2024-02_CUIABÁ_SUBSÍDIO.pdf"/>
    <n v="120000"/>
    <n v="0.25"/>
    <n v="0.1"/>
    <n v="0.05"/>
    <n v="6"/>
    <m/>
    <x v="0"/>
    <b v="1"/>
    <b v="1"/>
    <s v="5103403"/>
    <x v="1"/>
    <n v="2"/>
    <n v="1"/>
    <n v="0"/>
    <n v="20000"/>
    <n v="40000"/>
    <n v="20000"/>
    <n v="0"/>
    <x v="4"/>
  </r>
  <r>
    <x v="12"/>
    <s v="2024-31_CURITIBA_CULTURAVIVA.pdf.pdf"/>
    <n v="2844000"/>
    <n v="0.25"/>
    <n v="0.1"/>
    <n v="0.05"/>
    <n v="94"/>
    <m/>
    <x v="0"/>
    <b v="1"/>
    <b v="1"/>
    <s v="4106902"/>
    <x v="1"/>
    <n v="24"/>
    <n v="9"/>
    <n v="5"/>
    <n v="30255.319148936171"/>
    <n v="726127.65957446815"/>
    <n v="272297.87234042562"/>
    <n v="151276.59574468079"/>
    <x v="1"/>
  </r>
  <r>
    <x v="12"/>
    <s v="2025-10_CURITIBA_CULTURAVIVA.pdf.pdf"/>
    <n v="1674000"/>
    <n v="0.25"/>
    <n v="0.1"/>
    <n v="0.05"/>
    <n v="55"/>
    <m/>
    <x v="0"/>
    <b v="1"/>
    <b v="1"/>
    <s v="4106902"/>
    <x v="1"/>
    <n v="14"/>
    <n v="6"/>
    <n v="3"/>
    <n v="30436.36363636364"/>
    <n v="426109.09090909088"/>
    <n v="182618.18181818179"/>
    <n v="91309.090909090912"/>
    <x v="1"/>
  </r>
  <r>
    <x v="12"/>
    <s v="2024-32_CURITIBA_FOMENTO.pdf"/>
    <n v="7840000"/>
    <n v="0.25"/>
    <n v="0.1"/>
    <n v="0.05"/>
    <n v="225"/>
    <m/>
    <x v="0"/>
    <b v="1"/>
    <b v="1"/>
    <s v="4106902"/>
    <x v="1"/>
    <n v="56"/>
    <n v="22"/>
    <n v="11"/>
    <n v="34844.444444444453"/>
    <n v="1951288.888888889"/>
    <n v="766577.77777777775"/>
    <n v="383288.88888888888"/>
    <x v="2"/>
  </r>
  <r>
    <x v="13"/>
    <s v="DF_CULTURAVIVA_462024.pdf"/>
    <n v="2000000"/>
    <n v="0.25"/>
    <n v="0.1"/>
    <n v="0.05"/>
    <n v="20"/>
    <m/>
    <x v="0"/>
    <b v="1"/>
    <b v="1"/>
    <s v="53"/>
    <x v="0"/>
    <n v="5"/>
    <n v="2"/>
    <n v="1"/>
    <n v="100000"/>
    <n v="500000"/>
    <n v="200000"/>
    <n v="100000"/>
    <x v="1"/>
  </r>
  <r>
    <x v="13"/>
    <s v="DF_CULTURAVIVA_482024.pdf"/>
    <n v="900000"/>
    <n v="0.25"/>
    <n v="0.1"/>
    <n v="0.05"/>
    <n v="3"/>
    <m/>
    <x v="0"/>
    <b v="1"/>
    <b v="1"/>
    <s v="53"/>
    <x v="0"/>
    <n v="1"/>
    <n v="0"/>
    <n v="0"/>
    <n v="300000"/>
    <n v="300000"/>
    <n v="0"/>
    <n v="0"/>
    <x v="1"/>
  </r>
  <r>
    <x v="13"/>
    <s v="DF_CULTURAVIVA_492024.pdf"/>
    <n v="3150000"/>
    <n v="0.26829999999999998"/>
    <n v="9.7599999999999992E-2"/>
    <n v="4.8800000000000003E-2"/>
    <n v="82"/>
    <m/>
    <x v="0"/>
    <b v="1"/>
    <b v="1"/>
    <s v="53"/>
    <x v="0"/>
    <n v="22"/>
    <n v="8"/>
    <n v="4"/>
    <n v="38414.634146341457"/>
    <n v="845121.95121951227"/>
    <n v="307317.07317073172"/>
    <n v="153658.53658536589"/>
    <x v="1"/>
  </r>
  <r>
    <x v="13"/>
    <s v="DF_FOMENTO_512024.pdf"/>
    <n v="24456206.84"/>
    <n v="0.24660000000000001"/>
    <n v="0.1507"/>
    <n v="0.16439999999999999"/>
    <n v="73"/>
    <m/>
    <x v="0"/>
    <b v="1"/>
    <b v="1"/>
    <s v="53"/>
    <x v="0"/>
    <n v="18"/>
    <n v="11"/>
    <n v="12"/>
    <n v="335016.53205479449"/>
    <n v="6030297.5769863017"/>
    <n v="3685181.8526027398"/>
    <n v="4020198.3846575348"/>
    <x v="2"/>
  </r>
  <r>
    <x v="14"/>
    <s v="2024-05_ES_FOMENTO.pdf"/>
    <n v="2100000"/>
    <n v="0.25"/>
    <n v="0.1"/>
    <n v="0.05"/>
    <n v="50"/>
    <s v="POVOS E COMUNIDADES TRADICIONAIS"/>
    <x v="0"/>
    <b v="1"/>
    <b v="1"/>
    <s v="32"/>
    <x v="0"/>
    <n v="12"/>
    <n v="5"/>
    <n v="2"/>
    <n v="42000"/>
    <n v="504000"/>
    <n v="210000"/>
    <n v="84000"/>
    <x v="1"/>
  </r>
  <r>
    <x v="14"/>
    <s v="ES_CULTURAVIVA_062024.pdf"/>
    <n v="1200000"/>
    <n v="0.25"/>
    <n v="0.25"/>
    <n v="0"/>
    <n v="4"/>
    <m/>
    <x v="0"/>
    <b v="1"/>
    <b v="1"/>
    <s v="32"/>
    <x v="0"/>
    <n v="1"/>
    <n v="1"/>
    <n v="0"/>
    <n v="300000"/>
    <n v="300000"/>
    <n v="300000"/>
    <n v="0"/>
    <x v="1"/>
  </r>
  <r>
    <x v="14"/>
    <s v="ES_CULTURAVIVA_072024.pdf"/>
    <n v="480000"/>
    <n v="0.25"/>
    <n v="0.1"/>
    <n v="0"/>
    <n v="4"/>
    <m/>
    <x v="0"/>
    <b v="1"/>
    <b v="1"/>
    <s v="32"/>
    <x v="0"/>
    <n v="1"/>
    <n v="0"/>
    <n v="0"/>
    <n v="120000"/>
    <n v="120000"/>
    <n v="0"/>
    <n v="0"/>
    <x v="1"/>
  </r>
  <r>
    <x v="14"/>
    <s v="ES_FOMENTO_022024.pdf"/>
    <n v="800000"/>
    <n v="0.25"/>
    <n v="0.1"/>
    <n v="0.05"/>
    <n v="20"/>
    <m/>
    <x v="0"/>
    <b v="1"/>
    <b v="1"/>
    <s v="32"/>
    <x v="0"/>
    <n v="5"/>
    <n v="2"/>
    <n v="1"/>
    <n v="40000"/>
    <n v="200000"/>
    <n v="80000"/>
    <n v="40000"/>
    <x v="2"/>
  </r>
  <r>
    <x v="14"/>
    <s v="ES_FOMENTO_032024.pdf"/>
    <n v="1120000"/>
    <n v="0.25"/>
    <n v="0.1"/>
    <n v="0.05"/>
    <n v="56"/>
    <m/>
    <x v="0"/>
    <b v="1"/>
    <b v="1"/>
    <s v="32"/>
    <x v="0"/>
    <n v="14"/>
    <n v="6"/>
    <n v="3"/>
    <n v="20000"/>
    <n v="280000"/>
    <n v="120000"/>
    <n v="60000"/>
    <x v="2"/>
  </r>
  <r>
    <x v="14"/>
    <s v="ES_FOMENTO_042024.pdf"/>
    <n v="2100000"/>
    <n v="0.25"/>
    <n v="0.1"/>
    <n v="0.05"/>
    <n v="50"/>
    <s v="PERIFERIAS"/>
    <x v="0"/>
    <b v="1"/>
    <b v="1"/>
    <s v="32"/>
    <x v="0"/>
    <n v="12"/>
    <n v="5"/>
    <n v="2"/>
    <n v="42000"/>
    <n v="504000"/>
    <n v="210000"/>
    <n v="84000"/>
    <x v="2"/>
  </r>
  <r>
    <x v="14"/>
    <s v="ES_FOMENTO_042025.pdf"/>
    <n v="3200000"/>
    <n v="0.25"/>
    <n v="0.1"/>
    <n v="0.05"/>
    <n v="10"/>
    <m/>
    <x v="0"/>
    <b v="1"/>
    <b v="1"/>
    <s v="32"/>
    <x v="0"/>
    <n v="2"/>
    <n v="1"/>
    <n v="0"/>
    <n v="320000"/>
    <n v="640000"/>
    <n v="320000"/>
    <n v="0"/>
    <x v="2"/>
  </r>
  <r>
    <x v="14"/>
    <s v="ES_FOMENTO_052024.pdf"/>
    <n v="2500000"/>
    <n v="0.25"/>
    <n v="0.1"/>
    <n v="0.05"/>
    <n v="50"/>
    <m/>
    <x v="0"/>
    <b v="1"/>
    <b v="1"/>
    <s v="32"/>
    <x v="0"/>
    <n v="12"/>
    <n v="5"/>
    <n v="2"/>
    <n v="50000"/>
    <n v="600000"/>
    <n v="250000"/>
    <n v="100000"/>
    <x v="2"/>
  </r>
  <r>
    <x v="14"/>
    <s v="ES_FOMENTO_062024.pdf"/>
    <n v="560000"/>
    <n v="0.25"/>
    <n v="0.1"/>
    <n v="0.05"/>
    <n v="14"/>
    <m/>
    <x v="0"/>
    <b v="1"/>
    <b v="1"/>
    <s v="32"/>
    <x v="0"/>
    <n v="4"/>
    <n v="1"/>
    <n v="1"/>
    <n v="40000"/>
    <n v="160000"/>
    <n v="40000"/>
    <n v="40000"/>
    <x v="2"/>
  </r>
  <r>
    <x v="14"/>
    <s v="ES_FOMENTO_082024.pdf"/>
    <n v="1700000"/>
    <n v="0.25"/>
    <n v="0.1"/>
    <n v="0.05"/>
    <n v="33"/>
    <m/>
    <x v="0"/>
    <b v="1"/>
    <b v="1"/>
    <s v="32"/>
    <x v="0"/>
    <n v="8"/>
    <n v="3"/>
    <n v="2"/>
    <n v="51515.151515151512"/>
    <n v="412121.2121212121"/>
    <n v="154545.4545454545"/>
    <n v="103030.303030303"/>
    <x v="2"/>
  </r>
  <r>
    <x v="14"/>
    <s v="ES_FOMENTO_092024.pdf"/>
    <n v="1870000"/>
    <n v="0.25"/>
    <n v="0.1"/>
    <n v="0.05"/>
    <n v="26"/>
    <m/>
    <x v="0"/>
    <b v="1"/>
    <b v="1"/>
    <s v="32"/>
    <x v="0"/>
    <n v="6"/>
    <n v="3"/>
    <n v="1"/>
    <n v="71923.076923076922"/>
    <n v="431538.4615384615"/>
    <n v="215769.23076923081"/>
    <n v="71923.076923076922"/>
    <x v="2"/>
  </r>
  <r>
    <x v="14"/>
    <s v="ES_FOMENTO_102024.pdf"/>
    <n v="3870000"/>
    <n v="0.25"/>
    <n v="0.1"/>
    <n v="0.05"/>
    <n v="57"/>
    <m/>
    <x v="0"/>
    <b v="1"/>
    <b v="1"/>
    <s v="32"/>
    <x v="0"/>
    <n v="14"/>
    <n v="6"/>
    <n v="3"/>
    <n v="67894.736842105267"/>
    <n v="950526.31578947371"/>
    <n v="407368.42105263157"/>
    <n v="203684.21052631579"/>
    <x v="2"/>
  </r>
  <r>
    <x v="14"/>
    <s v="ES_FOMENTO_112024.pdf"/>
    <n v="1700000"/>
    <n v="0.25"/>
    <n v="0.1"/>
    <n v="0.05"/>
    <n v="47"/>
    <m/>
    <x v="0"/>
    <b v="1"/>
    <b v="1"/>
    <s v="32"/>
    <x v="0"/>
    <n v="12"/>
    <n v="5"/>
    <n v="2"/>
    <n v="36170.212765957447"/>
    <n v="434042.55319148942"/>
    <n v="180851.06382978731"/>
    <n v="72340.425531914894"/>
    <x v="2"/>
  </r>
  <r>
    <x v="14"/>
    <s v="ES_FOMENTO_122024.pdf"/>
    <n v="1050000"/>
    <n v="0.25"/>
    <n v="0.1"/>
    <n v="0.05"/>
    <n v="25"/>
    <m/>
    <x v="0"/>
    <b v="1"/>
    <b v="1"/>
    <s v="32"/>
    <x v="0"/>
    <n v="6"/>
    <n v="2"/>
    <n v="1"/>
    <n v="42000"/>
    <n v="252000"/>
    <n v="84000"/>
    <n v="42000"/>
    <x v="2"/>
  </r>
  <r>
    <x v="14"/>
    <s v="ES_FOMENTO_132024.pdf"/>
    <n v="880000"/>
    <n v="0.25"/>
    <n v="0.1"/>
    <n v="0.05"/>
    <n v="20"/>
    <m/>
    <x v="0"/>
    <b v="1"/>
    <b v="1"/>
    <s v="32"/>
    <x v="0"/>
    <n v="5"/>
    <n v="2"/>
    <n v="1"/>
    <n v="44000"/>
    <n v="220000"/>
    <n v="88000"/>
    <n v="44000"/>
    <x v="2"/>
  </r>
  <r>
    <x v="14"/>
    <s v="ES_FOMENTO_142024.pdf"/>
    <n v="5600000"/>
    <n v="0.25"/>
    <n v="0.1"/>
    <n v="0.05"/>
    <n v="18"/>
    <m/>
    <x v="0"/>
    <b v="1"/>
    <b v="1"/>
    <s v="32"/>
    <x v="0"/>
    <n v="4"/>
    <n v="2"/>
    <n v="1"/>
    <n v="311111.11111111112"/>
    <n v="1244444.444444444"/>
    <n v="622222.22222222225"/>
    <n v="311111.11111111112"/>
    <x v="2"/>
  </r>
  <r>
    <x v="14"/>
    <s v="ES_FOMENTO_152024.pdf"/>
    <n v="1300000"/>
    <n v="0.25"/>
    <n v="0.1"/>
    <n v="0.05"/>
    <n v="30"/>
    <m/>
    <x v="0"/>
    <b v="1"/>
    <b v="1"/>
    <s v="32"/>
    <x v="0"/>
    <n v="8"/>
    <n v="3"/>
    <n v="2"/>
    <n v="43333.333333333343"/>
    <n v="346666.66666666669"/>
    <n v="130000"/>
    <n v="86666.666666666672"/>
    <x v="2"/>
  </r>
  <r>
    <x v="14"/>
    <s v="ES_FOMENTO_172024.pdf"/>
    <n v="1000000"/>
    <n v="0"/>
    <n v="0"/>
    <n v="0"/>
    <n v="10"/>
    <m/>
    <x v="1"/>
    <b v="0"/>
    <b v="0"/>
    <s v="32"/>
    <x v="0"/>
    <n v="0"/>
    <n v="0"/>
    <n v="0"/>
    <n v="100000"/>
    <n v="0"/>
    <n v="0"/>
    <n v="0"/>
    <x v="2"/>
  </r>
  <r>
    <x v="14"/>
    <s v="ES_FOMENTO_182024.pdf"/>
    <n v="400000"/>
    <n v="0.25"/>
    <n v="0.1"/>
    <n v="0.05"/>
    <n v="5"/>
    <m/>
    <x v="0"/>
    <b v="1"/>
    <b v="1"/>
    <s v="32"/>
    <x v="0"/>
    <n v="1"/>
    <n v="0"/>
    <n v="0"/>
    <n v="80000"/>
    <n v="80000"/>
    <n v="0"/>
    <n v="0"/>
    <x v="2"/>
  </r>
  <r>
    <x v="14"/>
    <s v="ES_FOMENTO_192024.pdf"/>
    <n v="900000"/>
    <n v="0.25"/>
    <n v="0.1"/>
    <n v="0.05"/>
    <n v="20"/>
    <m/>
    <x v="0"/>
    <b v="1"/>
    <b v="1"/>
    <s v="32"/>
    <x v="0"/>
    <n v="5"/>
    <n v="2"/>
    <n v="1"/>
    <n v="45000"/>
    <n v="225000"/>
    <n v="90000"/>
    <n v="45000"/>
    <x v="2"/>
  </r>
  <r>
    <x v="14"/>
    <s v="ES_PRÊMIO_072024.pdf"/>
    <n v="800000"/>
    <n v="0"/>
    <n v="0"/>
    <n v="0"/>
    <n v="10"/>
    <m/>
    <x v="0"/>
    <b v="1"/>
    <b v="0"/>
    <s v="32"/>
    <x v="0"/>
    <n v="0"/>
    <n v="0"/>
    <n v="0"/>
    <n v="80000"/>
    <n v="0"/>
    <n v="0"/>
    <n v="0"/>
    <x v="3"/>
  </r>
  <r>
    <x v="14"/>
    <s v="ES_PRÊMIO_162024.pdf"/>
    <n v="400000"/>
    <n v="0"/>
    <n v="0"/>
    <n v="0"/>
    <n v="20"/>
    <s v="MESTRES E MESTRAS"/>
    <x v="0"/>
    <b v="1"/>
    <b v="0"/>
    <s v="32"/>
    <x v="0"/>
    <n v="0"/>
    <n v="0"/>
    <n v="0"/>
    <n v="20000"/>
    <n v="0"/>
    <n v="0"/>
    <n v="0"/>
    <x v="3"/>
  </r>
  <r>
    <x v="14"/>
    <s v="ES_SUBSÍDIO_032025.pdf"/>
    <n v="6000000"/>
    <n v="0.25"/>
    <n v="0.1"/>
    <n v="0.05"/>
    <n v="30"/>
    <m/>
    <x v="0"/>
    <b v="1"/>
    <b v="1"/>
    <s v="32"/>
    <x v="0"/>
    <n v="8"/>
    <n v="3"/>
    <n v="2"/>
    <n v="200000"/>
    <n v="1600000"/>
    <n v="600000"/>
    <n v="400000"/>
    <x v="4"/>
  </r>
  <r>
    <x v="15"/>
    <s v="2024-45_FLORIPA_FOMENTO.pdf.pdf"/>
    <n v="900000"/>
    <n v="0.25"/>
    <n v="8.3299999999999999E-2"/>
    <n v="5.5599999999999997E-2"/>
    <n v="36"/>
    <m/>
    <x v="0"/>
    <b v="1"/>
    <b v="1"/>
    <s v="4205407"/>
    <x v="1"/>
    <n v="9"/>
    <n v="3"/>
    <n v="2"/>
    <n v="25000"/>
    <n v="225000"/>
    <n v="75000"/>
    <n v="50000"/>
    <x v="2"/>
  </r>
  <r>
    <x v="15"/>
    <s v="2024-44_FLORIPA_FOMENTO.pdf"/>
    <n v="250000"/>
    <n v="0.2"/>
    <n v="0.2"/>
    <n v="0.2"/>
    <n v="5"/>
    <m/>
    <x v="0"/>
    <b v="1"/>
    <b v="1"/>
    <s v="4205407"/>
    <x v="1"/>
    <n v="1"/>
    <n v="1"/>
    <n v="1"/>
    <n v="50000"/>
    <n v="50000"/>
    <n v="50000"/>
    <n v="50000"/>
    <x v="2"/>
  </r>
  <r>
    <x v="15"/>
    <s v="2024-46_FLORIPA_PRÊMIO.pdf"/>
    <n v="290000"/>
    <n v="0.24"/>
    <n v="0.1"/>
    <n v="0.04"/>
    <n v="29"/>
    <s v="MESTRES E MESTRAS"/>
    <x v="0"/>
    <b v="1"/>
    <b v="1"/>
    <s v="4205407"/>
    <x v="1"/>
    <n v="7"/>
    <n v="3"/>
    <n v="1"/>
    <n v="10000"/>
    <n v="70000"/>
    <n v="30000"/>
    <n v="10000"/>
    <x v="3"/>
  </r>
  <r>
    <x v="15"/>
    <s v="2024-41_FLORIPA_FOMENTO.pdf.pdf"/>
    <n v="1015000"/>
    <n v="0.24"/>
    <n v="0.1"/>
    <n v="0.04"/>
    <n v="29"/>
    <m/>
    <x v="0"/>
    <b v="1"/>
    <b v="1"/>
    <s v="4205407"/>
    <x v="1"/>
    <n v="7"/>
    <n v="3"/>
    <n v="1"/>
    <n v="35000"/>
    <n v="245000"/>
    <n v="105000"/>
    <n v="35000"/>
    <x v="2"/>
  </r>
  <r>
    <x v="15"/>
    <s v="2024-47_FLORIPA_CULTURAVIVA.pdf"/>
    <n v="900000"/>
    <n v="0.25"/>
    <n v="0.1"/>
    <n v="0.05"/>
    <n v="45"/>
    <m/>
    <x v="0"/>
    <b v="1"/>
    <b v="1"/>
    <s v="4205407"/>
    <x v="1"/>
    <n v="11"/>
    <n v="4"/>
    <n v="2"/>
    <n v="20000"/>
    <n v="220000"/>
    <n v="80000"/>
    <n v="40000"/>
    <x v="1"/>
  </r>
  <r>
    <x v="16"/>
    <s v="2024-23_FORTALEZA_FOMENTO.pdf"/>
    <n v="500000"/>
    <n v="0.25"/>
    <n v="0.1"/>
    <n v="0.1"/>
    <n v="20"/>
    <m/>
    <x v="0"/>
    <b v="1"/>
    <b v="1"/>
    <s v="2304400"/>
    <x v="1"/>
    <n v="5"/>
    <n v="2"/>
    <n v="2"/>
    <n v="25000"/>
    <n v="125000"/>
    <n v="50000"/>
    <n v="50000"/>
    <x v="2"/>
  </r>
  <r>
    <x v="16"/>
    <s v="2024-19_FORTALEZA_FOMENTO.pdf"/>
    <n v="480000"/>
    <n v="0.25"/>
    <n v="0.1"/>
    <n v="0.1"/>
    <n v="24"/>
    <m/>
    <x v="0"/>
    <b v="1"/>
    <b v="1"/>
    <s v="2304400"/>
    <x v="1"/>
    <n v="6"/>
    <n v="2"/>
    <n v="2"/>
    <n v="20000"/>
    <n v="120000"/>
    <n v="40000"/>
    <n v="40000"/>
    <x v="2"/>
  </r>
  <r>
    <x v="16"/>
    <s v="2024-21_FORTALEZA_FOMENTO.pdf"/>
    <n v="480000"/>
    <n v="0.25"/>
    <n v="0.1"/>
    <n v="0.1"/>
    <n v="36"/>
    <m/>
    <x v="0"/>
    <b v="1"/>
    <b v="1"/>
    <s v="2304400"/>
    <x v="1"/>
    <n v="9"/>
    <n v="4"/>
    <n v="4"/>
    <n v="13333.33333333333"/>
    <n v="120000"/>
    <n v="53333.333333333343"/>
    <n v="53333.333333333343"/>
    <x v="2"/>
  </r>
  <r>
    <x v="16"/>
    <s v="2024-22_FORTALEZA_FOMENTO.pdf"/>
    <n v="150000"/>
    <n v="0.25"/>
    <n v="0.1"/>
    <n v="0.1"/>
    <n v="6"/>
    <m/>
    <x v="0"/>
    <b v="1"/>
    <b v="1"/>
    <s v="2304400"/>
    <x v="1"/>
    <n v="2"/>
    <n v="1"/>
    <n v="1"/>
    <n v="25000"/>
    <n v="50000"/>
    <n v="25000"/>
    <n v="25000"/>
    <x v="2"/>
  </r>
  <r>
    <x v="16"/>
    <s v="2024-18_FORTALEZA_FOMENTO.pdf"/>
    <n v="480000"/>
    <n v="0.25"/>
    <n v="0.1"/>
    <n v="0.1"/>
    <n v="20"/>
    <s v="LGBTQIAPN+"/>
    <x v="0"/>
    <b v="1"/>
    <b v="1"/>
    <s v="2304400"/>
    <x v="1"/>
    <n v="5"/>
    <n v="2"/>
    <n v="2"/>
    <n v="24000"/>
    <n v="120000"/>
    <n v="48000"/>
    <n v="48000"/>
    <x v="2"/>
  </r>
  <r>
    <x v="16"/>
    <s v="2024-26_FORTALEZA_FOMENTO.pdf"/>
    <n v="577489.37"/>
    <n v="0.25"/>
    <n v="0.1"/>
    <n v="0.1"/>
    <n v="12"/>
    <m/>
    <x v="0"/>
    <b v="1"/>
    <b v="1"/>
    <s v="2304400"/>
    <x v="1"/>
    <n v="3"/>
    <n v="1"/>
    <n v="1"/>
    <n v="48124.114166666674"/>
    <n v="144372.3425"/>
    <n v="48124.114166666674"/>
    <n v="48124.114166666674"/>
    <x v="2"/>
  </r>
  <r>
    <x v="16"/>
    <s v="2025-09_FORTALEZA_PRÊMIO.pdf"/>
    <n v="2000000"/>
    <n v="0.25"/>
    <n v="0"/>
    <n v="0.1"/>
    <n v="30"/>
    <m/>
    <x v="0"/>
    <b v="0"/>
    <b v="1"/>
    <s v="2304400"/>
    <x v="1"/>
    <n v="8"/>
    <n v="0"/>
    <n v="3"/>
    <n v="66666.666666666672"/>
    <n v="533333.33333333337"/>
    <n v="0"/>
    <n v="200000"/>
    <x v="3"/>
  </r>
  <r>
    <x v="16"/>
    <s v="2025-01_FORTALEZA_PRÊMIO.pdf"/>
    <n v="288000"/>
    <n v="0.25"/>
    <n v="0.1"/>
    <n v="0.1"/>
    <n v="16"/>
    <m/>
    <x v="0"/>
    <b v="1"/>
    <b v="1"/>
    <s v="2304400"/>
    <x v="1"/>
    <n v="4"/>
    <n v="2"/>
    <n v="2"/>
    <n v="18000"/>
    <n v="72000"/>
    <n v="36000"/>
    <n v="36000"/>
    <x v="3"/>
  </r>
  <r>
    <x v="16"/>
    <s v="2024-25_FORTALEZA_FOMENTO.pdf"/>
    <n v="1600000"/>
    <n v="0"/>
    <n v="0"/>
    <n v="0"/>
    <n v="3"/>
    <m/>
    <x v="0"/>
    <b v="1"/>
    <b v="1"/>
    <s v="2304400"/>
    <x v="1"/>
    <n v="0"/>
    <n v="0"/>
    <n v="0"/>
    <n v="533333.33333333337"/>
    <n v="0"/>
    <n v="0"/>
    <n v="0"/>
    <x v="2"/>
  </r>
  <r>
    <x v="16"/>
    <s v="2025-07_FORTALEZA_PRÊMIO.pdf"/>
    <n v="1622228.16"/>
    <n v="0"/>
    <n v="0"/>
    <n v="0"/>
    <n v="48"/>
    <s v="POVOS E COMUNIDADES TRADICIONAIS"/>
    <x v="0"/>
    <b v="1"/>
    <b v="0"/>
    <s v="2304400"/>
    <x v="1"/>
    <n v="0"/>
    <n v="0"/>
    <n v="0"/>
    <n v="33796.42"/>
    <n v="0"/>
    <n v="0"/>
    <n v="0"/>
    <x v="3"/>
  </r>
  <r>
    <x v="16"/>
    <s v="2025-10_FORTALEZA_FOMENTO.pdf"/>
    <n v="350272"/>
    <n v="0"/>
    <n v="0"/>
    <n v="1"/>
    <n v="26"/>
    <s v="PCD"/>
    <x v="0"/>
    <b v="1"/>
    <b v="1"/>
    <s v="2304400"/>
    <x v="1"/>
    <n v="0"/>
    <n v="0"/>
    <n v="26"/>
    <n v="13472"/>
    <n v="0"/>
    <n v="0"/>
    <n v="350272"/>
    <x v="2"/>
  </r>
  <r>
    <x v="16"/>
    <s v="2024-30_FORTALEZA_FOMENTO.pdf"/>
    <n v="523104.55"/>
    <n v="0"/>
    <n v="0"/>
    <n v="0"/>
    <n v="12"/>
    <s v="POVOS E COMUNIDADES TRADICIONAIS"/>
    <x v="0"/>
    <b v="1"/>
    <b v="0"/>
    <s v="2304400"/>
    <x v="1"/>
    <n v="0"/>
    <n v="0"/>
    <n v="0"/>
    <n v="43592.04583333333"/>
    <n v="0"/>
    <n v="0"/>
    <n v="0"/>
    <x v="2"/>
  </r>
  <r>
    <x v="16"/>
    <s v="2024-16_FORTALEZA_FOMENTO.pdf"/>
    <n v="350000"/>
    <n v="0.25"/>
    <n v="0.1"/>
    <n v="0.1"/>
    <n v="30"/>
    <s v="IDOSO"/>
    <x v="0"/>
    <b v="1"/>
    <b v="1"/>
    <s v="2304400"/>
    <x v="1"/>
    <n v="8"/>
    <n v="3"/>
    <n v="3"/>
    <n v="11666.66666666667"/>
    <n v="93333.333333333328"/>
    <n v="35000"/>
    <n v="35000"/>
    <x v="2"/>
  </r>
  <r>
    <x v="17"/>
    <s v="2024-08_GOIÂNIA_FOMENTO.pdf"/>
    <n v="3910000"/>
    <n v="0.25"/>
    <n v="0.1"/>
    <n v="0.05"/>
    <n v="57"/>
    <m/>
    <x v="0"/>
    <b v="1"/>
    <b v="1"/>
    <s v="5208707"/>
    <x v="1"/>
    <n v="14"/>
    <n v="6"/>
    <n v="3"/>
    <n v="68596.491228070168"/>
    <n v="960350.87719298236"/>
    <n v="411578.94736842101"/>
    <n v="205789.4736842105"/>
    <x v="2"/>
  </r>
  <r>
    <x v="17"/>
    <s v="2024-10_GOIÂNIA_FOMENTO.pdf"/>
    <n v="421392.11"/>
    <n v="0.25"/>
    <n v="0.1"/>
    <n v="0.05"/>
    <n v="42"/>
    <m/>
    <x v="0"/>
    <b v="1"/>
    <b v="1"/>
    <s v="5208707"/>
    <x v="1"/>
    <n v="10"/>
    <n v="4"/>
    <n v="2"/>
    <n v="10033.145476190481"/>
    <n v="100331.4547619048"/>
    <n v="40132.581904761901"/>
    <n v="20066.29095238095"/>
    <x v="2"/>
  </r>
  <r>
    <x v="17"/>
    <s v="2024-09_GOIÂNIA_FOMENTO.pdf"/>
    <n v="485313.39"/>
    <n v="0.25"/>
    <n v="0.1"/>
    <n v="0.05"/>
    <n v="29"/>
    <m/>
    <x v="0"/>
    <b v="1"/>
    <b v="1"/>
    <s v="5208707"/>
    <x v="1"/>
    <n v="7"/>
    <n v="3"/>
    <n v="1"/>
    <n v="16734.944482758619"/>
    <n v="117144.6113793103"/>
    <n v="50204.833448275858"/>
    <n v="16734.944482758619"/>
    <x v="2"/>
  </r>
  <r>
    <x v="17"/>
    <s v="2024-11_GOIÂNIA_FOMENTO.pdf"/>
    <n v="960784.25"/>
    <n v="0.25"/>
    <n v="0.1"/>
    <n v="0.05"/>
    <n v="3"/>
    <m/>
    <x v="0"/>
    <b v="1"/>
    <b v="1"/>
    <s v="5208707"/>
    <x v="1"/>
    <n v="1"/>
    <n v="0"/>
    <n v="0"/>
    <n v="320261.41666666669"/>
    <n v="320261.41666666669"/>
    <n v="0"/>
    <n v="0"/>
    <x v="2"/>
  </r>
  <r>
    <x v="17"/>
    <s v="2024-13_GOIÂNIA_CULTURAVIVA.pdf"/>
    <n v="2401960.5"/>
    <n v="0.25"/>
    <n v="0.1"/>
    <n v="0.05"/>
    <n v="40"/>
    <m/>
    <x v="0"/>
    <b v="1"/>
    <b v="1"/>
    <s v="5208707"/>
    <x v="1"/>
    <n v="10"/>
    <n v="4"/>
    <n v="2"/>
    <n v="60049.012499999997"/>
    <n v="600490.125"/>
    <n v="240196.05"/>
    <n v="120098.02499999999"/>
    <x v="1"/>
  </r>
  <r>
    <x v="17"/>
    <s v="2024-12_GOIÂNIA_SUBSÍDIO.pdf"/>
    <n v="948000"/>
    <n v="0.25"/>
    <n v="0.1"/>
    <n v="0.05"/>
    <n v="57"/>
    <m/>
    <x v="0"/>
    <b v="1"/>
    <b v="1"/>
    <s v="5208707"/>
    <x v="1"/>
    <n v="14"/>
    <n v="6"/>
    <n v="3"/>
    <n v="16631.57894736842"/>
    <n v="232842.10526315789"/>
    <n v="99789.473684210519"/>
    <n v="49894.73684210526"/>
    <x v="4"/>
  </r>
  <r>
    <x v="18"/>
    <s v="GO_CULTURAVIVA_012025.pdf"/>
    <n v="1957000"/>
    <n v="0.3"/>
    <n v="0.1"/>
    <n v="0.1"/>
    <n v="50"/>
    <m/>
    <x v="0"/>
    <b v="1"/>
    <b v="1"/>
    <s v="52"/>
    <x v="0"/>
    <n v="15"/>
    <n v="5"/>
    <n v="5"/>
    <n v="39140"/>
    <n v="587100"/>
    <n v="195700"/>
    <n v="195700"/>
    <x v="1"/>
  </r>
  <r>
    <x v="18"/>
    <s v="GO_CULTURAVIVA_182024.pdf"/>
    <n v="5400000"/>
    <n v="0.25"/>
    <n v="0.1"/>
    <n v="0.1"/>
    <n v="40"/>
    <m/>
    <x v="0"/>
    <b v="1"/>
    <b v="1"/>
    <s v="52"/>
    <x v="0"/>
    <n v="10"/>
    <n v="4"/>
    <n v="4"/>
    <n v="135000"/>
    <n v="1350000"/>
    <n v="540000"/>
    <n v="540000"/>
    <x v="1"/>
  </r>
  <r>
    <x v="18"/>
    <s v="GO_CULTURAVIVA_192024.pdf"/>
    <n v="907000"/>
    <n v="0.25"/>
    <n v="0.1"/>
    <n v="0.1"/>
    <n v="2"/>
    <m/>
    <x v="0"/>
    <b v="1"/>
    <b v="1"/>
    <s v="52"/>
    <x v="0"/>
    <n v="0"/>
    <n v="0"/>
    <n v="0"/>
    <n v="453500"/>
    <n v="0"/>
    <n v="0"/>
    <n v="0"/>
    <x v="1"/>
  </r>
  <r>
    <x v="18"/>
    <s v="GO_FOMENTO_012024.pdf"/>
    <n v="1000000"/>
    <n v="0.25"/>
    <n v="0.1"/>
    <n v="0.1"/>
    <n v="15"/>
    <m/>
    <x v="0"/>
    <b v="1"/>
    <b v="1"/>
    <s v="52"/>
    <x v="0"/>
    <n v="4"/>
    <n v="2"/>
    <n v="2"/>
    <n v="66666.666666666672"/>
    <n v="266666.66666666669"/>
    <n v="133333.33333333331"/>
    <n v="133333.33333333331"/>
    <x v="2"/>
  </r>
  <r>
    <x v="18"/>
    <s v="GO_FOMENTO_022024.pdf"/>
    <n v="2500000"/>
    <n v="0.25"/>
    <n v="0.1"/>
    <n v="0.1"/>
    <n v="20"/>
    <m/>
    <x v="0"/>
    <b v="1"/>
    <b v="1"/>
    <s v="52"/>
    <x v="0"/>
    <n v="5"/>
    <n v="2"/>
    <n v="2"/>
    <n v="125000"/>
    <n v="625000"/>
    <n v="250000"/>
    <n v="250000"/>
    <x v="2"/>
  </r>
  <r>
    <x v="18"/>
    <s v="GO_FOMENTO_032024.pdf"/>
    <n v="2500000"/>
    <n v="0.25"/>
    <n v="0.1"/>
    <n v="0.1"/>
    <n v="36"/>
    <m/>
    <x v="0"/>
    <b v="1"/>
    <b v="1"/>
    <s v="52"/>
    <x v="0"/>
    <n v="9"/>
    <n v="4"/>
    <n v="4"/>
    <n v="69444.444444444438"/>
    <n v="625000"/>
    <n v="277777.77777777781"/>
    <n v="277777.77777777781"/>
    <x v="2"/>
  </r>
  <r>
    <x v="18"/>
    <s v="GO_FOMENTO_042024.pdf"/>
    <n v="1000000"/>
    <n v="0.25"/>
    <n v="0.1"/>
    <n v="0.1"/>
    <n v="39"/>
    <m/>
    <x v="0"/>
    <b v="1"/>
    <b v="1"/>
    <s v="52"/>
    <x v="0"/>
    <n v="10"/>
    <n v="4"/>
    <n v="4"/>
    <n v="25641.025641025641"/>
    <n v="256410.25641025641"/>
    <n v="102564.10256410261"/>
    <n v="102564.10256410261"/>
    <x v="2"/>
  </r>
  <r>
    <x v="18"/>
    <s v="GO_FOMENTO_052024.pdf"/>
    <n v="2000000"/>
    <n v="0.25"/>
    <n v="0.1"/>
    <n v="0.1"/>
    <n v="20"/>
    <m/>
    <x v="0"/>
    <b v="1"/>
    <b v="1"/>
    <s v="52"/>
    <x v="0"/>
    <n v="5"/>
    <n v="2"/>
    <n v="2"/>
    <n v="100000"/>
    <n v="500000"/>
    <n v="200000"/>
    <n v="200000"/>
    <x v="2"/>
  </r>
  <r>
    <x v="18"/>
    <s v="GO_FOMENTO_062024.pdf"/>
    <n v="1000000"/>
    <n v="0.25"/>
    <n v="0.1"/>
    <n v="0.1"/>
    <n v="13"/>
    <m/>
    <x v="0"/>
    <b v="1"/>
    <b v="1"/>
    <s v="52"/>
    <x v="0"/>
    <n v="3"/>
    <n v="1"/>
    <n v="1"/>
    <n v="76923.076923076922"/>
    <n v="230769.23076923081"/>
    <n v="76923.076923076922"/>
    <n v="76923.076923076922"/>
    <x v="2"/>
  </r>
  <r>
    <x v="18"/>
    <s v="GO_FOMENTO_072024.pdf"/>
    <n v="1000000"/>
    <n v="0.25"/>
    <n v="0.1"/>
    <n v="0.1"/>
    <n v="18"/>
    <m/>
    <x v="0"/>
    <b v="1"/>
    <b v="1"/>
    <s v="52"/>
    <x v="0"/>
    <n v="4"/>
    <n v="2"/>
    <n v="2"/>
    <n v="55555.555555555547"/>
    <n v="222222.22222222219"/>
    <n v="111111.11111111109"/>
    <n v="111111.11111111109"/>
    <x v="2"/>
  </r>
  <r>
    <x v="18"/>
    <s v="GO_FOMENTO_082024.pdf"/>
    <n v="2000000"/>
    <n v="0.25"/>
    <n v="0.1"/>
    <n v="0.1"/>
    <n v="22"/>
    <m/>
    <x v="0"/>
    <b v="1"/>
    <b v="1"/>
    <s v="52"/>
    <x v="0"/>
    <n v="6"/>
    <n v="2"/>
    <n v="2"/>
    <n v="90909.090909090912"/>
    <n v="545454.54545454541"/>
    <n v="181818.18181818179"/>
    <n v="181818.18181818179"/>
    <x v="2"/>
  </r>
  <r>
    <x v="18"/>
    <s v="GO_FOMENTO_092024.pdf"/>
    <n v="2000000"/>
    <n v="0.25"/>
    <n v="0.1"/>
    <n v="0.1"/>
    <n v="62"/>
    <m/>
    <x v="0"/>
    <b v="1"/>
    <b v="1"/>
    <s v="52"/>
    <x v="0"/>
    <n v="16"/>
    <n v="6"/>
    <n v="6"/>
    <n v="32258.06451612903"/>
    <n v="516129.03225806449"/>
    <n v="193548.38709677421"/>
    <n v="193548.38709677421"/>
    <x v="2"/>
  </r>
  <r>
    <x v="18"/>
    <s v="GO_FOMENTO_102024.pdf"/>
    <n v="4000000"/>
    <n v="0.25"/>
    <n v="0.1"/>
    <n v="0.1"/>
    <n v="73"/>
    <m/>
    <x v="0"/>
    <b v="1"/>
    <b v="1"/>
    <s v="52"/>
    <x v="0"/>
    <n v="18"/>
    <n v="7"/>
    <n v="7"/>
    <n v="54794.520547945212"/>
    <n v="986301.36986301374"/>
    <n v="383561.64383561641"/>
    <n v="383561.64383561641"/>
    <x v="2"/>
  </r>
  <r>
    <x v="18"/>
    <s v="GO_FOMENTO_112024.pdf"/>
    <n v="2000000"/>
    <n v="0.25"/>
    <n v="0.1"/>
    <n v="0.1"/>
    <n v="22"/>
    <m/>
    <x v="0"/>
    <b v="1"/>
    <b v="1"/>
    <s v="52"/>
    <x v="0"/>
    <n v="6"/>
    <n v="2"/>
    <n v="2"/>
    <n v="90909.090909090912"/>
    <n v="545454.54545454541"/>
    <n v="181818.18181818179"/>
    <n v="181818.18181818179"/>
    <x v="2"/>
  </r>
  <r>
    <x v="18"/>
    <s v="GO_FOMENTO_122024.pdf"/>
    <n v="1500000"/>
    <n v="0.25"/>
    <n v="0.1"/>
    <n v="0.1"/>
    <n v="12"/>
    <m/>
    <x v="0"/>
    <b v="1"/>
    <b v="1"/>
    <s v="52"/>
    <x v="0"/>
    <n v="3"/>
    <n v="1"/>
    <n v="1"/>
    <n v="125000"/>
    <n v="375000"/>
    <n v="125000"/>
    <n v="125000"/>
    <x v="2"/>
  </r>
  <r>
    <x v="18"/>
    <s v="GO_FOMENTO_132024.pdf"/>
    <n v="1000000"/>
    <n v="0.25"/>
    <n v="0.1"/>
    <n v="0.1"/>
    <n v="25"/>
    <m/>
    <x v="0"/>
    <b v="1"/>
    <b v="1"/>
    <s v="52"/>
    <x v="0"/>
    <n v="6"/>
    <n v="2"/>
    <n v="2"/>
    <n v="40000"/>
    <n v="240000"/>
    <n v="80000"/>
    <n v="80000"/>
    <x v="2"/>
  </r>
  <r>
    <x v="18"/>
    <s v="GO_FOMENTO_142024.pdf"/>
    <n v="3500000"/>
    <n v="0.25"/>
    <n v="0.1"/>
    <n v="0.1"/>
    <n v="27"/>
    <m/>
    <x v="0"/>
    <b v="1"/>
    <b v="1"/>
    <s v="52"/>
    <x v="0"/>
    <n v="7"/>
    <n v="3"/>
    <n v="3"/>
    <n v="129629.62962962961"/>
    <n v="907407.40740740742"/>
    <n v="388888.88888888888"/>
    <n v="388888.88888888888"/>
    <x v="2"/>
  </r>
  <r>
    <x v="18"/>
    <s v="GO_FOMENTO_162024.pdf"/>
    <n v="6050000"/>
    <n v="0.25"/>
    <n v="0.1"/>
    <n v="0.1"/>
    <n v="32"/>
    <m/>
    <x v="0"/>
    <b v="1"/>
    <b v="1"/>
    <s v="52"/>
    <x v="0"/>
    <n v="8"/>
    <n v="3"/>
    <n v="3"/>
    <n v="189062.5"/>
    <n v="1512500"/>
    <n v="567187.5"/>
    <n v="567187.5"/>
    <x v="2"/>
  </r>
  <r>
    <x v="18"/>
    <s v="GO_FOMENTO_172024.pdf"/>
    <n v="1000000"/>
    <n v="0.25"/>
    <n v="0.1"/>
    <n v="0.1"/>
    <n v="10"/>
    <m/>
    <x v="0"/>
    <b v="1"/>
    <b v="1"/>
    <s v="52"/>
    <x v="0"/>
    <n v="2"/>
    <n v="1"/>
    <n v="1"/>
    <n v="100000"/>
    <n v="200000"/>
    <n v="100000"/>
    <n v="100000"/>
    <x v="2"/>
  </r>
  <r>
    <x v="18"/>
    <s v="GO_SUBSÍDIO_152024.pdf"/>
    <n v="4950000"/>
    <n v="0.23680000000000001"/>
    <n v="7.8899999999999998E-2"/>
    <n v="7.8899999999999998E-2"/>
    <n v="38"/>
    <m/>
    <x v="0"/>
    <b v="0"/>
    <b v="1"/>
    <s v="52"/>
    <x v="0"/>
    <n v="9"/>
    <n v="3"/>
    <n v="3"/>
    <n v="130263.1578947368"/>
    <n v="1172368.421052631"/>
    <n v="390789.4736842105"/>
    <n v="390789.4736842105"/>
    <x v="4"/>
  </r>
  <r>
    <x v="19"/>
    <s v="2024-05_JOAOPESSOA_CULTURAVIVA.pdf.pdf"/>
    <n v="420000"/>
    <n v="0.25"/>
    <n v="0.1"/>
    <n v="0.05"/>
    <n v="14"/>
    <m/>
    <x v="0"/>
    <b v="1"/>
    <b v="1"/>
    <s v="2507507"/>
    <x v="1"/>
    <n v="4"/>
    <n v="1"/>
    <n v="1"/>
    <n v="30000"/>
    <n v="120000"/>
    <n v="30000"/>
    <n v="30000"/>
    <x v="1"/>
  </r>
  <r>
    <x v="19"/>
    <s v="2024-11_JOAOPESSOA_CULTURAVIVA.pdf.pdf"/>
    <n v="1200000"/>
    <n v="0.25"/>
    <n v="0.1"/>
    <n v="0.05"/>
    <n v="10"/>
    <m/>
    <x v="0"/>
    <b v="1"/>
    <b v="1"/>
    <s v="2507507"/>
    <x v="1"/>
    <n v="2"/>
    <n v="1"/>
    <n v="0"/>
    <n v="120000"/>
    <n v="240000"/>
    <n v="120000"/>
    <n v="0"/>
    <x v="1"/>
  </r>
  <r>
    <x v="19"/>
    <s v="2024-13_JOAOPESSOA_PRÊMIO.pdf"/>
    <n v="240000"/>
    <n v="1"/>
    <n v="0.1"/>
    <n v="7.0000000000000007E-2"/>
    <n v="30"/>
    <s v="NEGRA"/>
    <x v="0"/>
    <b v="1"/>
    <b v="1"/>
    <s v="2507507"/>
    <x v="1"/>
    <n v="30"/>
    <n v="3"/>
    <n v="2"/>
    <n v="8000"/>
    <n v="240000"/>
    <n v="24000"/>
    <n v="16000"/>
    <x v="3"/>
  </r>
  <r>
    <x v="19"/>
    <s v="2024-07_JOAOPESSOA_SUBSÍDIO.pdf"/>
    <n v="800000"/>
    <n v="0.25"/>
    <n v="0.1"/>
    <n v="0.05"/>
    <n v="20"/>
    <m/>
    <x v="0"/>
    <b v="1"/>
    <b v="1"/>
    <s v="2507507"/>
    <x v="1"/>
    <n v="5"/>
    <n v="2"/>
    <n v="1"/>
    <n v="40000"/>
    <n v="200000"/>
    <n v="80000"/>
    <n v="40000"/>
    <x v="4"/>
  </r>
  <r>
    <x v="19"/>
    <s v="2024-06_JOAOPESSOA_PRÊMIO.pdf.pdf"/>
    <n v="240000"/>
    <n v="0.26"/>
    <n v="0.1"/>
    <n v="0.06"/>
    <n v="30"/>
    <m/>
    <x v="0"/>
    <b v="1"/>
    <b v="1"/>
    <s v="2507507"/>
    <x v="1"/>
    <n v="8"/>
    <n v="3"/>
    <n v="2"/>
    <n v="8000"/>
    <n v="64000"/>
    <n v="24000"/>
    <n v="16000"/>
    <x v="3"/>
  </r>
  <r>
    <x v="19"/>
    <s v="2024-09_JOAOPESSOA_SUBSÍDIO.pdf"/>
    <n v="500000"/>
    <n v="0.23"/>
    <n v="0.12"/>
    <n v="0.06"/>
    <n v="17"/>
    <m/>
    <x v="0"/>
    <b v="1"/>
    <b v="1"/>
    <s v="2507507"/>
    <x v="1"/>
    <n v="4"/>
    <n v="2"/>
    <n v="1"/>
    <n v="29411.76470588235"/>
    <n v="117647.0588235294"/>
    <n v="58823.529411764714"/>
    <n v="29411.76470588235"/>
    <x v="4"/>
  </r>
  <r>
    <x v="19"/>
    <s v="2024-12_JOAOPESSOA_FOMENTO.pdf"/>
    <n v="370000"/>
    <n v="0.23"/>
    <n v="0.15"/>
    <n v="0.15"/>
    <n v="13"/>
    <m/>
    <x v="0"/>
    <b v="1"/>
    <b v="1"/>
    <s v="2507507"/>
    <x v="1"/>
    <n v="3"/>
    <n v="2"/>
    <n v="2"/>
    <n v="28461.538461538461"/>
    <n v="85384.615384615376"/>
    <n v="56923.076923076922"/>
    <n v="56923.076923076922"/>
    <x v="2"/>
  </r>
  <r>
    <x v="19"/>
    <s v="2024-08_JOAOPESSOA_BOLSA.pdf"/>
    <n v="200000"/>
    <n v="0.26"/>
    <n v="0.13"/>
    <n v="0.06"/>
    <n v="15"/>
    <m/>
    <x v="0"/>
    <b v="1"/>
    <b v="1"/>
    <s v="2507507"/>
    <x v="1"/>
    <n v="4"/>
    <n v="2"/>
    <n v="1"/>
    <n v="13333.33333333333"/>
    <n v="53333.333333333343"/>
    <n v="26666.666666666672"/>
    <n v="13333.33333333333"/>
    <x v="0"/>
  </r>
  <r>
    <x v="19"/>
    <s v="2024-10_JOAOPESSOA_FOMENTO.pdf.pdf"/>
    <n v="1320000"/>
    <n v="0.24"/>
    <n v="0.09"/>
    <n v="0.06"/>
    <n v="75"/>
    <m/>
    <x v="1"/>
    <b v="1"/>
    <b v="1"/>
    <s v="2507507"/>
    <x v="1"/>
    <n v="18"/>
    <n v="7"/>
    <n v="4"/>
    <n v="17600"/>
    <n v="316800"/>
    <n v="123200"/>
    <n v="70400"/>
    <x v="2"/>
  </r>
  <r>
    <x v="20"/>
    <s v="2024-05_MACAPÁ_CULTURAVIVA.pdf.pdf"/>
    <n v="868254.06"/>
    <n v="0.25"/>
    <n v="0.1"/>
    <n v="0.05"/>
    <n v="48"/>
    <m/>
    <x v="0"/>
    <b v="1"/>
    <b v="1"/>
    <s v="1600303"/>
    <x v="1"/>
    <n v="12"/>
    <n v="5"/>
    <n v="2"/>
    <n v="18088.626250000001"/>
    <n v="217063.51500000001"/>
    <n v="90443.131250000006"/>
    <n v="36177.252500000002"/>
    <x v="1"/>
  </r>
  <r>
    <x v="20"/>
    <s v="2024-04_MACAPÁ_FOMENTO.pdf"/>
    <n v="1070000"/>
    <n v="0.25"/>
    <n v="0.1"/>
    <n v="0.05"/>
    <n v="38"/>
    <m/>
    <x v="0"/>
    <b v="1"/>
    <b v="1"/>
    <s v="1600303"/>
    <x v="1"/>
    <n v="10"/>
    <n v="4"/>
    <n v="2"/>
    <n v="28157.89473684211"/>
    <n v="281578.94736842113"/>
    <n v="112631.5789473684"/>
    <n v="56315.789473684214"/>
    <x v="2"/>
  </r>
  <r>
    <x v="20"/>
    <s v="2024-03_MACAPÁ_PRÊMIO.pdf"/>
    <n v="600000"/>
    <n v="0.25"/>
    <n v="0.1"/>
    <n v="0.05"/>
    <n v="65"/>
    <m/>
    <x v="0"/>
    <b v="1"/>
    <b v="1"/>
    <s v="1600303"/>
    <x v="1"/>
    <n v="16"/>
    <n v="6"/>
    <n v="3"/>
    <n v="9230.7692307692305"/>
    <n v="147692.30769230769"/>
    <n v="55384.615384615383"/>
    <n v="27692.307692307691"/>
    <x v="3"/>
  </r>
  <r>
    <x v="21"/>
    <s v="2024-07_MACEIÓ_FOMENTO.pdf"/>
    <n v="745000"/>
    <n v="0.26"/>
    <n v="0.1"/>
    <n v="0.08"/>
    <n v="51"/>
    <m/>
    <x v="0"/>
    <b v="1"/>
    <b v="1"/>
    <s v="2704302"/>
    <x v="1"/>
    <n v="13"/>
    <n v="5"/>
    <n v="4"/>
    <n v="14607.8431372549"/>
    <n v="189901.96078431371"/>
    <n v="73039.215686274518"/>
    <n v="58431.372549019608"/>
    <x v="2"/>
  </r>
  <r>
    <x v="21"/>
    <s v="2024-06_MACEIÓ_FOMENTO.pdf"/>
    <n v="733500"/>
    <n v="0.28000000000000003"/>
    <n v="0.1"/>
    <n v="0.09"/>
    <n v="46"/>
    <m/>
    <x v="0"/>
    <b v="1"/>
    <b v="1"/>
    <s v="2704302"/>
    <x v="1"/>
    <n v="13"/>
    <n v="5"/>
    <n v="4"/>
    <n v="15945.65217391304"/>
    <n v="207293.4782608696"/>
    <n v="79728.260869565216"/>
    <n v="63782.608695652183"/>
    <x v="2"/>
  </r>
  <r>
    <x v="21"/>
    <s v="2024-05_MACEIÓ_FOMENTO.pdf"/>
    <n v="462000"/>
    <n v="0.3"/>
    <n v="0.1"/>
    <n v="0.1"/>
    <n v="20"/>
    <m/>
    <x v="0"/>
    <b v="1"/>
    <b v="1"/>
    <s v="2704302"/>
    <x v="1"/>
    <n v="6"/>
    <n v="2"/>
    <n v="2"/>
    <n v="23100"/>
    <n v="138600"/>
    <n v="46200"/>
    <n v="46200"/>
    <x v="2"/>
  </r>
  <r>
    <x v="21"/>
    <s v="2024-04_MACEIÓ_FOMENTO.pdf"/>
    <n v="861000"/>
    <n v="0.25"/>
    <n v="0.09"/>
    <n v="7.0000000000000007E-2"/>
    <n v="58"/>
    <m/>
    <x v="0"/>
    <b v="0"/>
    <b v="1"/>
    <s v="2704302"/>
    <x v="1"/>
    <n v="14"/>
    <n v="5"/>
    <n v="4"/>
    <n v="14844.8275862069"/>
    <n v="207827.58620689661"/>
    <n v="74224.137931034478"/>
    <n v="59379.310344827587"/>
    <x v="2"/>
  </r>
  <r>
    <x v="21"/>
    <s v="2024-03_MACEIÓ_FOMENTO.pdf"/>
    <n v="839000"/>
    <n v="0.25"/>
    <n v="0.1"/>
    <n v="0.06"/>
    <n v="83"/>
    <m/>
    <x v="0"/>
    <b v="1"/>
    <b v="1"/>
    <s v="2704302"/>
    <x v="1"/>
    <n v="21"/>
    <n v="8"/>
    <n v="5"/>
    <n v="10108.433734939759"/>
    <n v="212277.10843373489"/>
    <n v="80867.469879518074"/>
    <n v="50542.168674698798"/>
    <x v="2"/>
  </r>
  <r>
    <x v="21"/>
    <s v="2024-10_MACEIÓ_CULTURAVIVA.pdf"/>
    <n v="1748733.4"/>
    <n v="0.25"/>
    <n v="0.1"/>
    <n v="0.05"/>
    <n v="10"/>
    <m/>
    <x v="0"/>
    <b v="1"/>
    <b v="1"/>
    <s v="2704302"/>
    <x v="1"/>
    <n v="2"/>
    <n v="1"/>
    <n v="0"/>
    <n v="174873.34"/>
    <n v="349746.68"/>
    <n v="174873.34"/>
    <n v="0"/>
    <x v="1"/>
  </r>
  <r>
    <x v="21"/>
    <s v="2024-08_MACEIÓ_PRÊMIO.pdf"/>
    <n v="630000"/>
    <n v="0.25"/>
    <n v="0.1"/>
    <n v="0.05"/>
    <n v="119"/>
    <m/>
    <x v="0"/>
    <b v="1"/>
    <b v="1"/>
    <s v="2704302"/>
    <x v="1"/>
    <n v="30"/>
    <n v="12"/>
    <n v="6"/>
    <n v="5294.1176470588234"/>
    <n v="158823.5294117647"/>
    <n v="63529.411764705881"/>
    <n v="31764.705882352941"/>
    <x v="3"/>
  </r>
  <r>
    <x v="21"/>
    <s v="2024-09_MACEIÓ_CULTURAVIVA.pdf"/>
    <n v="600000"/>
    <n v="0.25"/>
    <n v="0.1"/>
    <n v="0.05"/>
    <n v="15"/>
    <m/>
    <x v="0"/>
    <b v="1"/>
    <b v="1"/>
    <s v="2704302"/>
    <x v="1"/>
    <n v="4"/>
    <n v="2"/>
    <n v="1"/>
    <n v="40000"/>
    <n v="160000"/>
    <n v="80000"/>
    <n v="40000"/>
    <x v="1"/>
  </r>
  <r>
    <x v="22"/>
    <s v="2024-02_MANAUS_FOMENTO.pdf"/>
    <n v="4789485.7"/>
    <n v="0.2"/>
    <n v="0.2"/>
    <n v="0.06"/>
    <n v="188"/>
    <m/>
    <x v="1"/>
    <b v="1"/>
    <b v="1"/>
    <s v="1302603"/>
    <x v="1"/>
    <n v="38"/>
    <n v="38"/>
    <n v="11"/>
    <n v="25475.987765957449"/>
    <n v="968087.53510638303"/>
    <n v="968087.53510638303"/>
    <n v="280235.86542553193"/>
    <x v="2"/>
  </r>
  <r>
    <x v="22"/>
    <s v="2024-10_MANAUS_PRÊMIO.pdf"/>
    <n v="300000"/>
    <n v="0.25"/>
    <n v="0.25"/>
    <n v="0.05"/>
    <n v="30"/>
    <s v="MESTRAS/ MULHER"/>
    <x v="0"/>
    <b v="1"/>
    <b v="1"/>
    <s v="1302603"/>
    <x v="1"/>
    <n v="8"/>
    <n v="8"/>
    <n v="2"/>
    <n v="10000"/>
    <n v="80000"/>
    <n v="80000"/>
    <n v="20000"/>
    <x v="3"/>
  </r>
  <r>
    <x v="22"/>
    <s v="2024-09_MANAUS_FOMENTO.pdf"/>
    <n v="500000"/>
    <n v="0.25"/>
    <n v="0.25"/>
    <n v="0.05"/>
    <n v="10"/>
    <s v="POVOS E COMUNIDADES TRADICIONAIS"/>
    <x v="0"/>
    <b v="1"/>
    <b v="1"/>
    <s v="1302603"/>
    <x v="1"/>
    <n v="2"/>
    <n v="2"/>
    <n v="0"/>
    <n v="50000"/>
    <n v="100000"/>
    <n v="100000"/>
    <n v="0"/>
    <x v="2"/>
  </r>
  <r>
    <x v="22"/>
    <s v="2024-04_MANAUS_FOMENTO.pdf"/>
    <n v="400000"/>
    <n v="0.25"/>
    <n v="0.25"/>
    <n v="0.05"/>
    <n v="25"/>
    <m/>
    <x v="0"/>
    <b v="1"/>
    <b v="1"/>
    <s v="1302603"/>
    <x v="1"/>
    <n v="6"/>
    <n v="6"/>
    <n v="1"/>
    <n v="16000"/>
    <n v="96000"/>
    <n v="96000"/>
    <n v="16000"/>
    <x v="2"/>
  </r>
  <r>
    <x v="22"/>
    <s v="2024-07_MANAUS_SUBSÍDIO.pdf"/>
    <n v="2400000"/>
    <n v="0.25"/>
    <n v="0.25"/>
    <n v="0.05"/>
    <n v="30"/>
    <m/>
    <x v="0"/>
    <b v="1"/>
    <b v="1"/>
    <s v="1302603"/>
    <x v="1"/>
    <n v="8"/>
    <n v="8"/>
    <n v="2"/>
    <n v="80000"/>
    <n v="640000"/>
    <n v="640000"/>
    <n v="160000"/>
    <x v="4"/>
  </r>
  <r>
    <x v="22"/>
    <s v="2024-05_MANAUS_CULTURAVIVA.pdf"/>
    <n v="1080000"/>
    <n v="0.25"/>
    <n v="0.25"/>
    <n v="0.05"/>
    <n v="36"/>
    <m/>
    <x v="0"/>
    <b v="1"/>
    <b v="1"/>
    <s v="1302603"/>
    <x v="1"/>
    <n v="9"/>
    <n v="9"/>
    <n v="2"/>
    <n v="30000"/>
    <n v="270000"/>
    <n v="270000"/>
    <n v="60000"/>
    <x v="1"/>
  </r>
  <r>
    <x v="22"/>
    <s v="2024-08_MANAUS_FOMENTO.pdf"/>
    <n v="1197371.44"/>
    <n v="0.25"/>
    <n v="0.25"/>
    <n v="0.05"/>
    <n v="40"/>
    <s v="POVOS E COMUNIDADES TRADICIONAIS"/>
    <x v="0"/>
    <b v="1"/>
    <b v="1"/>
    <s v="1302603"/>
    <x v="1"/>
    <n v="10"/>
    <n v="10"/>
    <n v="2"/>
    <n v="29934.286"/>
    <n v="299342.86"/>
    <n v="299342.86"/>
    <n v="59868.572"/>
    <x v="2"/>
  </r>
  <r>
    <x v="22"/>
    <s v="2024-06_MANAUS_CULTURAVIVA.pdf"/>
    <n v="2400000"/>
    <n v="0.25"/>
    <n v="0.25"/>
    <n v="0.05"/>
    <n v="40"/>
    <m/>
    <x v="0"/>
    <b v="1"/>
    <b v="1"/>
    <s v="1302603"/>
    <x v="1"/>
    <n v="10"/>
    <n v="10"/>
    <n v="2"/>
    <n v="60000"/>
    <n v="600000"/>
    <n v="600000"/>
    <n v="120000"/>
    <x v="1"/>
  </r>
  <r>
    <x v="22"/>
    <s v="2024-03_MANAUS_FOMENTO.pdf"/>
    <n v="300000"/>
    <n v="0.25"/>
    <n v="0.25"/>
    <n v="0.05"/>
    <n v="15"/>
    <s v="LGBTQIAPN+"/>
    <x v="0"/>
    <b v="1"/>
    <b v="1"/>
    <s v="1302603"/>
    <x v="1"/>
    <n v="4"/>
    <n v="4"/>
    <n v="1"/>
    <n v="20000"/>
    <n v="80000"/>
    <n v="80000"/>
    <n v="20000"/>
    <x v="2"/>
  </r>
  <r>
    <x v="23"/>
    <s v="MA_CULTURAVIVA_022025.pdf"/>
    <n v="6450000"/>
    <n v="0.25"/>
    <n v="0.1"/>
    <n v="0.05"/>
    <n v="209"/>
    <m/>
    <x v="0"/>
    <b v="1"/>
    <b v="1"/>
    <s v="21"/>
    <x v="0"/>
    <n v="52"/>
    <n v="21"/>
    <n v="10"/>
    <n v="30861.244019138761"/>
    <n v="1604784.6889952151"/>
    <n v="648086.12440191396"/>
    <n v="308612.44019138749"/>
    <x v="1"/>
  </r>
  <r>
    <x v="23"/>
    <s v="MA_FOMENTO_012025.pdf"/>
    <n v="6300000"/>
    <n v="0.2031"/>
    <n v="0.1042"/>
    <n v="0"/>
    <n v="192"/>
    <m/>
    <x v="1"/>
    <b v="1"/>
    <b v="0"/>
    <s v="21"/>
    <x v="0"/>
    <n v="39"/>
    <n v="20"/>
    <n v="0"/>
    <n v="32812.5"/>
    <n v="1279687.5"/>
    <n v="656250"/>
    <n v="0"/>
    <x v="2"/>
  </r>
  <r>
    <x v="23"/>
    <s v="MA_FOMENTO_042025.pdf"/>
    <n v="5700000"/>
    <n v="0.25"/>
    <n v="0.1"/>
    <n v="0.05"/>
    <n v="30"/>
    <m/>
    <x v="0"/>
    <b v="1"/>
    <b v="1"/>
    <s v="21"/>
    <x v="0"/>
    <n v="8"/>
    <n v="3"/>
    <n v="2"/>
    <n v="190000"/>
    <n v="1520000"/>
    <n v="570000"/>
    <n v="380000"/>
    <x v="2"/>
  </r>
  <r>
    <x v="23"/>
    <s v="MA_FOMENTO_052025.pdf"/>
    <n v="4900000"/>
    <n v="0.25"/>
    <n v="0.1"/>
    <n v="0.05"/>
    <n v="35"/>
    <m/>
    <x v="0"/>
    <b v="1"/>
    <b v="1"/>
    <s v="21"/>
    <x v="0"/>
    <n v="9"/>
    <n v="4"/>
    <n v="2"/>
    <n v="140000"/>
    <n v="1260000"/>
    <n v="560000"/>
    <n v="280000"/>
    <x v="2"/>
  </r>
  <r>
    <x v="23"/>
    <s v="MA_PRÊMIO_032025.pdf"/>
    <n v="5700000"/>
    <n v="0.25"/>
    <n v="0.1"/>
    <n v="0.05"/>
    <n v="310"/>
    <m/>
    <x v="0"/>
    <b v="1"/>
    <b v="1"/>
    <s v="21"/>
    <x v="0"/>
    <n v="78"/>
    <n v="31"/>
    <n v="16"/>
    <n v="18387.096774193549"/>
    <n v="1434193.548387097"/>
    <n v="570000"/>
    <n v="294193.54838709679"/>
    <x v="3"/>
  </r>
  <r>
    <x v="23"/>
    <s v="2025-06_MARANHÃO_PRÊMIO.pdf"/>
    <n v="2000000"/>
    <n v="0.25"/>
    <n v="0.1"/>
    <n v="0.05"/>
    <n v="400"/>
    <s v="MESTRES E MESTRAS "/>
    <x v="0"/>
    <b v="1"/>
    <b v="1"/>
    <s v="21"/>
    <x v="0"/>
    <n v="100"/>
    <n v="40"/>
    <n v="20"/>
    <n v="5000"/>
    <n v="500000"/>
    <n v="200000"/>
    <n v="100000"/>
    <x v="3"/>
  </r>
  <r>
    <x v="24"/>
    <s v="MT_CULTURAVIVA_242024.pdf"/>
    <n v="2760000"/>
    <n v="0.25"/>
    <n v="0.1"/>
    <n v="0.05"/>
    <n v="23"/>
    <m/>
    <x v="0"/>
    <b v="1"/>
    <b v="1"/>
    <s v="51"/>
    <x v="0"/>
    <n v="6"/>
    <n v="2"/>
    <n v="1"/>
    <n v="120000"/>
    <n v="720000"/>
    <n v="240000"/>
    <n v="120000"/>
    <x v="1"/>
  </r>
  <r>
    <x v="24"/>
    <s v="MT_CULTURAVIVA_252024.pdf"/>
    <n v="488000"/>
    <n v="0"/>
    <n v="0"/>
    <n v="0"/>
    <n v="1"/>
    <m/>
    <x v="0"/>
    <b v="1"/>
    <b v="1"/>
    <s v="51"/>
    <x v="0"/>
    <n v="0"/>
    <n v="0"/>
    <n v="0"/>
    <n v="488000"/>
    <n v="0"/>
    <n v="0"/>
    <n v="0"/>
    <x v="1"/>
  </r>
  <r>
    <x v="24"/>
    <s v="MT_FOMENTO_132024.pdf"/>
    <n v="1000000"/>
    <n v="0.25"/>
    <n v="0.1"/>
    <n v="0.05"/>
    <n v="10"/>
    <m/>
    <x v="0"/>
    <b v="1"/>
    <b v="1"/>
    <s v="51"/>
    <x v="0"/>
    <n v="2"/>
    <n v="1"/>
    <n v="0"/>
    <n v="100000"/>
    <n v="200000"/>
    <n v="100000"/>
    <n v="0"/>
    <x v="2"/>
  </r>
  <r>
    <x v="24"/>
    <s v="MT_FOMENTO_152024.pdf"/>
    <n v="640000"/>
    <n v="0.25"/>
    <n v="0.1"/>
    <n v="0.05"/>
    <n v="8"/>
    <m/>
    <x v="0"/>
    <b v="1"/>
    <b v="1"/>
    <s v="51"/>
    <x v="0"/>
    <n v="2"/>
    <n v="1"/>
    <n v="0"/>
    <n v="80000"/>
    <n v="160000"/>
    <n v="80000"/>
    <n v="0"/>
    <x v="2"/>
  </r>
  <r>
    <x v="24"/>
    <s v="MT_FOMENTO_172024.pdf"/>
    <n v="4500000"/>
    <n v="0.25"/>
    <n v="0.1"/>
    <n v="0.05"/>
    <n v="53"/>
    <m/>
    <x v="0"/>
    <b v="1"/>
    <b v="1"/>
    <s v="51"/>
    <x v="0"/>
    <n v="13"/>
    <n v="5"/>
    <n v="3"/>
    <n v="84905.660377358494"/>
    <n v="1103773.58490566"/>
    <n v="424528.30188679253"/>
    <n v="254716.98113207551"/>
    <x v="2"/>
  </r>
  <r>
    <x v="24"/>
    <s v="MT_FOMENTO_182024.pdf"/>
    <n v="7300000"/>
    <n v="0.21"/>
    <n v="0.1"/>
    <n v="0.05"/>
    <n v="100"/>
    <m/>
    <x v="0"/>
    <b v="1"/>
    <b v="1"/>
    <s v="51"/>
    <x v="0"/>
    <n v="21"/>
    <n v="10"/>
    <n v="5"/>
    <n v="73000"/>
    <n v="1533000"/>
    <n v="730000"/>
    <n v="365000"/>
    <x v="2"/>
  </r>
  <r>
    <x v="24"/>
    <s v="MT_FOMENTO_232024.pdf"/>
    <n v="1400000"/>
    <n v="0.25"/>
    <n v="0.1"/>
    <n v="0.05"/>
    <n v="23"/>
    <m/>
    <x v="0"/>
    <b v="1"/>
    <b v="1"/>
    <s v="51"/>
    <x v="0"/>
    <n v="6"/>
    <n v="2"/>
    <n v="1"/>
    <n v="60869.565217391297"/>
    <n v="365217.39130434778"/>
    <n v="121739.13043478259"/>
    <n v="60869.565217391297"/>
    <x v="2"/>
  </r>
  <r>
    <x v="24"/>
    <s v="MT_PRÊMIO_162024.pdf"/>
    <n v="360000"/>
    <n v="0.25"/>
    <n v="0.1"/>
    <n v="0.05"/>
    <n v="12"/>
    <m/>
    <x v="0"/>
    <b v="1"/>
    <b v="1"/>
    <s v="51"/>
    <x v="0"/>
    <n v="3"/>
    <n v="1"/>
    <n v="1"/>
    <n v="30000"/>
    <n v="90000"/>
    <n v="30000"/>
    <n v="30000"/>
    <x v="3"/>
  </r>
  <r>
    <x v="25"/>
    <s v="MS_BOLSA_042025.pdf"/>
    <n v="600000"/>
    <n v="0.25"/>
    <n v="0.1"/>
    <n v="0.05"/>
    <n v="32"/>
    <m/>
    <x v="0"/>
    <b v="1"/>
    <b v="1"/>
    <s v="50"/>
    <x v="0"/>
    <n v="8"/>
    <n v="3"/>
    <n v="2"/>
    <n v="18750"/>
    <n v="150000"/>
    <n v="56250"/>
    <n v="37500"/>
    <x v="0"/>
  </r>
  <r>
    <x v="25"/>
    <s v="MS_CULTURAVIVA_162024.pdf"/>
    <n v="2428000"/>
    <n v="0.25"/>
    <n v="0.15"/>
    <n v="7.4999999999999997E-2"/>
    <n v="40"/>
    <m/>
    <x v="0"/>
    <b v="1"/>
    <b v="1"/>
    <s v="50"/>
    <x v="0"/>
    <n v="10"/>
    <n v="6"/>
    <n v="3"/>
    <n v="60700"/>
    <n v="607000"/>
    <n v="364200"/>
    <n v="182100"/>
    <x v="1"/>
  </r>
  <r>
    <x v="25"/>
    <s v="MS_CULTURAVIVA_172024.pdf"/>
    <n v="600000"/>
    <n v="0.25"/>
    <n v="0.1"/>
    <n v="0.05"/>
    <n v="2"/>
    <m/>
    <x v="0"/>
    <b v="1"/>
    <b v="1"/>
    <s v="50"/>
    <x v="0"/>
    <n v="0"/>
    <n v="0"/>
    <n v="0"/>
    <n v="300000"/>
    <n v="0"/>
    <n v="0"/>
    <n v="0"/>
    <x v="1"/>
  </r>
  <r>
    <x v="25"/>
    <s v="MS_FOMENTO_012025.pdf"/>
    <n v="400000"/>
    <n v="0.25"/>
    <n v="0.1"/>
    <n v="0.05"/>
    <n v="4"/>
    <m/>
    <x v="0"/>
    <b v="1"/>
    <b v="1"/>
    <s v="50"/>
    <x v="0"/>
    <n v="1"/>
    <n v="0"/>
    <n v="0"/>
    <n v="100000"/>
    <n v="100000"/>
    <n v="0"/>
    <n v="0"/>
    <x v="2"/>
  </r>
  <r>
    <x v="25"/>
    <s v="MS_FOMENTO_052025.pdf"/>
    <n v="1000000"/>
    <n v="0.2"/>
    <n v="0.1"/>
    <n v="0.05"/>
    <m/>
    <m/>
    <x v="1"/>
    <b v="1"/>
    <b v="1"/>
    <s v="50"/>
    <x v="0"/>
    <m/>
    <m/>
    <m/>
    <m/>
    <n v="200000"/>
    <n v="100000"/>
    <n v="50000"/>
    <x v="2"/>
  </r>
  <r>
    <x v="25"/>
    <s v="MS_FOMENTO_062025.pdf"/>
    <n v="750000"/>
    <n v="0.25"/>
    <n v="0.1"/>
    <n v="0.05"/>
    <n v="50"/>
    <m/>
    <x v="0"/>
    <b v="1"/>
    <b v="1"/>
    <s v="50"/>
    <x v="0"/>
    <n v="12"/>
    <n v="5"/>
    <n v="2"/>
    <n v="15000"/>
    <n v="180000"/>
    <n v="75000"/>
    <n v="30000"/>
    <x v="2"/>
  </r>
  <r>
    <x v="25"/>
    <s v="MS_FOMENTO_072025.pdf"/>
    <n v="500000"/>
    <n v="0.25"/>
    <n v="0.1"/>
    <n v="0.05"/>
    <n v="39"/>
    <m/>
    <x v="0"/>
    <b v="1"/>
    <b v="1"/>
    <s v="50"/>
    <x v="0"/>
    <n v="10"/>
    <n v="4"/>
    <n v="2"/>
    <n v="12820.51282051282"/>
    <n v="128205.1282051282"/>
    <n v="51282.051282051281"/>
    <n v="25641.025641025641"/>
    <x v="2"/>
  </r>
  <r>
    <x v="25"/>
    <s v="MS_FOMENTO_082025.pdf"/>
    <n v="700000"/>
    <n v="0.25"/>
    <n v="0.1"/>
    <n v="0.05"/>
    <n v="32"/>
    <s v="PERIFERIAS"/>
    <x v="0"/>
    <b v="1"/>
    <b v="1"/>
    <s v="50"/>
    <x v="0"/>
    <n v="8"/>
    <n v="3"/>
    <n v="2"/>
    <n v="21875"/>
    <n v="175000"/>
    <n v="65625"/>
    <n v="43750"/>
    <x v="2"/>
  </r>
  <r>
    <x v="25"/>
    <s v="MS_FOMENTO_092025.pdf"/>
    <n v="300000"/>
    <n v="0.25"/>
    <n v="0.1"/>
    <n v="0.05"/>
    <n v="90"/>
    <m/>
    <x v="0"/>
    <b v="1"/>
    <b v="1"/>
    <s v="50"/>
    <x v="0"/>
    <n v="22"/>
    <n v="9"/>
    <n v="4"/>
    <n v="3333.333333333333"/>
    <n v="73333.333333333343"/>
    <n v="30000"/>
    <n v="13333.33333333333"/>
    <x v="2"/>
  </r>
  <r>
    <x v="25"/>
    <s v="MS_FOMENTO_102025.pdf"/>
    <n v="2100000"/>
    <n v="0.25"/>
    <n v="0.1"/>
    <n v="0.05"/>
    <n v="7"/>
    <m/>
    <x v="0"/>
    <b v="1"/>
    <b v="1"/>
    <s v="50"/>
    <x v="0"/>
    <n v="2"/>
    <n v="1"/>
    <n v="0"/>
    <n v="300000"/>
    <n v="600000"/>
    <n v="300000"/>
    <n v="0"/>
    <x v="2"/>
  </r>
  <r>
    <x v="25"/>
    <s v="MS_FOMENTO_132024.pdf"/>
    <n v="400000"/>
    <n v="0.25"/>
    <n v="0.1"/>
    <n v="0.05"/>
    <n v="40"/>
    <s v="IDOSO"/>
    <x v="0"/>
    <b v="1"/>
    <b v="1"/>
    <s v="50"/>
    <x v="0"/>
    <n v="10"/>
    <n v="4"/>
    <n v="2"/>
    <n v="10000"/>
    <n v="100000"/>
    <n v="40000"/>
    <n v="20000"/>
    <x v="2"/>
  </r>
  <r>
    <x v="25"/>
    <s v="MS_FOMENTO_142024.pdf"/>
    <n v="200000"/>
    <n v="0.25"/>
    <n v="0.1"/>
    <n v="0.05"/>
    <n v="12"/>
    <m/>
    <x v="0"/>
    <b v="1"/>
    <b v="1"/>
    <s v="50"/>
    <x v="0"/>
    <n v="3"/>
    <n v="1"/>
    <n v="1"/>
    <n v="16666.666666666672"/>
    <n v="50000"/>
    <n v="16666.666666666672"/>
    <n v="16666.666666666672"/>
    <x v="2"/>
  </r>
  <r>
    <x v="25"/>
    <s v="MS_FOMENTO_152024.pdf"/>
    <n v="300000"/>
    <n v="0.2"/>
    <n v="0.1"/>
    <n v="0.06"/>
    <n v="30"/>
    <m/>
    <x v="1"/>
    <b v="1"/>
    <b v="1"/>
    <s v="50"/>
    <x v="0"/>
    <n v="6"/>
    <n v="3"/>
    <n v="2"/>
    <n v="10000"/>
    <n v="60000"/>
    <n v="30000"/>
    <n v="20000"/>
    <x v="2"/>
  </r>
  <r>
    <x v="25"/>
    <s v="MS_FOMENTO_182024.pdf"/>
    <n v="600000"/>
    <n v="0.25"/>
    <n v="0.1"/>
    <n v="0.05"/>
    <m/>
    <s v="MULHER"/>
    <x v="0"/>
    <b v="1"/>
    <b v="1"/>
    <s v="50"/>
    <x v="0"/>
    <m/>
    <m/>
    <m/>
    <m/>
    <n v="150000"/>
    <n v="60000"/>
    <n v="30000"/>
    <x v="2"/>
  </r>
  <r>
    <x v="25"/>
    <s v="MS_FOMENTO_192024.pdf"/>
    <n v="300000"/>
    <n v="0.2"/>
    <n v="0.2"/>
    <n v="0.16669999999999999"/>
    <n v="30"/>
    <m/>
    <x v="1"/>
    <b v="1"/>
    <b v="1"/>
    <s v="50"/>
    <x v="0"/>
    <n v="6"/>
    <n v="6"/>
    <n v="5"/>
    <n v="10000"/>
    <n v="60000"/>
    <n v="60000"/>
    <n v="50000"/>
    <x v="2"/>
  </r>
  <r>
    <x v="25"/>
    <s v="MS_FOMENTO_202024.pdf"/>
    <n v="650000"/>
    <n v="0.25"/>
    <n v="0.2"/>
    <n v="0.05"/>
    <n v="130"/>
    <m/>
    <x v="0"/>
    <b v="1"/>
    <b v="1"/>
    <s v="50"/>
    <x v="0"/>
    <n v="32"/>
    <n v="26"/>
    <n v="6"/>
    <n v="5000"/>
    <n v="160000"/>
    <n v="130000"/>
    <n v="30000"/>
    <x v="2"/>
  </r>
  <r>
    <x v="25"/>
    <s v="MS_FOMENTO_222024.pdf"/>
    <n v="900000"/>
    <n v="0.25"/>
    <n v="0.1"/>
    <n v="0.05"/>
    <m/>
    <m/>
    <x v="0"/>
    <b v="1"/>
    <b v="1"/>
    <s v="50"/>
    <x v="0"/>
    <m/>
    <m/>
    <m/>
    <m/>
    <n v="225000"/>
    <n v="90000"/>
    <n v="45000"/>
    <x v="2"/>
  </r>
  <r>
    <x v="25"/>
    <s v="MS_FOMENTO_232024.pdf"/>
    <n v="300000"/>
    <n v="0.23"/>
    <n v="0.23"/>
    <n v="0.03"/>
    <n v="30"/>
    <m/>
    <x v="1"/>
    <b v="1"/>
    <b v="0"/>
    <s v="50"/>
    <x v="0"/>
    <n v="7"/>
    <n v="7"/>
    <n v="1"/>
    <n v="10000"/>
    <n v="70000"/>
    <n v="70000"/>
    <n v="10000"/>
    <x v="2"/>
  </r>
  <r>
    <x v="25"/>
    <s v="MS_FOMENTO_242024.pdf"/>
    <n v="1500000"/>
    <n v="0.25"/>
    <n v="0.1"/>
    <n v="0.05"/>
    <n v="20"/>
    <m/>
    <x v="0"/>
    <b v="1"/>
    <b v="1"/>
    <s v="50"/>
    <x v="0"/>
    <n v="5"/>
    <n v="2"/>
    <n v="1"/>
    <n v="75000"/>
    <n v="375000"/>
    <n v="150000"/>
    <n v="75000"/>
    <x v="2"/>
  </r>
  <r>
    <x v="25"/>
    <s v="MS_FOMENTO_252024.pdf"/>
    <n v="1000000"/>
    <n v="0.25"/>
    <n v="0.1"/>
    <n v="0.05"/>
    <n v="20"/>
    <m/>
    <x v="0"/>
    <b v="1"/>
    <b v="1"/>
    <s v="50"/>
    <x v="0"/>
    <n v="5"/>
    <n v="2"/>
    <n v="1"/>
    <n v="50000"/>
    <n v="250000"/>
    <n v="100000"/>
    <n v="50000"/>
    <x v="2"/>
  </r>
  <r>
    <x v="25"/>
    <s v="MS_FOMENTO_262024.pdf"/>
    <n v="1500000"/>
    <n v="0.25"/>
    <n v="0.1"/>
    <n v="0.05"/>
    <n v="18"/>
    <m/>
    <x v="0"/>
    <b v="1"/>
    <b v="1"/>
    <s v="50"/>
    <x v="0"/>
    <n v="4"/>
    <n v="2"/>
    <n v="1"/>
    <n v="83333.333333333328"/>
    <n v="333333.33333333331"/>
    <n v="166666.66666666669"/>
    <n v="83333.333333333328"/>
    <x v="2"/>
  </r>
  <r>
    <x v="25"/>
    <s v="MS_FOMENTO_272024.pdf"/>
    <n v="1000000"/>
    <n v="0.25"/>
    <n v="0.1"/>
    <n v="0.05"/>
    <n v="14"/>
    <m/>
    <x v="0"/>
    <b v="1"/>
    <b v="1"/>
    <s v="50"/>
    <x v="0"/>
    <n v="4"/>
    <n v="1"/>
    <n v="1"/>
    <n v="71428.571428571435"/>
    <n v="285714.28571428568"/>
    <n v="71428.571428571435"/>
    <n v="71428.571428571435"/>
    <x v="2"/>
  </r>
  <r>
    <x v="25"/>
    <s v="MS_PRÊMIO_022025.pdf"/>
    <n v="100000"/>
    <n v="0.25"/>
    <n v="0.15"/>
    <n v="1"/>
    <n v="20"/>
    <s v="PCD"/>
    <x v="0"/>
    <b v="1"/>
    <b v="1"/>
    <s v="50"/>
    <x v="0"/>
    <n v="5"/>
    <n v="3"/>
    <n v="20"/>
    <n v="5000"/>
    <n v="25000"/>
    <n v="15000"/>
    <n v="100000"/>
    <x v="3"/>
  </r>
  <r>
    <x v="25"/>
    <s v="2024-10_MS_PRÊMIO.pdf"/>
    <n v="450000"/>
    <n v="0"/>
    <n v="1"/>
    <n v="0.06"/>
    <n v="75"/>
    <s v="POVOS E COMUNIDADES TRADICIONAIS (INDÍGENA / QUILOMBOLA)"/>
    <x v="0"/>
    <b v="1"/>
    <b v="1"/>
    <s v="50"/>
    <x v="0"/>
    <n v="0"/>
    <n v="75"/>
    <n v="4"/>
    <n v="6000"/>
    <n v="0"/>
    <n v="450000"/>
    <n v="24000"/>
    <x v="3"/>
  </r>
  <r>
    <x v="25"/>
    <s v="MS_PRÊMIO_112024.pdf"/>
    <n v="300000"/>
    <n v="0.2"/>
    <n v="0.1"/>
    <n v="0.05"/>
    <n v="20"/>
    <s v="MESTRES E MESTRAS"/>
    <x v="0"/>
    <b v="1"/>
    <b v="1"/>
    <s v="50"/>
    <x v="0"/>
    <n v="4"/>
    <n v="2"/>
    <n v="1"/>
    <n v="15000"/>
    <n v="60000"/>
    <n v="30000"/>
    <n v="15000"/>
    <x v="3"/>
  </r>
  <r>
    <x v="25"/>
    <s v="MS_PRÊMIO_112025.pdf"/>
    <n v="100000"/>
    <n v="0.25"/>
    <n v="0.05"/>
    <n v="0.05"/>
    <n v="20"/>
    <s v="LGBTQIAPN+"/>
    <x v="0"/>
    <b v="1"/>
    <b v="1"/>
    <s v="50"/>
    <x v="0"/>
    <n v="5"/>
    <n v="1"/>
    <n v="1"/>
    <n v="5000"/>
    <n v="25000"/>
    <n v="5000"/>
    <n v="5000"/>
    <x v="3"/>
  </r>
  <r>
    <x v="26"/>
    <s v="MG_BOLSA_122024.pdf"/>
    <n v="2275000"/>
    <n v="0.25640000000000002"/>
    <n v="0.1026"/>
    <n v="5.1299999999999998E-2"/>
    <n v="117"/>
    <m/>
    <x v="0"/>
    <b v="1"/>
    <b v="1"/>
    <s v="31"/>
    <x v="0"/>
    <n v="30"/>
    <n v="12"/>
    <n v="6"/>
    <n v="19444.444444444449"/>
    <n v="583333.33333333337"/>
    <n v="233333.33333333331"/>
    <n v="116666.6666666667"/>
    <x v="0"/>
  </r>
  <r>
    <x v="26"/>
    <s v="MG_BOLSA_132024.pdf"/>
    <n v="1462500"/>
    <n v="0.26"/>
    <n v="0.1"/>
    <n v="0.05"/>
    <n v="104"/>
    <m/>
    <x v="0"/>
    <b v="1"/>
    <b v="1"/>
    <s v="31"/>
    <x v="0"/>
    <n v="27"/>
    <n v="10"/>
    <n v="5"/>
    <n v="14062.5"/>
    <n v="379687.5"/>
    <n v="140625"/>
    <n v="70312.5"/>
    <x v="0"/>
  </r>
  <r>
    <x v="26"/>
    <s v="MG_CULTURAVIVA_032024.pdf"/>
    <n v="12600000"/>
    <n v="0.25"/>
    <n v="0.1"/>
    <n v="0.05"/>
    <n v="147"/>
    <m/>
    <x v="0"/>
    <b v="1"/>
    <b v="1"/>
    <s v="31"/>
    <x v="0"/>
    <n v="37"/>
    <n v="15"/>
    <n v="7"/>
    <n v="85714.28571428571"/>
    <n v="3171428.5714285709"/>
    <n v="1285714.2857142859"/>
    <n v="600000"/>
    <x v="1"/>
  </r>
  <r>
    <x v="26"/>
    <s v="MG_CULTURAVIVA_042024.pdf"/>
    <n v="4320000"/>
    <n v="0.25"/>
    <n v="0.1"/>
    <n v="0.05"/>
    <n v="144"/>
    <m/>
    <x v="0"/>
    <b v="1"/>
    <b v="1"/>
    <s v="31"/>
    <x v="0"/>
    <n v="36"/>
    <n v="14"/>
    <n v="7"/>
    <n v="30000"/>
    <n v="1080000"/>
    <n v="420000"/>
    <n v="210000"/>
    <x v="1"/>
  </r>
  <r>
    <x v="26"/>
    <s v="MG_FOMENTO_052024.pdf"/>
    <n v="9700000"/>
    <n v="0.25290000000000001"/>
    <n v="0.10340000000000001"/>
    <n v="5.1700000000000003E-2"/>
    <n v="174"/>
    <m/>
    <x v="0"/>
    <b v="1"/>
    <b v="1"/>
    <s v="31"/>
    <x v="0"/>
    <n v="44"/>
    <n v="18"/>
    <n v="9"/>
    <n v="55747.126436781611"/>
    <n v="2452873.563218391"/>
    <n v="1003448.275862069"/>
    <n v="501724.13793103449"/>
    <x v="2"/>
  </r>
  <r>
    <x v="26"/>
    <s v="MG_FOMENTO_062024.pdf"/>
    <n v="7150000"/>
    <n v="0.25"/>
    <n v="0.1"/>
    <n v="0.05"/>
    <n v="286"/>
    <m/>
    <x v="0"/>
    <b v="1"/>
    <b v="1"/>
    <s v="31"/>
    <x v="0"/>
    <n v="72"/>
    <n v="29"/>
    <n v="14"/>
    <n v="25000"/>
    <n v="1800000"/>
    <n v="725000"/>
    <n v="350000"/>
    <x v="2"/>
  </r>
  <r>
    <x v="26"/>
    <s v="MG_FOMENTO_072024.pdf"/>
    <n v="5340000"/>
    <n v="0.23"/>
    <n v="0.11"/>
    <n v="0.04"/>
    <n v="215"/>
    <m/>
    <x v="1"/>
    <b v="1"/>
    <b v="0"/>
    <s v="31"/>
    <x v="0"/>
    <n v="49"/>
    <n v="24"/>
    <n v="9"/>
    <n v="24837.20930232558"/>
    <n v="1217023.255813953"/>
    <n v="596093.02325581387"/>
    <n v="223534.8837209302"/>
    <x v="2"/>
  </r>
  <r>
    <x v="26"/>
    <s v="MG_FOMENTO_082024.pdf"/>
    <n v="13262500"/>
    <n v="0.25"/>
    <n v="0.1"/>
    <n v="0.05"/>
    <n v="347"/>
    <m/>
    <x v="1"/>
    <b v="0"/>
    <b v="1"/>
    <s v="31"/>
    <x v="0"/>
    <n v="87"/>
    <n v="35"/>
    <n v="17"/>
    <n v="38220.461095100873"/>
    <n v="3325180.1152737751"/>
    <n v="1337716.1383285299"/>
    <n v="649747.8386167147"/>
    <x v="2"/>
  </r>
  <r>
    <x v="26"/>
    <s v="MG_FOMENTO_102024.pdf"/>
    <n v="8820000"/>
    <n v="0.26"/>
    <n v="0.11"/>
    <n v="4.4999999999999998E-2"/>
    <n v="201"/>
    <m/>
    <x v="0"/>
    <b v="1"/>
    <b v="0"/>
    <s v="31"/>
    <x v="0"/>
    <n v="52"/>
    <n v="22"/>
    <n v="9"/>
    <n v="43880.59701492537"/>
    <n v="2281791.0447761188"/>
    <n v="965373.13432835811"/>
    <n v="394925.37313432829"/>
    <x v="2"/>
  </r>
  <r>
    <x v="26"/>
    <s v="MG_FOMENTO_112024.pdf"/>
    <n v="16400000"/>
    <n v="0.25119999999999998"/>
    <n v="9.849999999999999E-2"/>
    <n v="5.4199999999999998E-2"/>
    <n v="203"/>
    <m/>
    <x v="0"/>
    <b v="1"/>
    <b v="1"/>
    <s v="31"/>
    <x v="0"/>
    <n v="51"/>
    <n v="20"/>
    <n v="11"/>
    <n v="80788.177339901478"/>
    <n v="4120197.044334976"/>
    <n v="1615763.546798029"/>
    <n v="888669.95073891629"/>
    <x v="2"/>
  </r>
  <r>
    <x v="26"/>
    <s v="MG_PRÊMIO_022024.pdf"/>
    <n v="39787500"/>
    <n v="0.25"/>
    <n v="0.1"/>
    <n v="0.05"/>
    <n v="2114"/>
    <m/>
    <x v="0"/>
    <b v="1"/>
    <b v="1"/>
    <s v="31"/>
    <x v="0"/>
    <n v="528"/>
    <n v="211"/>
    <n v="106"/>
    <n v="18820.955534531691"/>
    <n v="9937464.5222327355"/>
    <n v="3971221.6177861881"/>
    <n v="1995021.2866603599"/>
    <x v="3"/>
  </r>
  <r>
    <x v="26"/>
    <s v="MG_SUBSÍDIO_092024.pdf"/>
    <n v="8895000"/>
    <n v="0.26"/>
    <n v="0.11"/>
    <n v="4.2999999999999997E-2"/>
    <n v="163"/>
    <m/>
    <x v="0"/>
    <b v="1"/>
    <b v="0"/>
    <s v="31"/>
    <x v="0"/>
    <n v="42"/>
    <n v="18"/>
    <n v="7"/>
    <n v="54570.552147239257"/>
    <n v="2291963.1901840488"/>
    <n v="982269.93865030678"/>
    <n v="381993.86503067479"/>
    <x v="4"/>
  </r>
  <r>
    <x v="27"/>
    <s v="2024-16_NATAL_CULTURAVIVA.pdf"/>
    <n v="900000"/>
    <n v="0.25"/>
    <n v="0.1"/>
    <n v="0.05"/>
    <n v="10"/>
    <m/>
    <x v="0"/>
    <b v="1"/>
    <b v="1"/>
    <s v="2408102"/>
    <x v="1"/>
    <n v="2"/>
    <n v="1"/>
    <n v="0"/>
    <n v="90000"/>
    <n v="180000"/>
    <n v="90000"/>
    <n v="0"/>
    <x v="1"/>
  </r>
  <r>
    <x v="27"/>
    <s v="2024-10_NATAL_SUBSÍDIO.pdf.pdf"/>
    <n v="500000"/>
    <n v="0.25"/>
    <n v="0.1"/>
    <n v="0.05"/>
    <n v="206"/>
    <m/>
    <x v="0"/>
    <b v="1"/>
    <b v="1"/>
    <s v="2408102"/>
    <x v="1"/>
    <n v="52"/>
    <n v="21"/>
    <n v="10"/>
    <n v="2427.184466019417"/>
    <n v="126213.59223300969"/>
    <n v="50970.873786407763"/>
    <n v="24271.84466019418"/>
    <x v="4"/>
  </r>
  <r>
    <x v="27"/>
    <s v="2024-12_NATAL_FOMENTO.pdf.pdf"/>
    <n v="1990000"/>
    <n v="0.25"/>
    <n v="0.1"/>
    <n v="0.05"/>
    <n v="206"/>
    <m/>
    <x v="0"/>
    <b v="1"/>
    <b v="1"/>
    <s v="2408102"/>
    <x v="1"/>
    <n v="52"/>
    <n v="21"/>
    <n v="10"/>
    <n v="9660.1941747572819"/>
    <n v="502330.09708737867"/>
    <n v="202864.07766990291"/>
    <n v="96601.941747572826"/>
    <x v="2"/>
  </r>
  <r>
    <x v="27"/>
    <s v="2024-15_NATAL_CULTURAVIVA.pdf"/>
    <n v="900000"/>
    <n v="0.25"/>
    <n v="0.1"/>
    <n v="0.05"/>
    <n v="9"/>
    <m/>
    <x v="0"/>
    <b v="1"/>
    <b v="1"/>
    <s v="2408102"/>
    <x v="1"/>
    <n v="2"/>
    <n v="1"/>
    <n v="0"/>
    <n v="100000"/>
    <n v="200000"/>
    <n v="100000"/>
    <n v="0"/>
    <x v="1"/>
  </r>
  <r>
    <x v="27"/>
    <s v="2024-11_NATAL_PRÊMIO.pdf"/>
    <n v="138000"/>
    <n v="0.25"/>
    <n v="0.1"/>
    <n v="0.05"/>
    <n v="23"/>
    <s v="MESTRES E MESTRAS"/>
    <x v="0"/>
    <b v="1"/>
    <b v="1"/>
    <s v="2408102"/>
    <x v="1"/>
    <n v="6"/>
    <n v="2"/>
    <n v="1"/>
    <n v="6000"/>
    <n v="36000"/>
    <n v="12000"/>
    <n v="6000"/>
    <x v="3"/>
  </r>
  <r>
    <x v="27"/>
    <s v="2024-08_NATAL_FOMENTO.pdf"/>
    <n v="500000"/>
    <n v="0.25"/>
    <n v="0.1"/>
    <n v="0.05"/>
    <n v="59"/>
    <s v="PERIFERIAS"/>
    <x v="0"/>
    <b v="1"/>
    <b v="1"/>
    <s v="2408102"/>
    <x v="1"/>
    <n v="15"/>
    <n v="6"/>
    <n v="3"/>
    <n v="8474.5762711864409"/>
    <n v="127118.6440677966"/>
    <n v="50847.457627118652"/>
    <n v="25423.728813559319"/>
    <x v="2"/>
  </r>
  <r>
    <x v="27"/>
    <s v="2024-09_NATAL_BOLSA.pdf"/>
    <n v="280000"/>
    <n v="0.25"/>
    <n v="0.1"/>
    <n v="0.05"/>
    <n v="206"/>
    <m/>
    <x v="0"/>
    <b v="1"/>
    <b v="1"/>
    <s v="2408102"/>
    <x v="1"/>
    <n v="52"/>
    <n v="21"/>
    <n v="10"/>
    <n v="1359.2233009708741"/>
    <n v="70679.611650485444"/>
    <n v="28543.689320388348"/>
    <n v="13592.23300970874"/>
    <x v="0"/>
  </r>
  <r>
    <x v="28"/>
    <s v="2024-17_PALMAS_CULTURAVIVA.pdf"/>
    <n v="542500"/>
    <n v="0.25"/>
    <n v="0.1"/>
    <n v="0.05"/>
    <n v="21"/>
    <m/>
    <x v="0"/>
    <b v="1"/>
    <b v="1"/>
    <s v="1721000"/>
    <x v="1"/>
    <n v="5"/>
    <n v="2"/>
    <n v="1"/>
    <n v="25833.333333333328"/>
    <n v="129166.6666666667"/>
    <n v="51666.666666666657"/>
    <n v="25833.333333333328"/>
    <x v="1"/>
  </r>
  <r>
    <x v="28"/>
    <s v="2024-15_PALMAS_FOMENTO.pdf"/>
    <n v="514000"/>
    <n v="0.25"/>
    <n v="0.1"/>
    <n v="0.05"/>
    <n v="22"/>
    <s v="PERIFERIAS"/>
    <x v="0"/>
    <b v="1"/>
    <b v="1"/>
    <s v="1721000"/>
    <x v="1"/>
    <n v="6"/>
    <n v="2"/>
    <n v="1"/>
    <n v="23363.63636363636"/>
    <n v="140181.81818181821"/>
    <n v="46727.272727272728"/>
    <n v="23363.63636363636"/>
    <x v="2"/>
  </r>
  <r>
    <x v="28"/>
    <s v="2024-16_PALMAS_FOMENTO.pdf"/>
    <n v="814000"/>
    <n v="0.25"/>
    <n v="0.1"/>
    <n v="0.05"/>
    <n v="35"/>
    <m/>
    <x v="0"/>
    <b v="1"/>
    <b v="1"/>
    <s v="1721000"/>
    <x v="1"/>
    <n v="9"/>
    <n v="4"/>
    <n v="2"/>
    <n v="23257.142857142859"/>
    <n v="209314.28571428571"/>
    <n v="93028.571428571435"/>
    <n v="46514.285714285717"/>
    <x v="2"/>
  </r>
  <r>
    <x v="28"/>
    <s v="2024-18_PALMAS_CULTURAVIVA.pdf"/>
    <n v="100000"/>
    <n v="0.25"/>
    <n v="0.1"/>
    <n v="0.05"/>
    <n v="10"/>
    <m/>
    <x v="0"/>
    <b v="1"/>
    <b v="1"/>
    <s v="1721000"/>
    <x v="1"/>
    <n v="2"/>
    <n v="1"/>
    <n v="0"/>
    <n v="10000"/>
    <n v="20000"/>
    <n v="10000"/>
    <n v="0"/>
    <x v="1"/>
  </r>
  <r>
    <x v="28"/>
    <s v="2024-19_PALMAS_SUBSÍDIO.pdf"/>
    <n v="144000"/>
    <n v="0.25"/>
    <n v="0"/>
    <n v="0"/>
    <n v="4"/>
    <m/>
    <x v="0"/>
    <b v="1"/>
    <b v="1"/>
    <s v="1721000"/>
    <x v="1"/>
    <n v="1"/>
    <n v="0"/>
    <n v="0"/>
    <n v="36000"/>
    <n v="36000"/>
    <n v="0"/>
    <n v="0"/>
    <x v="4"/>
  </r>
  <r>
    <x v="29"/>
    <s v="PARÁ_CULTURA_VIVA_003.pdf"/>
    <n v="5000000"/>
    <n v="0.25"/>
    <n v="0.1"/>
    <n v="0.05"/>
    <n v="40"/>
    <m/>
    <x v="0"/>
    <b v="1"/>
    <b v="1"/>
    <s v="15"/>
    <x v="0"/>
    <n v="10"/>
    <n v="4"/>
    <n v="2"/>
    <n v="125000"/>
    <n v="1250000"/>
    <n v="500000"/>
    <n v="250000"/>
    <x v="1"/>
  </r>
  <r>
    <x v="29"/>
    <s v="PARÁ_FOMENTO_002_2025.pdf"/>
    <n v="18487819"/>
    <n v="0.25"/>
    <n v="0.1"/>
    <n v="0.1"/>
    <n v="474"/>
    <m/>
    <x v="0"/>
    <b v="1"/>
    <b v="1"/>
    <s v="15"/>
    <x v="0"/>
    <n v="118"/>
    <n v="47"/>
    <n v="47"/>
    <n v="39003.837552742618"/>
    <n v="4602452.8312236276"/>
    <n v="1833180.364978903"/>
    <n v="1833180.364978903"/>
    <x v="2"/>
  </r>
  <r>
    <x v="29"/>
    <s v="PARÁ_FOMENTO_004.pdf"/>
    <n v="4621949.37"/>
    <n v="0.25"/>
    <n v="0.1"/>
    <n v="0.1"/>
    <n v="252"/>
    <m/>
    <x v="0"/>
    <b v="1"/>
    <b v="1"/>
    <s v="15"/>
    <x v="0"/>
    <n v="63"/>
    <n v="25"/>
    <n v="25"/>
    <n v="18341.068928571429"/>
    <n v="1155487.3425"/>
    <n v="458526.72321428568"/>
    <n v="458526.72321428568"/>
    <x v="2"/>
  </r>
  <r>
    <x v="29"/>
    <s v="PARÁ_FOMENTO_005.pdf"/>
    <n v="18487819"/>
    <n v="0.25"/>
    <n v="0.1"/>
    <n v="0.1"/>
    <n v="308"/>
    <m/>
    <x v="0"/>
    <b v="1"/>
    <b v="1"/>
    <s v="15"/>
    <x v="0"/>
    <n v="77"/>
    <n v="31"/>
    <n v="31"/>
    <n v="60025.38636363636"/>
    <n v="4621954.75"/>
    <n v="1860786.9772727271"/>
    <n v="1860786.9772727271"/>
    <x v="2"/>
  </r>
  <r>
    <x v="29"/>
    <s v="PARÁ_PREMIAÇÃO_006.pdf"/>
    <n v="5490000"/>
    <n v="0.25"/>
    <n v="0.1"/>
    <n v="0.05"/>
    <n v="183"/>
    <m/>
    <x v="0"/>
    <b v="1"/>
    <b v="1"/>
    <s v="15"/>
    <x v="0"/>
    <n v="46"/>
    <n v="18"/>
    <n v="9"/>
    <n v="30000"/>
    <n v="1380000"/>
    <n v="540000"/>
    <n v="270000"/>
    <x v="3"/>
  </r>
  <r>
    <x v="29"/>
    <s v="2025-08_PARÁ_PREMIAÇÃO.pdf"/>
    <n v="4621954.74"/>
    <n v="0.25"/>
    <n v="0.1"/>
    <n v="0.05"/>
    <n v="200"/>
    <s v="MESTRES E MESTRAS"/>
    <x v="0"/>
    <b v="1"/>
    <b v="1"/>
    <s v="15"/>
    <x v="0"/>
    <n v="50"/>
    <n v="20"/>
    <n v="10"/>
    <n v="23109.773700000002"/>
    <n v="1155488.6850000001"/>
    <n v="462195.47399999999"/>
    <n v="231097.73699999999"/>
    <x v="3"/>
  </r>
  <r>
    <x v="29"/>
    <s v="PARÁ_SUBSÍDIO_007.pdf"/>
    <n v="2731708.8"/>
    <n v="0.25"/>
    <n v="0.1"/>
    <n v="0.05"/>
    <n v="30"/>
    <m/>
    <x v="0"/>
    <b v="1"/>
    <b v="1"/>
    <s v="15"/>
    <x v="0"/>
    <n v="8"/>
    <n v="3"/>
    <n v="2"/>
    <n v="91056.959999999992"/>
    <n v="728455.67999999993"/>
    <n v="273170.88"/>
    <n v="182113.92000000001"/>
    <x v="4"/>
  </r>
  <r>
    <x v="30"/>
    <s v="2025-12_PARAÍBA_CULTURAVIVA.pdf"/>
    <n v="4250000"/>
    <n v="0.25"/>
    <n v="0.1"/>
    <n v="0.05"/>
    <n v="75"/>
    <m/>
    <x v="0"/>
    <b v="1"/>
    <b v="1"/>
    <s v="25"/>
    <x v="0"/>
    <n v="19"/>
    <n v="8"/>
    <n v="4"/>
    <n v="56666.666666666657"/>
    <n v="1076666.666666667"/>
    <n v="453333.33333333331"/>
    <n v="226666.66666666669"/>
    <x v="1"/>
  </r>
  <r>
    <x v="30"/>
    <s v="2024-26_PARAÍBA_BOLSA.pdf"/>
    <n v="3500000"/>
    <n v="0.25"/>
    <n v="0.1"/>
    <n v="0.05"/>
    <n v="350"/>
    <m/>
    <x v="0"/>
    <b v="1"/>
    <b v="1"/>
    <s v="25"/>
    <x v="0"/>
    <n v="88"/>
    <n v="35"/>
    <n v="18"/>
    <n v="10000"/>
    <n v="880000"/>
    <n v="350000"/>
    <n v="180000"/>
    <x v="0"/>
  </r>
  <r>
    <x v="30"/>
    <s v="2024-10_PARAÍBA_PRÊMIO.pdf"/>
    <n v="1995000"/>
    <n v="0.25"/>
    <n v="0.1"/>
    <n v="0.05"/>
    <n v="35"/>
    <m/>
    <x v="0"/>
    <b v="1"/>
    <b v="1"/>
    <s v="25"/>
    <x v="0"/>
    <n v="9"/>
    <n v="4"/>
    <n v="2"/>
    <n v="57000"/>
    <n v="513000"/>
    <n v="228000"/>
    <n v="114000"/>
    <x v="3"/>
  </r>
  <r>
    <x v="30"/>
    <s v="2025-07_PARAÍBA_PRÊMIO.pdf"/>
    <n v="600000"/>
    <n v="0.25"/>
    <n v="0.1"/>
    <n v="0.05"/>
    <n v="120"/>
    <m/>
    <x v="0"/>
    <b v="1"/>
    <b v="1"/>
    <s v="25"/>
    <x v="0"/>
    <n v="30"/>
    <n v="12"/>
    <n v="6"/>
    <n v="5000"/>
    <n v="150000"/>
    <n v="60000"/>
    <n v="30000"/>
    <x v="3"/>
  </r>
  <r>
    <x v="30"/>
    <s v="2024-05_PARAÍBA_PRÊMIO.pdf"/>
    <n v="1000000"/>
    <n v="0.25"/>
    <n v="0.1"/>
    <n v="0.05"/>
    <n v="160"/>
    <m/>
    <x v="0"/>
    <b v="1"/>
    <b v="1"/>
    <s v="25"/>
    <x v="0"/>
    <n v="40"/>
    <n v="16"/>
    <n v="8"/>
    <n v="6250"/>
    <n v="250000"/>
    <n v="100000"/>
    <n v="50000"/>
    <x v="3"/>
  </r>
  <r>
    <x v="30"/>
    <s v="2024-02_PARAÍBA_PRÊMIO.pdf"/>
    <n v="2400000"/>
    <n v="0.25"/>
    <n v="0.1"/>
    <n v="0.05"/>
    <n v="240"/>
    <m/>
    <x v="0"/>
    <b v="1"/>
    <b v="1"/>
    <s v="25"/>
    <x v="0"/>
    <n v="60"/>
    <n v="24"/>
    <n v="12"/>
    <n v="10000"/>
    <n v="600000"/>
    <n v="240000"/>
    <n v="120000"/>
    <x v="3"/>
  </r>
  <r>
    <x v="30"/>
    <s v="2024-11_PARAÍBA_PRÊMIO.pdf"/>
    <n v="800000"/>
    <n v="0"/>
    <n v="1"/>
    <n v="0.05"/>
    <n v="55"/>
    <s v="POVOS E COMUNIDADES TRADICIONAIS (CIGANO)"/>
    <x v="0"/>
    <b v="1"/>
    <b v="1"/>
    <s v="25"/>
    <x v="0"/>
    <n v="0"/>
    <n v="55"/>
    <n v="3"/>
    <n v="14545.45454545455"/>
    <n v="0"/>
    <n v="800000"/>
    <n v="43636.36363636364"/>
    <x v="3"/>
  </r>
  <r>
    <x v="30"/>
    <s v="2024-08_PARAÍBA_PRÊMIO.pdf"/>
    <n v="2400000"/>
    <n v="0.25"/>
    <n v="0.1"/>
    <n v="0.05"/>
    <n v="120"/>
    <m/>
    <x v="0"/>
    <b v="1"/>
    <b v="1"/>
    <s v="25"/>
    <x v="0"/>
    <n v="30"/>
    <n v="12"/>
    <n v="6"/>
    <n v="20000"/>
    <n v="600000"/>
    <n v="240000"/>
    <n v="120000"/>
    <x v="3"/>
  </r>
  <r>
    <x v="30"/>
    <s v="2025-13_PARAÍBA_FOMENTO.pdf"/>
    <n v="8500000"/>
    <n v="0.25"/>
    <n v="0.1"/>
    <n v="0.05"/>
    <n v="222"/>
    <m/>
    <x v="0"/>
    <b v="1"/>
    <b v="1"/>
    <s v="25"/>
    <x v="0"/>
    <n v="56"/>
    <n v="22"/>
    <n v="11"/>
    <n v="38288.288288288291"/>
    <n v="2144144.1441441439"/>
    <n v="842342.34234234237"/>
    <n v="421171.17117117118"/>
    <x v="2"/>
  </r>
  <r>
    <x v="30"/>
    <s v="2025-14_PARAÍBA_FOMENTO.pdf"/>
    <n v="1800000"/>
    <n v="0.25"/>
    <n v="0.1"/>
    <n v="0.05"/>
    <n v="90"/>
    <m/>
    <x v="0"/>
    <b v="1"/>
    <b v="1"/>
    <s v="25"/>
    <x v="0"/>
    <n v="22"/>
    <n v="9"/>
    <n v="4"/>
    <n v="20000"/>
    <n v="440000"/>
    <n v="180000"/>
    <n v="80000"/>
    <x v="2"/>
  </r>
  <r>
    <x v="30"/>
    <s v="2025-09_PARAÍBA_PRÊMIO.pdf"/>
    <n v="600000"/>
    <n v="0.25"/>
    <n v="0.1"/>
    <n v="0.05"/>
    <n v="120"/>
    <s v="MESTRES E MESTRAS"/>
    <x v="0"/>
    <b v="1"/>
    <b v="1"/>
    <s v="25"/>
    <x v="0"/>
    <n v="30"/>
    <n v="12"/>
    <n v="6"/>
    <n v="5000"/>
    <n v="150000"/>
    <n v="60000"/>
    <n v="30000"/>
    <x v="3"/>
  </r>
  <r>
    <x v="30"/>
    <s v="2025-18_PARAÍBA_PRÊMIO.pdf"/>
    <n v="1355000"/>
    <n v="0.25"/>
    <n v="0.1"/>
    <n v="0.05"/>
    <n v="131"/>
    <m/>
    <x v="0"/>
    <b v="1"/>
    <b v="1"/>
    <s v="25"/>
    <x v="0"/>
    <n v="33"/>
    <n v="13"/>
    <n v="7"/>
    <n v="10343.51145038168"/>
    <n v="341335.87786259537"/>
    <n v="134465.64885496179"/>
    <n v="72404.580152671755"/>
    <x v="3"/>
  </r>
  <r>
    <x v="30"/>
    <s v="2025-11_PARAÍBA_PRÊMIO.pdf"/>
    <n v="2400000"/>
    <n v="0.25"/>
    <n v="0.1"/>
    <n v="0.05"/>
    <n v="80"/>
    <m/>
    <x v="0"/>
    <b v="1"/>
    <b v="1"/>
    <s v="25"/>
    <x v="0"/>
    <n v="20"/>
    <n v="8"/>
    <n v="4"/>
    <n v="30000"/>
    <n v="600000"/>
    <n v="240000"/>
    <n v="120000"/>
    <x v="3"/>
  </r>
  <r>
    <x v="30"/>
    <s v="2025-10_PARAÍBA_PRÊMIO.pdf"/>
    <n v="2400000"/>
    <n v="0.25"/>
    <n v="0.1"/>
    <n v="0.05"/>
    <n v="120"/>
    <m/>
    <x v="0"/>
    <b v="1"/>
    <b v="1"/>
    <s v="25"/>
    <x v="0"/>
    <n v="30"/>
    <n v="12"/>
    <n v="6"/>
    <n v="20000"/>
    <n v="600000"/>
    <n v="240000"/>
    <n v="120000"/>
    <x v="3"/>
  </r>
  <r>
    <x v="30"/>
    <s v="2024-12_PARAÍBA_PRÊMIO.pdf"/>
    <n v="800000"/>
    <n v="0"/>
    <n v="1"/>
    <n v="0.05"/>
    <n v="55"/>
    <s v="INDÍGENA"/>
    <x v="0"/>
    <b v="1"/>
    <b v="1"/>
    <s v="25"/>
    <x v="0"/>
    <n v="0"/>
    <n v="55"/>
    <n v="3"/>
    <n v="14545.45454545455"/>
    <n v="0"/>
    <n v="800000"/>
    <n v="43636.36363636364"/>
    <x v="3"/>
  </r>
  <r>
    <x v="30"/>
    <s v="2024-13_PARAÍBA_PRÊMIO.pdf"/>
    <n v="800000"/>
    <n v="0"/>
    <n v="0"/>
    <n v="0.05"/>
    <n v="55"/>
    <s v="POVOS E COMUNIDADES TRADICIONAIS (QUILOMBOLA)"/>
    <x v="0"/>
    <b v="1"/>
    <b v="1"/>
    <s v="25"/>
    <x v="0"/>
    <n v="0"/>
    <n v="0"/>
    <n v="3"/>
    <n v="14545.45454545455"/>
    <n v="0"/>
    <n v="0"/>
    <n v="43636.36363636364"/>
    <x v="3"/>
  </r>
  <r>
    <x v="31"/>
    <s v="PARANÁ_CULTURA_VIVA_002.pdf"/>
    <n v="5825997.2400000002"/>
    <n v="0.25"/>
    <n v="0.1"/>
    <n v="0.05"/>
    <n v="24"/>
    <m/>
    <x v="0"/>
    <b v="1"/>
    <b v="1"/>
    <s v="41"/>
    <x v="0"/>
    <n v="6"/>
    <n v="2"/>
    <n v="1"/>
    <n v="242749.88500000001"/>
    <n v="1456499.31"/>
    <n v="485499.77"/>
    <n v="242749.88500000001"/>
    <x v="1"/>
  </r>
  <r>
    <x v="31"/>
    <s v="PARANÁ_CULTURA_VIVA_004.pdf"/>
    <n v="5475586.3399999999"/>
    <n v="0.25"/>
    <n v="0.1"/>
    <n v="0.05"/>
    <n v="38"/>
    <m/>
    <x v="0"/>
    <b v="1"/>
    <b v="1"/>
    <s v="41"/>
    <x v="0"/>
    <n v="10"/>
    <n v="4"/>
    <n v="2"/>
    <n v="144094.37736842109"/>
    <n v="1440943.7736842111"/>
    <n v="576377.50947368424"/>
    <n v="288188.75473684212"/>
    <x v="1"/>
  </r>
  <r>
    <x v="31"/>
    <s v="PARANÁ_CULTURA_VIVA_006.pdf"/>
    <n v="3300000"/>
    <n v="0.25"/>
    <n v="0.1"/>
    <n v="0.05"/>
    <n v="60"/>
    <m/>
    <x v="0"/>
    <b v="1"/>
    <b v="1"/>
    <s v="41"/>
    <x v="0"/>
    <n v="15"/>
    <n v="6"/>
    <n v="3"/>
    <n v="55000"/>
    <n v="825000"/>
    <n v="330000"/>
    <n v="165000"/>
    <x v="1"/>
  </r>
  <r>
    <x v="31"/>
    <s v="2024-01_PARANÁ_FOMENTO.pdf"/>
    <n v="34050000"/>
    <n v="0.25"/>
    <n v="0.1"/>
    <n v="0.05"/>
    <n v="280"/>
    <m/>
    <x v="0"/>
    <b v="1"/>
    <b v="1"/>
    <s v="41"/>
    <x v="0"/>
    <n v="70"/>
    <n v="28"/>
    <n v="14"/>
    <n v="121607.1428571429"/>
    <n v="8512500"/>
    <n v="3405000"/>
    <n v="1702500"/>
    <x v="2"/>
  </r>
  <r>
    <x v="31"/>
    <s v="PARANÁ_FOMENTO_0022.pdf"/>
    <n v="571428.56000000006"/>
    <n v="0.25"/>
    <n v="0.1"/>
    <n v="0.05"/>
    <n v="120"/>
    <m/>
    <x v="0"/>
    <b v="1"/>
    <b v="1"/>
    <s v="41"/>
    <x v="0"/>
    <n v="30"/>
    <n v="12"/>
    <n v="6"/>
    <n v="4761.9046666666673"/>
    <n v="142857.14000000001"/>
    <n v="57142.856000000007"/>
    <n v="28571.428"/>
    <x v="2"/>
  </r>
  <r>
    <x v="31"/>
    <s v="2025-01_PARANÁ_FOMENTO.pdf"/>
    <n v="8750000"/>
    <n v="0.25"/>
    <n v="0.1"/>
    <n v="0.05"/>
    <n v="53"/>
    <m/>
    <x v="0"/>
    <b v="1"/>
    <b v="1"/>
    <s v="41"/>
    <x v="0"/>
    <n v="13"/>
    <n v="5"/>
    <n v="3"/>
    <n v="165094.33962264151"/>
    <n v="2146226.4150943402"/>
    <n v="825471.69811320747"/>
    <n v="495283.01886792452"/>
    <x v="2"/>
  </r>
  <r>
    <x v="31"/>
    <s v="PARANÁ_PREMIO_02.pdf"/>
    <n v="1500000"/>
    <n v="0.25"/>
    <n v="0.1"/>
    <n v="0.05"/>
    <n v="50"/>
    <m/>
    <x v="0"/>
    <b v="1"/>
    <b v="1"/>
    <s v="41"/>
    <x v="0"/>
    <n v="12"/>
    <n v="5"/>
    <n v="2"/>
    <n v="30000"/>
    <n v="360000"/>
    <n v="150000"/>
    <n v="60000"/>
    <x v="3"/>
  </r>
  <r>
    <x v="31"/>
    <s v="PARANÁ_SUBISIDIO_008.pdf"/>
    <n v="3300000"/>
    <n v="0.25"/>
    <n v="0.1"/>
    <n v="0.05"/>
    <n v="16"/>
    <m/>
    <x v="0"/>
    <b v="1"/>
    <b v="1"/>
    <s v="41"/>
    <x v="0"/>
    <n v="4"/>
    <n v="2"/>
    <n v="1"/>
    <n v="206250"/>
    <n v="825000"/>
    <n v="412500"/>
    <n v="206250"/>
    <x v="4"/>
  </r>
  <r>
    <x v="31"/>
    <s v="PARANÁ_SUBSÍDIO_X.pdf"/>
    <n v="1499999.84"/>
    <n v="0.4"/>
    <n v="0.1"/>
    <n v="0.05"/>
    <n v="4"/>
    <m/>
    <x v="0"/>
    <b v="1"/>
    <b v="1"/>
    <s v="41"/>
    <x v="0"/>
    <n v="2"/>
    <n v="0"/>
    <n v="0"/>
    <n v="374999.96"/>
    <n v="749999.92"/>
    <n v="0"/>
    <n v="0"/>
    <x v="4"/>
  </r>
  <r>
    <x v="32"/>
    <s v="PERNAMBUCO_Edital_de_Bolsas_1.pdf"/>
    <n v="9800000"/>
    <n v="0.25"/>
    <n v="0.1"/>
    <n v="0.05"/>
    <n v="260"/>
    <m/>
    <x v="0"/>
    <b v="1"/>
    <b v="1"/>
    <s v="26"/>
    <x v="0"/>
    <n v="65"/>
    <n v="26"/>
    <n v="13"/>
    <n v="37692.307692307702"/>
    <n v="2450000"/>
    <n v="980000.00000000012"/>
    <n v="490000.00000000012"/>
    <x v="0"/>
  </r>
  <r>
    <x v="32"/>
    <s v="PERNAMBUCO_Edital_de_Fomento_1.pdf"/>
    <n v="33950000"/>
    <n v="0.25"/>
    <n v="0.1"/>
    <n v="0.05"/>
    <n v="900"/>
    <m/>
    <x v="0"/>
    <b v="1"/>
    <b v="1"/>
    <s v="26"/>
    <x v="0"/>
    <n v="225"/>
    <n v="90"/>
    <n v="45"/>
    <n v="37722.222222222219"/>
    <n v="8487500"/>
    <n v="3395000"/>
    <n v="1697500"/>
    <x v="2"/>
  </r>
  <r>
    <x v="32"/>
    <s v="PERNAMBUCO_Edital_de_Premiação_1.pdf"/>
    <n v="9177166.5999999996"/>
    <n v="0.25"/>
    <n v="0.1"/>
    <n v="0.05"/>
    <n v="780"/>
    <m/>
    <x v="0"/>
    <b v="1"/>
    <b v="1"/>
    <s v="26"/>
    <x v="0"/>
    <n v="195"/>
    <n v="78"/>
    <n v="39"/>
    <n v="11765.598205128201"/>
    <n v="2294291.65"/>
    <n v="917716.65999999992"/>
    <n v="458858.33"/>
    <x v="3"/>
  </r>
  <r>
    <x v="32"/>
    <s v="2024-04_PERNAMBUCO_PRÊMIO.pdf"/>
    <n v="1000000"/>
    <n v="1"/>
    <n v="0.1"/>
    <n v="0.05"/>
    <n v="100"/>
    <s v="MULHER / NEGRA"/>
    <x v="0"/>
    <b v="1"/>
    <b v="1"/>
    <s v="26"/>
    <x v="0"/>
    <n v="100"/>
    <n v="10"/>
    <n v="5"/>
    <n v="10000"/>
    <n v="1000000"/>
    <n v="100000"/>
    <n v="50000"/>
    <x v="3"/>
  </r>
  <r>
    <x v="32"/>
    <s v="2024-05_PERNAMBUCO_PRÊMIO.pdf"/>
    <n v="2500000"/>
    <n v="0.25"/>
    <n v="0.1"/>
    <n v="0.05"/>
    <n v="100"/>
    <s v="POVOS E COMUNIDADES TRADICIONAIS"/>
    <x v="0"/>
    <b v="1"/>
    <b v="1"/>
    <s v="26"/>
    <x v="0"/>
    <n v="25"/>
    <n v="10"/>
    <n v="5"/>
    <n v="25000"/>
    <n v="625000"/>
    <n v="250000"/>
    <n v="125000"/>
    <x v="3"/>
  </r>
  <r>
    <x v="32"/>
    <s v="PERNAMBUCO_Edital_TCC_-_Pontos_PNCV_1.pdf"/>
    <n v="7700000"/>
    <n v="0.25"/>
    <n v="0.1"/>
    <n v="0.05"/>
    <n v="80"/>
    <m/>
    <x v="0"/>
    <b v="1"/>
    <b v="1"/>
    <s v="26"/>
    <x v="0"/>
    <n v="20"/>
    <n v="8"/>
    <n v="4"/>
    <n v="96250"/>
    <n v="1925000"/>
    <n v="770000"/>
    <n v="385000"/>
    <x v="1"/>
  </r>
  <r>
    <x v="32"/>
    <s v="PERNAMBUCO_Edital_TCC_-_Pontões_PNCV_1.pdf"/>
    <n v="1800000"/>
    <n v="0.25"/>
    <n v="0.1"/>
    <n v="0.05"/>
    <n v="6"/>
    <m/>
    <x v="0"/>
    <b v="1"/>
    <b v="1"/>
    <s v="26"/>
    <x v="0"/>
    <n v="2"/>
    <n v="1"/>
    <n v="0"/>
    <n v="300000"/>
    <n v="600000"/>
    <n v="300000"/>
    <n v="0"/>
    <x v="1"/>
  </r>
  <r>
    <x v="33"/>
    <s v="2024-02_PIAUÍ_FOMENTO.pdf"/>
    <n v="6500000"/>
    <n v="0.25"/>
    <n v="0.1"/>
    <n v="0.05"/>
    <n v="130"/>
    <s v="PERIFERIAS"/>
    <x v="0"/>
    <b v="1"/>
    <b v="1"/>
    <s v="22"/>
    <x v="0"/>
    <n v="32"/>
    <n v="13"/>
    <n v="6"/>
    <n v="50000"/>
    <n v="1600000"/>
    <n v="650000"/>
    <n v="300000"/>
    <x v="2"/>
  </r>
  <r>
    <x v="33"/>
    <s v="PIAUÍ_Edital_de_Fomento_2.pdf"/>
    <n v="12000000"/>
    <n v="0.25"/>
    <n v="0.1"/>
    <n v="0.05"/>
    <n v="110"/>
    <m/>
    <x v="0"/>
    <b v="1"/>
    <b v="1"/>
    <s v="22"/>
    <x v="0"/>
    <n v="28"/>
    <n v="11"/>
    <n v="6"/>
    <n v="109090.9090909091"/>
    <n v="3054545.4545454551"/>
    <n v="1200000"/>
    <n v="654545.45454545459"/>
    <x v="2"/>
  </r>
  <r>
    <x v="33"/>
    <s v="PIAUÍ_Edital_de_Premiação_1.pdf"/>
    <n v="2248000"/>
    <n v="0.25"/>
    <n v="0.1"/>
    <n v="0.05"/>
    <n v="251"/>
    <m/>
    <x v="0"/>
    <b v="1"/>
    <b v="1"/>
    <s v="22"/>
    <x v="0"/>
    <n v="63"/>
    <n v="25"/>
    <n v="13"/>
    <n v="8956.1752988047811"/>
    <n v="564239.04382470122"/>
    <n v="223904.38247011951"/>
    <n v="116430.2788844622"/>
    <x v="3"/>
  </r>
  <r>
    <x v="33"/>
    <s v="PIAUÍ_Edital_TCC_-_Pontos_PNCV_1.pdf"/>
    <n v="2700000"/>
    <n v="0.25"/>
    <n v="0.1"/>
    <n v="0.05"/>
    <n v="27"/>
    <m/>
    <x v="0"/>
    <b v="1"/>
    <b v="1"/>
    <s v="22"/>
    <x v="0"/>
    <n v="7"/>
    <n v="3"/>
    <n v="1"/>
    <n v="100000"/>
    <n v="700000"/>
    <n v="300000"/>
    <n v="100000"/>
    <x v="1"/>
  </r>
  <r>
    <x v="33"/>
    <s v="PIAUÍ_Edital_TCC_-_Pontões_PNCV_1.pdf"/>
    <n v="600000"/>
    <n v="0.25"/>
    <n v="0.1"/>
    <n v="0.05"/>
    <n v="2"/>
    <m/>
    <x v="0"/>
    <b v="1"/>
    <b v="1"/>
    <s v="22"/>
    <x v="0"/>
    <n v="0"/>
    <n v="0"/>
    <n v="0"/>
    <n v="300000"/>
    <n v="0"/>
    <n v="0"/>
    <n v="0"/>
    <x v="1"/>
  </r>
  <r>
    <x v="34"/>
    <s v="2024-05_PORTOALEGRE_PRÊMIO.pdf"/>
    <n v="3980000"/>
    <n v="0.25"/>
    <n v="0.1"/>
    <n v="0.05"/>
    <n v="55"/>
    <m/>
    <x v="0"/>
    <b v="1"/>
    <b v="1"/>
    <s v="4314902"/>
    <x v="1"/>
    <n v="14"/>
    <n v="6"/>
    <n v="3"/>
    <n v="72363.636363636368"/>
    <n v="1013090.9090909089"/>
    <n v="434181.81818181818"/>
    <n v="217090.90909090909"/>
    <x v="3"/>
  </r>
  <r>
    <x v="34"/>
    <s v="2024-02_PORTOALEGRE_PRÊMIO.pdf"/>
    <n v="1000000"/>
    <n v="0.25"/>
    <n v="0.1"/>
    <n v="0.05"/>
    <n v="50"/>
    <m/>
    <x v="0"/>
    <b v="1"/>
    <b v="1"/>
    <s v="4314902"/>
    <x v="1"/>
    <n v="12"/>
    <n v="5"/>
    <n v="2"/>
    <n v="20000"/>
    <n v="240000"/>
    <n v="100000"/>
    <n v="40000"/>
    <x v="3"/>
  </r>
  <r>
    <x v="34"/>
    <s v="2024-03_PORTOALEGRE_CULTURAVIVA.pdf"/>
    <n v="1800000"/>
    <n v="0.25"/>
    <n v="0.1"/>
    <n v="0.05"/>
    <n v="30"/>
    <m/>
    <x v="0"/>
    <b v="1"/>
    <b v="1"/>
    <s v="4314902"/>
    <x v="1"/>
    <n v="8"/>
    <n v="3"/>
    <n v="2"/>
    <n v="60000"/>
    <n v="480000"/>
    <n v="180000"/>
    <n v="120000"/>
    <x v="1"/>
  </r>
  <r>
    <x v="34"/>
    <s v="2024-04_PORTOALEGRE_PRÊMIO.pdf.pdf"/>
    <n v="1036000"/>
    <n v="0.25"/>
    <n v="0.1"/>
    <n v="0.05"/>
    <n v="97"/>
    <m/>
    <x v="0"/>
    <b v="1"/>
    <b v="1"/>
    <s v="4314902"/>
    <x v="1"/>
    <n v="24"/>
    <n v="10"/>
    <n v="5"/>
    <n v="10680.41237113402"/>
    <n v="256329.89690721649"/>
    <n v="106804.1237113402"/>
    <n v="53402.061855670101"/>
    <x v="3"/>
  </r>
  <r>
    <x v="34"/>
    <s v="2025-01_PORTOALEGRE_CULTURAVIVA.pdf"/>
    <n v="780000"/>
    <n v="0"/>
    <n v="0"/>
    <n v="0"/>
    <n v="1"/>
    <m/>
    <x v="0"/>
    <b v="1"/>
    <b v="1"/>
    <s v="4314902"/>
    <x v="1"/>
    <n v="0"/>
    <n v="0"/>
    <n v="0"/>
    <n v="780000"/>
    <n v="0"/>
    <n v="0"/>
    <n v="0"/>
    <x v="1"/>
  </r>
  <r>
    <x v="35"/>
    <s v="2025-08_PORTOVELHO_FOMENTO.pdf"/>
    <n v="2121592.46"/>
    <n v="0.25"/>
    <n v="0.1"/>
    <n v="0.05"/>
    <n v="64"/>
    <m/>
    <x v="0"/>
    <b v="1"/>
    <b v="1"/>
    <s v="1100205"/>
    <x v="1"/>
    <n v="16"/>
    <n v="6"/>
    <n v="3"/>
    <n v="33149.882187499999"/>
    <n v="530398.11499999999"/>
    <n v="198899.293125"/>
    <n v="99449.646562499998"/>
    <x v="2"/>
  </r>
  <r>
    <x v="35"/>
    <s v="2025-07_PORTOVELHO_CULTURAVIVA.pdf"/>
    <n v="510000"/>
    <n v="0.25"/>
    <n v="0.1"/>
    <n v="0.05"/>
    <n v="26"/>
    <m/>
    <x v="0"/>
    <b v="1"/>
    <b v="1"/>
    <s v="1100205"/>
    <x v="1"/>
    <n v="6"/>
    <n v="3"/>
    <n v="1"/>
    <n v="19615.384615384621"/>
    <n v="117692.3076923077"/>
    <n v="58846.153846153851"/>
    <n v="19615.384615384621"/>
    <x v="1"/>
  </r>
  <r>
    <x v="35"/>
    <s v="2025-05_PORTOVELHO_CULTURAVIVA.pdf"/>
    <n v="571216.27"/>
    <n v="0.25"/>
    <n v="0.1"/>
    <n v="0.05"/>
    <n v="6"/>
    <m/>
    <x v="0"/>
    <b v="1"/>
    <b v="1"/>
    <s v="1100205"/>
    <x v="1"/>
    <n v="2"/>
    <n v="1"/>
    <n v="0"/>
    <n v="95202.71166666667"/>
    <n v="190405.42333333331"/>
    <n v="95202.71166666667"/>
    <n v="0"/>
    <x v="1"/>
  </r>
  <r>
    <x v="35"/>
    <s v="2025-06_PORTOVELHO_SUBSÍDIO.pdf"/>
    <n v="470000"/>
    <n v="0.19"/>
    <n v="0.19"/>
    <n v="0.05"/>
    <n v="21"/>
    <m/>
    <x v="1"/>
    <b v="1"/>
    <b v="1"/>
    <s v="1100205"/>
    <x v="1"/>
    <n v="4"/>
    <n v="4"/>
    <n v="1"/>
    <n v="22380.952380952382"/>
    <n v="89523.809523809527"/>
    <n v="89523.809523809527"/>
    <n v="22380.952380952382"/>
    <x v="4"/>
  </r>
  <r>
    <x v="36"/>
    <s v="2024-01_RECIFE_FOMENTO.pdf"/>
    <n v="500000"/>
    <n v="0.3"/>
    <n v="0.1"/>
    <n v="0.05"/>
    <n v="10"/>
    <m/>
    <x v="0"/>
    <b v="1"/>
    <b v="1"/>
    <s v="2611606"/>
    <x v="1"/>
    <n v="3"/>
    <n v="1"/>
    <n v="0"/>
    <n v="50000"/>
    <n v="150000"/>
    <n v="50000"/>
    <n v="0"/>
    <x v="2"/>
  </r>
  <r>
    <x v="36"/>
    <s v="2024-02_RECIFE_FOMENTO.pdf.pdf"/>
    <n v="2099141.2999999998"/>
    <n v="0.3"/>
    <n v="0.1"/>
    <n v="0.05"/>
    <m/>
    <m/>
    <x v="0"/>
    <b v="1"/>
    <b v="1"/>
    <s v="2611606"/>
    <x v="1"/>
    <m/>
    <m/>
    <m/>
    <m/>
    <n v="629742.3899999999"/>
    <n v="209914.13"/>
    <n v="104957.065"/>
    <x v="2"/>
  </r>
  <r>
    <x v="36"/>
    <s v="2025-01_RECIFE_CULTURAVIVA.pdf.pdf"/>
    <n v="2800000"/>
    <n v="0.3"/>
    <n v="0.1"/>
    <n v="0.05"/>
    <n v="36"/>
    <m/>
    <x v="0"/>
    <b v="1"/>
    <b v="1"/>
    <s v="2611606"/>
    <x v="1"/>
    <n v="11"/>
    <n v="4"/>
    <n v="2"/>
    <n v="77777.777777777781"/>
    <n v="855555.55555555562"/>
    <n v="311111.11111111112"/>
    <n v="155555.55555555559"/>
    <x v="1"/>
  </r>
  <r>
    <x v="36"/>
    <s v="2024-03_RECIFE_FOMENTO.pdf.pdf"/>
    <n v="4747853.3"/>
    <n v="0.3"/>
    <n v="0.1"/>
    <n v="0.05"/>
    <m/>
    <m/>
    <x v="0"/>
    <b v="1"/>
    <b v="1"/>
    <s v="2611606"/>
    <x v="1"/>
    <m/>
    <m/>
    <m/>
    <m/>
    <n v="1424355.99"/>
    <n v="474785.33"/>
    <n v="237392.66500000001"/>
    <x v="2"/>
  </r>
  <r>
    <x v="37"/>
    <s v="2024-06_RIOBRANCO_BOLSA.pdf"/>
    <n v="976000"/>
    <n v="0.25"/>
    <n v="0"/>
    <n v="0.05"/>
    <n v="49"/>
    <m/>
    <x v="0"/>
    <b v="1"/>
    <b v="1"/>
    <s v="1200401"/>
    <x v="1"/>
    <n v="12"/>
    <n v="0"/>
    <n v="2"/>
    <n v="19918.36734693878"/>
    <n v="239020.4081632653"/>
    <n v="0"/>
    <n v="39836.734693877552"/>
    <x v="0"/>
  </r>
  <r>
    <x v="37"/>
    <s v="2024-08_RIOBRANCO_FOMENTO.pdf"/>
    <n v="230000"/>
    <n v="0.2"/>
    <n v="0"/>
    <n v="0.05"/>
    <n v="23"/>
    <m/>
    <x v="0"/>
    <b v="1"/>
    <b v="1"/>
    <s v="1200401"/>
    <x v="1"/>
    <n v="5"/>
    <n v="0"/>
    <n v="1"/>
    <n v="10000"/>
    <n v="50000"/>
    <n v="0"/>
    <n v="10000"/>
    <x v="2"/>
  </r>
  <r>
    <x v="37"/>
    <s v="2024-11_RIOBRANCO_CULTURAVIVA.pdf"/>
    <n v="800000"/>
    <n v="0.25"/>
    <n v="0.1"/>
    <n v="0.05"/>
    <n v="32"/>
    <m/>
    <x v="0"/>
    <b v="1"/>
    <b v="1"/>
    <s v="1200401"/>
    <x v="1"/>
    <n v="8"/>
    <n v="3"/>
    <n v="2"/>
    <n v="25000"/>
    <n v="200000"/>
    <n v="75000"/>
    <n v="50000"/>
    <x v="1"/>
  </r>
  <r>
    <x v="37"/>
    <s v="2024-09_RIOBRANCO_PRÊMIO.pdf"/>
    <n v="220000"/>
    <n v="0"/>
    <n v="1"/>
    <n v="0"/>
    <n v="22"/>
    <s v="INDÍGENA"/>
    <x v="0"/>
    <b v="1"/>
    <b v="0"/>
    <s v="1200401"/>
    <x v="1"/>
    <n v="0"/>
    <n v="22"/>
    <n v="0"/>
    <n v="10000"/>
    <n v="0"/>
    <n v="220000"/>
    <n v="0"/>
    <x v="3"/>
  </r>
  <r>
    <x v="37"/>
    <s v="2024-10_RIOBRANCO_PRÊMIO.pdf"/>
    <n v="220000"/>
    <n v="0.2"/>
    <n v="0"/>
    <n v="0.05"/>
    <n v="22"/>
    <s v="MESTRES E MESTRAS"/>
    <x v="0"/>
    <b v="1"/>
    <b v="1"/>
    <s v="1200401"/>
    <x v="1"/>
    <n v="4"/>
    <n v="0"/>
    <n v="1"/>
    <n v="10000"/>
    <n v="40000"/>
    <n v="0"/>
    <n v="10000"/>
    <x v="3"/>
  </r>
  <r>
    <x v="37"/>
    <s v="2025-01_RIOBRANCO_CULTURAVIVA.pdf"/>
    <n v="960000"/>
    <n v="0.25"/>
    <n v="0.1"/>
    <n v="0.05"/>
    <n v="32"/>
    <m/>
    <x v="0"/>
    <b v="1"/>
    <b v="1"/>
    <s v="1200401"/>
    <x v="1"/>
    <n v="8"/>
    <n v="3"/>
    <n v="2"/>
    <n v="30000"/>
    <n v="240000"/>
    <n v="90000"/>
    <n v="60000"/>
    <x v="1"/>
  </r>
  <r>
    <x v="37"/>
    <s v="2024-07_RIOBRANCO_FOMENTO.pdf"/>
    <n v="682000"/>
    <n v="0.2"/>
    <n v="0"/>
    <n v="0.05"/>
    <n v="34"/>
    <m/>
    <x v="0"/>
    <b v="0"/>
    <b v="1"/>
    <s v="1200401"/>
    <x v="1"/>
    <n v="7"/>
    <n v="0"/>
    <n v="2"/>
    <n v="20058.823529411769"/>
    <n v="140411.76470588229"/>
    <n v="0"/>
    <n v="40117.647058823532"/>
    <x v="2"/>
  </r>
  <r>
    <x v="38"/>
    <s v="RIO DE JANEIRO_CULTURA VIVA_2.pdf"/>
    <n v="17730000"/>
    <n v="0.25"/>
    <n v="0.1"/>
    <n v="0.05"/>
    <n v="373"/>
    <m/>
    <x v="0"/>
    <b v="1"/>
    <b v="1"/>
    <s v="33"/>
    <x v="0"/>
    <n v="93"/>
    <n v="37"/>
    <n v="19"/>
    <n v="47533.512064343173"/>
    <n v="4420616.6219839146"/>
    <n v="1758739.946380697"/>
    <n v="903136.72922252014"/>
    <x v="1"/>
  </r>
  <r>
    <x v="38"/>
    <s v="RIO DE JANEIRO_CULTURA_VIVA.pdf"/>
    <n v="4800000"/>
    <n v="0"/>
    <n v="0"/>
    <n v="0"/>
    <n v="2"/>
    <m/>
    <x v="0"/>
    <b v="1"/>
    <b v="1"/>
    <s v="33"/>
    <x v="0"/>
    <n v="0"/>
    <n v="0"/>
    <n v="0"/>
    <n v="2400000"/>
    <n v="0"/>
    <n v="0"/>
    <n v="0"/>
    <x v="1"/>
  </r>
  <r>
    <x v="38"/>
    <s v="RIO DE JANEIRO_Edital_de_Fomento_1.pdf"/>
    <n v="5000000"/>
    <n v="0.25"/>
    <n v="0.1"/>
    <n v="0.05"/>
    <n v="55"/>
    <m/>
    <x v="0"/>
    <b v="1"/>
    <b v="1"/>
    <s v="33"/>
    <x v="0"/>
    <n v="14"/>
    <n v="6"/>
    <n v="3"/>
    <n v="90909.090909090912"/>
    <n v="1272727.2727272729"/>
    <n v="545454.54545454541"/>
    <n v="272727.27272727271"/>
    <x v="2"/>
  </r>
  <r>
    <x v="38"/>
    <s v="RIO DE JANEIRO_Edital_de_Fomento_2.pdf"/>
    <n v="21000000"/>
    <n v="0.25"/>
    <n v="0.1"/>
    <n v="0.05"/>
    <n v="300"/>
    <m/>
    <x v="0"/>
    <b v="1"/>
    <b v="1"/>
    <s v="33"/>
    <x v="0"/>
    <n v="75"/>
    <n v="30"/>
    <n v="15"/>
    <n v="70000"/>
    <n v="5250000"/>
    <n v="2100000"/>
    <n v="1050000"/>
    <x v="2"/>
  </r>
  <r>
    <x v="38"/>
    <s v="RIO DE JANEIRO_Edital_de_Fomento_3.pdf"/>
    <n v="21000000"/>
    <n v="0.25"/>
    <n v="0.1"/>
    <n v="0.05"/>
    <n v="92"/>
    <m/>
    <x v="0"/>
    <b v="1"/>
    <b v="1"/>
    <s v="33"/>
    <x v="0"/>
    <n v="23"/>
    <n v="9"/>
    <n v="5"/>
    <n v="228260.86956521741"/>
    <n v="5250000"/>
    <n v="2054347.8260869561"/>
    <n v="1141304.3478260869"/>
    <x v="2"/>
  </r>
  <r>
    <x v="38"/>
    <s v="RIO DE JANEIRO_Edital_de_Fomento_4.pdf"/>
    <n v="6500000"/>
    <n v="0.25"/>
    <n v="0.1"/>
    <n v="0.05"/>
    <n v="30"/>
    <m/>
    <x v="0"/>
    <b v="1"/>
    <b v="1"/>
    <s v="33"/>
    <x v="0"/>
    <n v="8"/>
    <n v="3"/>
    <n v="2"/>
    <n v="216666.66666666669"/>
    <n v="1733333.333333333"/>
    <n v="650000"/>
    <n v="433333.33333333331"/>
    <x v="2"/>
  </r>
  <r>
    <x v="38"/>
    <s v="RIO DE JANEIRO_Edital_de_Fomento_5.pdf"/>
    <n v="11000000"/>
    <n v="0.25"/>
    <n v="0.1"/>
    <n v="0.05"/>
    <n v="200"/>
    <s v="PERIFERIAS"/>
    <x v="0"/>
    <b v="1"/>
    <b v="1"/>
    <s v="33"/>
    <x v="0"/>
    <n v="50"/>
    <n v="20"/>
    <n v="10"/>
    <n v="55000"/>
    <n v="2750000"/>
    <n v="1100000"/>
    <n v="550000"/>
    <x v="2"/>
  </r>
  <r>
    <x v="39"/>
    <s v="2024-07_RIODEJANEIRO_CULTURAVIVA.pdf"/>
    <n v="6600000"/>
    <n v="0.25"/>
    <n v="0.1"/>
    <n v="0.05"/>
    <n v="30"/>
    <m/>
    <x v="0"/>
    <b v="1"/>
    <b v="1"/>
    <s v="2111300"/>
    <x v="1"/>
    <n v="8"/>
    <n v="3"/>
    <n v="2"/>
    <n v="220000"/>
    <n v="1760000"/>
    <n v="660000"/>
    <n v="440000"/>
    <x v="1"/>
  </r>
  <r>
    <x v="39"/>
    <s v="2023-07_RIODEJANEIRO_FOMENTO.pdf"/>
    <n v="25000000"/>
    <n v="0.2"/>
    <n v="0.1"/>
    <n v="0.05"/>
    <n v="162"/>
    <m/>
    <x v="0"/>
    <b v="1"/>
    <b v="1"/>
    <s v="2111300"/>
    <x v="1"/>
    <n v="32"/>
    <n v="16"/>
    <n v="8"/>
    <n v="154320.98765432101"/>
    <n v="4938271.6049382715"/>
    <n v="2469135.8024691362"/>
    <n v="1234567.9012345681"/>
    <x v="2"/>
  </r>
  <r>
    <x v="39"/>
    <s v="2024-06_RIODEJANEIRO_CULTURAVIVA.pdf"/>
    <n v="2840000"/>
    <n v="0.25"/>
    <n v="0.1"/>
    <n v="0.05"/>
    <n v="21"/>
    <m/>
    <x v="0"/>
    <b v="1"/>
    <b v="1"/>
    <s v="2111300"/>
    <x v="1"/>
    <n v="5"/>
    <n v="2"/>
    <n v="1"/>
    <n v="135238.09523809521"/>
    <n v="676190.47619047621"/>
    <n v="270476.19047619047"/>
    <n v="135238.09523809521"/>
    <x v="1"/>
  </r>
  <r>
    <x v="39"/>
    <s v="2024-11_RIODEJANEIRO_CULTURAVIVA.pdf"/>
    <n v="600000"/>
    <n v="0"/>
    <n v="0"/>
    <n v="0"/>
    <n v="1"/>
    <m/>
    <x v="0"/>
    <b v="1"/>
    <b v="1"/>
    <s v="2111300"/>
    <x v="1"/>
    <n v="0"/>
    <n v="0"/>
    <n v="0"/>
    <n v="600000"/>
    <n v="0"/>
    <n v="0"/>
    <n v="0"/>
    <x v="1"/>
  </r>
  <r>
    <x v="39"/>
    <s v="2024-12_RIODEJANEIRO_FOMENTO.pdf"/>
    <n v="700000"/>
    <n v="0.25"/>
    <n v="0.1"/>
    <n v="0.05"/>
    <m/>
    <m/>
    <x v="0"/>
    <b v="1"/>
    <b v="1"/>
    <s v="2111300"/>
    <x v="1"/>
    <m/>
    <m/>
    <m/>
    <m/>
    <n v="175000"/>
    <n v="70000"/>
    <n v="35000"/>
    <x v="2"/>
  </r>
  <r>
    <x v="39"/>
    <s v="2024-13_RIODEJANEIRO_FOMENTO.pdf"/>
    <n v="1000000"/>
    <n v="0.25"/>
    <n v="0.1"/>
    <n v="0.05"/>
    <m/>
    <m/>
    <x v="0"/>
    <b v="1"/>
    <b v="1"/>
    <s v="2111300"/>
    <x v="1"/>
    <m/>
    <m/>
    <m/>
    <m/>
    <n v="250000"/>
    <n v="100000"/>
    <n v="50000"/>
    <x v="2"/>
  </r>
  <r>
    <x v="39"/>
    <s v="2025-03_RIODEJANEIRO_FOMENTO.pdf"/>
    <n v="425000"/>
    <n v="0.3"/>
    <n v="0.1"/>
    <n v="0.1"/>
    <n v="20"/>
    <m/>
    <x v="0"/>
    <b v="1"/>
    <b v="1"/>
    <s v="2111300"/>
    <x v="1"/>
    <n v="6"/>
    <n v="2"/>
    <n v="2"/>
    <n v="21250"/>
    <n v="127500"/>
    <n v="42500"/>
    <n v="42500"/>
    <x v="2"/>
  </r>
  <r>
    <x v="40"/>
    <s v="RIO GRANDE DO NORTE_Edital_de_Fomento_1.pdf"/>
    <n v="1480000"/>
    <n v="0.25"/>
    <n v="0.1"/>
    <n v="0.05"/>
    <n v="34"/>
    <m/>
    <x v="0"/>
    <b v="1"/>
    <b v="1"/>
    <s v="24"/>
    <x v="0"/>
    <n v="8"/>
    <n v="3"/>
    <n v="2"/>
    <n v="43529.411764705881"/>
    <n v="348235.29411764699"/>
    <n v="130588.23529411769"/>
    <n v="87058.823529411762"/>
    <x v="2"/>
  </r>
  <r>
    <x v="40"/>
    <s v="2024-08_IN_FOMENTO.pdf"/>
    <n v="1240000"/>
    <n v="0.25"/>
    <n v="0.1"/>
    <n v="0.05"/>
    <n v="34"/>
    <m/>
    <x v="0"/>
    <b v="1"/>
    <b v="1"/>
    <s v="24"/>
    <x v="0"/>
    <n v="8"/>
    <n v="3"/>
    <n v="2"/>
    <n v="36470.588235294119"/>
    <n v="291764.70588235301"/>
    <n v="109411.76470588231"/>
    <n v="72941.176470588238"/>
    <x v="2"/>
  </r>
  <r>
    <x v="40"/>
    <s v="2024-09_IN_FOMENTO.pdf"/>
    <n v="1360000"/>
    <n v="0.25"/>
    <n v="0.1"/>
    <n v="0.05"/>
    <n v="66"/>
    <m/>
    <x v="0"/>
    <b v="1"/>
    <b v="1"/>
    <s v="24"/>
    <x v="0"/>
    <n v="16"/>
    <n v="7"/>
    <n v="3"/>
    <n v="20606.060606060611"/>
    <n v="329696.96969696973"/>
    <n v="144242.42424242431"/>
    <n v="61818.181818181823"/>
    <x v="2"/>
  </r>
  <r>
    <x v="40"/>
    <s v="2024-10_IN_FOMENTO.pdf"/>
    <n v="1800000"/>
    <n v="0.25"/>
    <n v="0.1"/>
    <n v="0.05"/>
    <n v="47"/>
    <m/>
    <x v="0"/>
    <b v="1"/>
    <b v="1"/>
    <s v="24"/>
    <x v="0"/>
    <n v="12"/>
    <n v="5"/>
    <n v="2"/>
    <n v="38297.872340425529"/>
    <n v="459574.46808510629"/>
    <n v="191489.36170212759"/>
    <n v="76595.744680851058"/>
    <x v="2"/>
  </r>
  <r>
    <x v="40"/>
    <s v="RIO GRANDE DO NORTE_Edital_de_Fomento_5.pdf"/>
    <n v="920000"/>
    <n v="0.25"/>
    <n v="0.1"/>
    <n v="0.05"/>
    <n v="38"/>
    <m/>
    <x v="0"/>
    <b v="1"/>
    <b v="1"/>
    <s v="24"/>
    <x v="0"/>
    <n v="10"/>
    <n v="4"/>
    <n v="2"/>
    <n v="24210.52631578947"/>
    <n v="242105.26315789469"/>
    <n v="96842.105263157893"/>
    <n v="48421.052631578947"/>
    <x v="2"/>
  </r>
  <r>
    <x v="40"/>
    <s v="RIO GRANDE DO NORTE_Edital_de_Fomento_6.pdf"/>
    <n v="1680000"/>
    <n v="0.25"/>
    <n v="0.1"/>
    <n v="0.05"/>
    <n v="58"/>
    <m/>
    <x v="0"/>
    <b v="1"/>
    <b v="1"/>
    <s v="24"/>
    <x v="0"/>
    <n v="14"/>
    <n v="6"/>
    <n v="3"/>
    <n v="28965.517241379312"/>
    <n v="405517.24137931038"/>
    <n v="173793.10344827591"/>
    <n v="86896.551724137942"/>
    <x v="2"/>
  </r>
  <r>
    <x v="40"/>
    <s v="RIO GRANDE DO NORTE_Edital_de_Fomento_7.pdf"/>
    <n v="1480000"/>
    <n v="0.25"/>
    <n v="0.1"/>
    <n v="0.05"/>
    <n v="62"/>
    <m/>
    <x v="0"/>
    <b v="1"/>
    <b v="1"/>
    <s v="24"/>
    <x v="0"/>
    <n v="16"/>
    <n v="6"/>
    <n v="3"/>
    <n v="23870.967741935481"/>
    <n v="381935.48387096782"/>
    <n v="143225.80645161291"/>
    <n v="71612.903225806454"/>
    <x v="2"/>
  </r>
  <r>
    <x v="40"/>
    <s v="2024-02_RN_PRÊMIO.pdf"/>
    <n v="1200000"/>
    <n v="0.25"/>
    <n v="0.1"/>
    <n v="0.05"/>
    <n v="120"/>
    <m/>
    <x v="0"/>
    <b v="1"/>
    <b v="1"/>
    <s v="24"/>
    <x v="0"/>
    <n v="30"/>
    <n v="12"/>
    <n v="6"/>
    <n v="10000"/>
    <n v="300000"/>
    <n v="120000"/>
    <n v="60000"/>
    <x v="3"/>
  </r>
  <r>
    <x v="40"/>
    <s v="2024-01_RN_Premio"/>
    <n v="1125000"/>
    <n v="0.25"/>
    <n v="0.1"/>
    <n v="0.05"/>
    <n v="89"/>
    <m/>
    <x v="0"/>
    <b v="1"/>
    <b v="1"/>
    <s v="24"/>
    <x v="0"/>
    <n v="22"/>
    <n v="9"/>
    <n v="4"/>
    <n v="12640.449438202249"/>
    <n v="278089.88764044951"/>
    <n v="113764.0449438202"/>
    <n v="50561.79775280899"/>
    <x v="3"/>
  </r>
  <r>
    <x v="40"/>
    <s v="2024-06_RN_CulturaViva.pdf"/>
    <n v="3360000"/>
    <n v="0.25"/>
    <n v="0.1"/>
    <n v="0.05"/>
    <n v="84"/>
    <m/>
    <x v="0"/>
    <b v="1"/>
    <b v="1"/>
    <s v="24"/>
    <x v="0"/>
    <n v="21"/>
    <n v="8"/>
    <n v="4"/>
    <n v="40000"/>
    <n v="840000"/>
    <n v="320000"/>
    <n v="160000"/>
    <x v="1"/>
  </r>
  <r>
    <x v="40"/>
    <s v="2024-17_RN_FOMENTO.pdf"/>
    <n v="920000"/>
    <n v="0.25"/>
    <n v="0.1"/>
    <n v="0.05"/>
    <n v="46"/>
    <s v="PERIFERIAS"/>
    <x v="0"/>
    <b v="1"/>
    <b v="1"/>
    <s v="24"/>
    <x v="0"/>
    <n v="12"/>
    <n v="5"/>
    <n v="2"/>
    <n v="20000"/>
    <n v="240000"/>
    <n v="100000"/>
    <n v="40000"/>
    <x v="2"/>
  </r>
  <r>
    <x v="40"/>
    <s v="RIO GRANDE DO NORTE_FOMENTO_01.pdf"/>
    <n v="750000"/>
    <n v="0.25"/>
    <n v="0.1"/>
    <n v="0.05"/>
    <n v="110"/>
    <m/>
    <x v="0"/>
    <b v="1"/>
    <b v="1"/>
    <s v="24"/>
    <x v="0"/>
    <n v="28"/>
    <n v="11"/>
    <n v="6"/>
    <n v="6818.181818181818"/>
    <n v="190909.09090909091"/>
    <n v="75000"/>
    <n v="40909.090909090912"/>
    <x v="2"/>
  </r>
  <r>
    <x v="40"/>
    <s v="RIO GRANDE DO NORTE_FOMENTO_2.pdf"/>
    <n v="620000"/>
    <n v="0.25"/>
    <n v="0.1"/>
    <n v="0.05"/>
    <n v="30"/>
    <m/>
    <x v="0"/>
    <b v="1"/>
    <b v="1"/>
    <s v="24"/>
    <x v="0"/>
    <n v="8"/>
    <n v="3"/>
    <n v="2"/>
    <n v="20666.666666666672"/>
    <n v="165333.33333333331"/>
    <n v="62000"/>
    <n v="41333.333333333343"/>
    <x v="2"/>
  </r>
  <r>
    <x v="40"/>
    <s v="2024-16_RN_FOMENTO.pdf"/>
    <n v="3660000"/>
    <n v="0.25"/>
    <n v="0.1"/>
    <n v="0.05"/>
    <n v="140"/>
    <s v="POVOS E COMUNIDADES TRADICIONAIS"/>
    <x v="0"/>
    <b v="1"/>
    <b v="1"/>
    <s v="24"/>
    <x v="0"/>
    <n v="35"/>
    <n v="14"/>
    <n v="7"/>
    <n v="26142.857142857141"/>
    <n v="915000"/>
    <n v="366000"/>
    <n v="183000"/>
    <x v="2"/>
  </r>
  <r>
    <x v="40"/>
    <s v="2024-19_RN_FOMENTO.pdf"/>
    <n v="920000"/>
    <n v="0.25"/>
    <n v="0.1"/>
    <n v="0.05"/>
    <n v="30"/>
    <s v="LGBTQIAPN+"/>
    <x v="0"/>
    <b v="1"/>
    <b v="1"/>
    <s v="24"/>
    <x v="0"/>
    <n v="8"/>
    <n v="3"/>
    <n v="2"/>
    <n v="30666.666666666672"/>
    <n v="245333.33333333331"/>
    <n v="92000"/>
    <n v="61333.333333333343"/>
    <x v="2"/>
  </r>
  <r>
    <x v="40"/>
    <s v="2024-03_RN_PRÊMIO.pdf"/>
    <n v="400000"/>
    <n v="0.25"/>
    <n v="0.1"/>
    <n v="0.05"/>
    <n v="40"/>
    <s v="PERIFERIAS"/>
    <x v="0"/>
    <b v="1"/>
    <b v="1"/>
    <s v="24"/>
    <x v="0"/>
    <n v="10"/>
    <n v="4"/>
    <n v="2"/>
    <n v="10000"/>
    <n v="100000"/>
    <n v="40000"/>
    <n v="20000"/>
    <x v="3"/>
  </r>
  <r>
    <x v="40"/>
    <s v="RIO GRANDE DO NORTE_SUBSÍDIO_24.pdf"/>
    <n v="960000"/>
    <n v="0.25"/>
    <n v="0.1"/>
    <n v="0.05"/>
    <n v="24"/>
    <m/>
    <x v="0"/>
    <b v="1"/>
    <b v="1"/>
    <s v="24"/>
    <x v="0"/>
    <n v="6"/>
    <n v="2"/>
    <n v="1"/>
    <n v="40000"/>
    <n v="240000"/>
    <n v="80000"/>
    <n v="40000"/>
    <x v="4"/>
  </r>
  <r>
    <x v="40"/>
    <s v="2024-05_RN_PRÊMIO.pdf"/>
    <n v="1200000"/>
    <n v="0"/>
    <n v="0"/>
    <n v="0.05"/>
    <n v="40"/>
    <s v="POVOS E COMUNIDADES TRADICIONAIS (QUILOMBOLA)"/>
    <x v="0"/>
    <b v="1"/>
    <b v="1"/>
    <s v="24"/>
    <x v="0"/>
    <n v="0"/>
    <n v="0"/>
    <n v="2"/>
    <n v="30000"/>
    <n v="0"/>
    <n v="0"/>
    <n v="60000"/>
    <x v="3"/>
  </r>
  <r>
    <x v="40"/>
    <s v="2024-04_RN_PRÊMIO.pdf"/>
    <n v="660000"/>
    <n v="0"/>
    <n v="1"/>
    <n v="0.05"/>
    <n v="22"/>
    <s v="INDÍGENA"/>
    <x v="0"/>
    <b v="1"/>
    <b v="1"/>
    <s v="24"/>
    <x v="0"/>
    <n v="0"/>
    <n v="22"/>
    <n v="1"/>
    <n v="30000"/>
    <n v="0"/>
    <n v="660000"/>
    <n v="30000"/>
    <x v="3"/>
  </r>
  <r>
    <x v="40"/>
    <s v="2024-07_RN_CulturaViva.pdf"/>
    <n v="600000"/>
    <n v="0.5"/>
    <n v="0"/>
    <n v="0"/>
    <n v="2"/>
    <m/>
    <x v="0"/>
    <b v="1"/>
    <b v="1"/>
    <s v="24"/>
    <x v="0"/>
    <n v="1"/>
    <n v="0"/>
    <n v="0"/>
    <n v="300000"/>
    <n v="300000"/>
    <n v="0"/>
    <n v="0"/>
    <x v="1"/>
  </r>
  <r>
    <x v="40"/>
    <s v="2024-18_RN_FOMENTO.pdf"/>
    <n v="620000"/>
    <n v="1"/>
    <n v="0"/>
    <n v="0.05"/>
    <n v="30"/>
    <s v="NEGRA"/>
    <x v="0"/>
    <b v="1"/>
    <b v="1"/>
    <s v="24"/>
    <x v="0"/>
    <n v="30"/>
    <n v="0"/>
    <n v="2"/>
    <n v="20666.666666666672"/>
    <n v="620000"/>
    <n v="0"/>
    <n v="41333.333333333343"/>
    <x v="2"/>
  </r>
  <r>
    <x v="41"/>
    <s v="RIO GRANDE DO SUL_Edital_de_Fomento_2.pdf"/>
    <n v="4100000"/>
    <n v="0.26319999999999999"/>
    <n v="0.1053"/>
    <n v="5.2600000000000001E-2"/>
    <n v="38"/>
    <m/>
    <x v="0"/>
    <b v="1"/>
    <b v="1"/>
    <s v="43"/>
    <x v="0"/>
    <n v="10"/>
    <n v="4"/>
    <n v="2"/>
    <n v="107894.7368421053"/>
    <n v="1078947.368421053"/>
    <n v="431578.94736842113"/>
    <n v="215789.4736842105"/>
    <x v="2"/>
  </r>
  <r>
    <x v="41"/>
    <s v="2024-29_RS_FOMENTO.pdf"/>
    <n v="8000000"/>
    <n v="0.25"/>
    <n v="0.08"/>
    <n v="0.04"/>
    <n v="86"/>
    <s v="POVOS E COMUNIDADES TRADICIONAIS"/>
    <x v="0"/>
    <b v="1"/>
    <b v="1"/>
    <s v="43"/>
    <x v="0"/>
    <n v="22"/>
    <n v="7"/>
    <n v="3"/>
    <n v="93023.255813953481"/>
    <n v="2046511.627906977"/>
    <n v="651162.79069767438"/>
    <n v="279069.76744186052"/>
    <x v="2"/>
  </r>
  <r>
    <x v="41"/>
    <s v="2024-26_RS_FOMENTO.pdf"/>
    <n v="7900000"/>
    <n v="0.26800000000000002"/>
    <n v="0.1"/>
    <n v="0.05"/>
    <n v="67"/>
    <m/>
    <x v="0"/>
    <b v="1"/>
    <b v="1"/>
    <s v="43"/>
    <x v="0"/>
    <n v="18"/>
    <n v="7"/>
    <n v="3"/>
    <n v="117910.44776119399"/>
    <n v="2122388.059701493"/>
    <n v="825373.13432835811"/>
    <n v="353731.34328358207"/>
    <x v="2"/>
  </r>
  <r>
    <x v="41"/>
    <s v="2024-28_RS_FOMENTO.pdf"/>
    <n v="4000000"/>
    <n v="0.26600000000000001"/>
    <n v="0.1"/>
    <n v="3.3000000000000002E-2"/>
    <n v="30"/>
    <m/>
    <x v="0"/>
    <b v="1"/>
    <b v="1"/>
    <s v="43"/>
    <x v="0"/>
    <n v="8"/>
    <n v="3"/>
    <n v="1"/>
    <n v="133333.33333333331"/>
    <n v="1066666.666666667"/>
    <n v="400000"/>
    <n v="133333.33333333331"/>
    <x v="2"/>
  </r>
  <r>
    <x v="41"/>
    <s v="2024-30_RS_FOMENTO.pdf"/>
    <n v="4000000"/>
    <n v="0.26600000000000001"/>
    <n v="0.1"/>
    <n v="6.6000000000000003E-2"/>
    <n v="30"/>
    <m/>
    <x v="0"/>
    <b v="1"/>
    <b v="1"/>
    <s v="43"/>
    <x v="0"/>
    <n v="8"/>
    <n v="3"/>
    <n v="2"/>
    <n v="133333.33333333331"/>
    <n v="1066666.666666667"/>
    <n v="400000"/>
    <n v="266666.66666666669"/>
    <x v="2"/>
  </r>
  <r>
    <x v="41"/>
    <s v="2024-31_RS_FOMENTO.pdf"/>
    <n v="10650000"/>
    <n v="0.26090000000000002"/>
    <n v="8.6999999999999994E-2"/>
    <n v="4.3499999999999997E-2"/>
    <n v="69"/>
    <m/>
    <x v="0"/>
    <b v="0"/>
    <b v="1"/>
    <s v="43"/>
    <x v="0"/>
    <n v="18"/>
    <n v="6"/>
    <n v="3"/>
    <n v="154347.82608695651"/>
    <n v="2778260.8695652168"/>
    <n v="926086.95652173902"/>
    <n v="463043.47826086951"/>
    <x v="2"/>
  </r>
  <r>
    <x v="41"/>
    <s v="2024-32_RS_FOMENTO.pdf"/>
    <n v="7800000"/>
    <n v="0.26500000000000001"/>
    <n v="0.1"/>
    <n v="0.04"/>
    <n v="49"/>
    <m/>
    <x v="0"/>
    <b v="1"/>
    <b v="1"/>
    <s v="43"/>
    <x v="0"/>
    <n v="13"/>
    <n v="5"/>
    <n v="2"/>
    <n v="159183.67346938781"/>
    <n v="2069387.7551020409"/>
    <n v="795918.3673469387"/>
    <n v="318367.3469387755"/>
    <x v="2"/>
  </r>
  <r>
    <x v="41"/>
    <s v="RIO GRANDE DO SUL_Edital_TCC_-_Pontos_e_Pontões_PNCV_1.pdf"/>
    <n v="9000000"/>
    <n v="0.25"/>
    <n v="0.1"/>
    <n v="0.05"/>
    <n v="63"/>
    <m/>
    <x v="0"/>
    <b v="1"/>
    <b v="1"/>
    <s v="43"/>
    <x v="0"/>
    <n v="16"/>
    <n v="6"/>
    <n v="3"/>
    <n v="142857.1428571429"/>
    <n v="2285714.2857142859"/>
    <n v="857142.85714285728"/>
    <n v="428571.42857142858"/>
    <x v="1"/>
  </r>
  <r>
    <x v="42"/>
    <s v="2025-03_RO_CULTURAVIVA.pdf"/>
    <n v="3060000"/>
    <n v="0.16"/>
    <n v="0.03"/>
    <n v="0.03"/>
    <n v="30"/>
    <m/>
    <x v="1"/>
    <b v="0"/>
    <b v="0"/>
    <s v="11"/>
    <x v="0"/>
    <n v="5"/>
    <n v="1"/>
    <n v="1"/>
    <n v="102000"/>
    <n v="510000"/>
    <n v="102000"/>
    <n v="102000"/>
    <x v="1"/>
  </r>
  <r>
    <x v="42"/>
    <s v="2025-04_RO_CULTURAVIVA.pdf"/>
    <n v="1200000"/>
    <n v="0.2"/>
    <n v="0.05"/>
    <n v="0.05"/>
    <n v="40"/>
    <m/>
    <x v="1"/>
    <b v="0"/>
    <b v="1"/>
    <s v="11"/>
    <x v="0"/>
    <n v="8"/>
    <n v="2"/>
    <n v="2"/>
    <n v="30000"/>
    <n v="240000"/>
    <n v="60000"/>
    <n v="60000"/>
    <x v="1"/>
  </r>
  <r>
    <x v="42"/>
    <s v="2025-05_RO_PRÊMIO.pdf"/>
    <n v="500000"/>
    <n v="0.26"/>
    <n v="0.1"/>
    <n v="0.04"/>
    <n v="50"/>
    <m/>
    <x v="0"/>
    <b v="1"/>
    <b v="0"/>
    <s v="11"/>
    <x v="0"/>
    <n v="13"/>
    <n v="5"/>
    <n v="2"/>
    <n v="10000"/>
    <n v="130000"/>
    <n v="50000"/>
    <n v="20000"/>
    <x v="3"/>
  </r>
  <r>
    <x v="42"/>
    <s v="2025-08_RO_PRÊMIO.pdf"/>
    <n v="1100000"/>
    <n v="0.25"/>
    <n v="0.1"/>
    <n v="0.05"/>
    <n v="40"/>
    <s v="POVOS E COMUNIDADES TRADICIONAIS"/>
    <x v="0"/>
    <b v="1"/>
    <b v="1"/>
    <s v="11"/>
    <x v="0"/>
    <n v="10"/>
    <n v="4"/>
    <n v="2"/>
    <n v="27500"/>
    <n v="275000"/>
    <n v="110000"/>
    <n v="55000"/>
    <x v="3"/>
  </r>
  <r>
    <x v="43"/>
    <s v="001_2025-fomento-edital-de-chamamento-pablico-nao-0012025.pdf"/>
    <n v="8178650"/>
    <n v="0.25"/>
    <n v="0.15"/>
    <n v="0.05"/>
    <n v="241"/>
    <m/>
    <x v="0"/>
    <b v="1"/>
    <b v="1"/>
    <s v="14"/>
    <x v="0"/>
    <n v="60"/>
    <n v="36"/>
    <n v="12"/>
    <n v="33936.307053941913"/>
    <n v="2036178.423236514"/>
    <n v="1221707.053941909"/>
    <n v="407235.68464730278"/>
    <x v="2"/>
  </r>
  <r>
    <x v="43"/>
    <s v="002_2025-premiacao-edital-de-chamamento-pablico-nao-0022025-premiacao.pdf"/>
    <n v="2782706"/>
    <n v="0.25"/>
    <n v="0.15"/>
    <n v="0.05"/>
    <n v="243"/>
    <m/>
    <x v="0"/>
    <b v="1"/>
    <b v="1"/>
    <s v="14"/>
    <x v="0"/>
    <n v="61"/>
    <n v="36"/>
    <n v="12"/>
    <n v="11451.46502057613"/>
    <n v="698539.36625514401"/>
    <n v="412252.74074074067"/>
    <n v="137417.5802469136"/>
    <x v="3"/>
  </r>
  <r>
    <x v="43"/>
    <s v="003_2025-subsidio-edital-de-chamamento-pablico-nao-0032025-subsadio.pdf"/>
    <n v="1000000"/>
    <n v="0.25"/>
    <n v="0.15"/>
    <n v="0.05"/>
    <n v="16"/>
    <m/>
    <x v="0"/>
    <b v="1"/>
    <b v="1"/>
    <s v="14"/>
    <x v="0"/>
    <n v="4"/>
    <n v="2"/>
    <n v="1"/>
    <n v="62500"/>
    <n v="250000"/>
    <n v="125000"/>
    <n v="62500"/>
    <x v="4"/>
  </r>
  <r>
    <x v="43"/>
    <s v="004_2025-pontos-edital-chamamento-pablico-nao-0042025-pontos-de-cultura.pdf"/>
    <n v="1444328.08"/>
    <n v="0.25"/>
    <n v="0.15"/>
    <n v="0.05"/>
    <n v="20"/>
    <m/>
    <x v="0"/>
    <b v="1"/>
    <b v="1"/>
    <s v="14"/>
    <x v="0"/>
    <n v="5"/>
    <n v="3"/>
    <n v="1"/>
    <n v="72216.40400000001"/>
    <n v="361082.02"/>
    <n v="216649.212"/>
    <n v="72216.40400000001"/>
    <x v="1"/>
  </r>
  <r>
    <x v="43"/>
    <s v="005_2025-pontao-edital-chamamento-pablico-nao-0052025-pontao-de-cultura.pdf"/>
    <n v="361082.01"/>
    <n v="0.25"/>
    <n v="0.15"/>
    <n v="0.05"/>
    <n v="1"/>
    <m/>
    <x v="0"/>
    <b v="1"/>
    <b v="1"/>
    <s v="14"/>
    <x v="0"/>
    <n v="0"/>
    <n v="0"/>
    <n v="0"/>
    <n v="361082.01"/>
    <n v="0"/>
    <n v="0"/>
    <n v="0"/>
    <x v="1"/>
  </r>
  <r>
    <x v="44"/>
    <s v="2024-09_SALVADOR_FOMENTO.pdf"/>
    <n v="2000000"/>
    <n v="0.5"/>
    <n v="0.1"/>
    <n v="0.05"/>
    <n v="40"/>
    <m/>
    <x v="0"/>
    <b v="1"/>
    <b v="1"/>
    <s v="2927408"/>
    <x v="1"/>
    <n v="20"/>
    <n v="4"/>
    <n v="2"/>
    <n v="50000"/>
    <n v="1000000"/>
    <n v="200000"/>
    <n v="100000"/>
    <x v="2"/>
  </r>
  <r>
    <x v="44"/>
    <s v="2025-01_SALVADOR_FOMENTO.pdf"/>
    <n v="400000"/>
    <n v="0.5"/>
    <n v="0.1"/>
    <n v="0.05"/>
    <n v="25"/>
    <m/>
    <x v="0"/>
    <b v="1"/>
    <b v="1"/>
    <s v="2927408"/>
    <x v="1"/>
    <n v="12"/>
    <n v="2"/>
    <n v="1"/>
    <n v="16000"/>
    <n v="192000"/>
    <n v="32000"/>
    <n v="16000"/>
    <x v="2"/>
  </r>
  <r>
    <x v="44"/>
    <s v="2024-03_SALVADOR_FOMENTO.pdf"/>
    <n v="5600000"/>
    <n v="0.5"/>
    <n v="0.1"/>
    <n v="0.05"/>
    <n v="30"/>
    <m/>
    <x v="0"/>
    <b v="1"/>
    <b v="1"/>
    <s v="2927408"/>
    <x v="1"/>
    <n v="15"/>
    <n v="3"/>
    <n v="2"/>
    <n v="186666.66666666669"/>
    <n v="2800000"/>
    <n v="560000"/>
    <n v="373333.33333333331"/>
    <x v="2"/>
  </r>
  <r>
    <x v="44"/>
    <s v="2024-04_SALVADOR_BOLSA.pdf"/>
    <n v="800000"/>
    <n v="0.5"/>
    <n v="0.1"/>
    <n v="0.05"/>
    <m/>
    <m/>
    <x v="0"/>
    <b v="1"/>
    <b v="1"/>
    <s v="2927408"/>
    <x v="1"/>
    <m/>
    <m/>
    <m/>
    <m/>
    <n v="400000"/>
    <n v="80000"/>
    <n v="40000"/>
    <x v="0"/>
  </r>
  <r>
    <x v="44"/>
    <s v="2024-07_SALVADOR_FOMENTO.pdf"/>
    <n v="800000"/>
    <n v="0.5"/>
    <n v="0.1"/>
    <n v="0.05"/>
    <n v="60"/>
    <m/>
    <x v="0"/>
    <b v="1"/>
    <b v="1"/>
    <s v="2927408"/>
    <x v="1"/>
    <n v="30"/>
    <n v="6"/>
    <n v="3"/>
    <n v="13333.33333333333"/>
    <n v="400000"/>
    <n v="80000"/>
    <n v="40000"/>
    <x v="2"/>
  </r>
  <r>
    <x v="44"/>
    <s v="2024-08_SALVADOR_SUBSÍDIO.pdf"/>
    <n v="400000"/>
    <n v="0.5"/>
    <n v="0.1"/>
    <n v="0.05"/>
    <n v="20"/>
    <m/>
    <x v="0"/>
    <b v="1"/>
    <b v="1"/>
    <s v="2927408"/>
    <x v="1"/>
    <n v="10"/>
    <n v="2"/>
    <n v="1"/>
    <n v="20000"/>
    <n v="200000"/>
    <n v="40000"/>
    <n v="20000"/>
    <x v="4"/>
  </r>
  <r>
    <x v="44"/>
    <s v="2025-02_SALVADOR_CULTURAVIVA.pdf"/>
    <n v="4260000"/>
    <n v="0.5"/>
    <n v="0.1"/>
    <n v="0.05"/>
    <n v="82"/>
    <m/>
    <x v="0"/>
    <b v="1"/>
    <b v="1"/>
    <s v="2927408"/>
    <x v="1"/>
    <n v="41"/>
    <n v="8"/>
    <n v="4"/>
    <n v="51951.219512195123"/>
    <n v="2130000"/>
    <n v="415609.75609756098"/>
    <n v="207804.87804878049"/>
    <x v="1"/>
  </r>
  <r>
    <x v="44"/>
    <s v="2024-10_SALVADOR_FOMENTO.pdf"/>
    <n v="1950000"/>
    <n v="0.5"/>
    <n v="0.1"/>
    <n v="0.05"/>
    <n v="2"/>
    <m/>
    <x v="0"/>
    <b v="1"/>
    <b v="1"/>
    <s v="2927408"/>
    <x v="1"/>
    <n v="1"/>
    <n v="0"/>
    <n v="0"/>
    <n v="975000"/>
    <n v="975000"/>
    <n v="0"/>
    <n v="0"/>
    <x v="2"/>
  </r>
  <r>
    <x v="44"/>
    <s v="2024-05_SALVADOR_FOMENTO.pdf"/>
    <n v="2000000"/>
    <n v="0.5"/>
    <n v="0.1"/>
    <n v="0.05"/>
    <n v="20"/>
    <m/>
    <x v="0"/>
    <b v="1"/>
    <b v="1"/>
    <s v="2927408"/>
    <x v="1"/>
    <n v="10"/>
    <n v="2"/>
    <n v="1"/>
    <n v="100000"/>
    <n v="1000000"/>
    <n v="200000"/>
    <n v="100000"/>
    <x v="2"/>
  </r>
  <r>
    <x v="45"/>
    <s v="SANTA CATARINA_Cultura Viva.pdf"/>
    <n v="900000"/>
    <n v="0.5"/>
    <n v="0.5"/>
    <n v="0.5"/>
    <n v="3"/>
    <m/>
    <x v="0"/>
    <b v="1"/>
    <b v="1"/>
    <s v="42"/>
    <x v="0"/>
    <n v="2"/>
    <n v="2"/>
    <n v="2"/>
    <n v="300000"/>
    <n v="600000"/>
    <n v="600000"/>
    <n v="600000"/>
    <x v="1"/>
  </r>
  <r>
    <x v="45"/>
    <s v="SANTA CATARINA_CULTURA_VIVA_02.pdf"/>
    <n v="4950000"/>
    <n v="0.25"/>
    <n v="0.1"/>
    <n v="0.05"/>
    <n v="110"/>
    <m/>
    <x v="0"/>
    <b v="1"/>
    <b v="1"/>
    <s v="42"/>
    <x v="0"/>
    <n v="28"/>
    <n v="11"/>
    <n v="6"/>
    <n v="45000"/>
    <n v="1260000"/>
    <n v="495000"/>
    <n v="270000"/>
    <x v="1"/>
  </r>
  <r>
    <x v="45"/>
    <s v="SANTA CATARINA_FOMENTO_435.pdf"/>
    <n v="22220000"/>
    <n v="0.25650000000000001"/>
    <n v="0.1017"/>
    <n v="5.3100000000000008E-2"/>
    <n v="659"/>
    <m/>
    <x v="0"/>
    <b v="1"/>
    <b v="1"/>
    <s v="42"/>
    <x v="0"/>
    <n v="169"/>
    <n v="67"/>
    <n v="35"/>
    <n v="33717.754172989378"/>
    <n v="5698300.4552352047"/>
    <n v="2259089.5295902882"/>
    <n v="1180121.3960546281"/>
    <x v="2"/>
  </r>
  <r>
    <x v="45"/>
    <s v="2024-51_SC_PRÊMIO.pdf"/>
    <n v="3150000"/>
    <n v="0.25"/>
    <n v="0.1"/>
    <n v="0.05"/>
    <n v="140"/>
    <s v="POVOS E COMUNIDADES TRADICIONAIS"/>
    <x v="0"/>
    <b v="1"/>
    <b v="1"/>
    <s v="42"/>
    <x v="0"/>
    <n v="35"/>
    <n v="14"/>
    <n v="7"/>
    <n v="22500"/>
    <n v="787500"/>
    <n v="315000"/>
    <n v="157500"/>
    <x v="3"/>
  </r>
  <r>
    <x v="45"/>
    <s v="2024-52_SC_PRÊMIO.pdf"/>
    <n v="1050000"/>
    <n v="0.25"/>
    <n v="0.1"/>
    <n v="0.05"/>
    <n v="35"/>
    <s v="MESTRES E MESTRAS"/>
    <x v="0"/>
    <b v="1"/>
    <b v="1"/>
    <s v="42"/>
    <x v="0"/>
    <n v="9"/>
    <n v="4"/>
    <n v="2"/>
    <n v="30000"/>
    <n v="270000"/>
    <n v="120000"/>
    <n v="60000"/>
    <x v="3"/>
  </r>
  <r>
    <x v="45"/>
    <s v="2024-55_SC_FOMENTO.pdf"/>
    <n v="9600000"/>
    <n v="0.24"/>
    <n v="0.09"/>
    <n v="0.09"/>
    <n v="96"/>
    <m/>
    <x v="0"/>
    <b v="1"/>
    <b v="1"/>
    <s v="42"/>
    <x v="0"/>
    <n v="23"/>
    <n v="9"/>
    <n v="9"/>
    <n v="100000"/>
    <n v="2300000"/>
    <n v="900000"/>
    <n v="900000"/>
    <x v="2"/>
  </r>
  <r>
    <x v="46"/>
    <s v="2025-05_SAOLUIS_CULTURAVIVA.pdf"/>
    <n v="1000000"/>
    <n v="0.25"/>
    <n v="0.1"/>
    <n v="0.05"/>
    <n v="10"/>
    <m/>
    <x v="0"/>
    <b v="1"/>
    <b v="1"/>
    <s v="2111300"/>
    <x v="1"/>
    <n v="2"/>
    <n v="1"/>
    <n v="0"/>
    <n v="100000"/>
    <n v="200000"/>
    <n v="100000"/>
    <n v="0"/>
    <x v="1"/>
  </r>
  <r>
    <x v="46"/>
    <s v="2025-08_SAOLUIS_PRÊMIO.pdf"/>
    <n v="500000"/>
    <n v="0.25"/>
    <n v="0.1"/>
    <n v="0.05"/>
    <n v="74"/>
    <m/>
    <x v="0"/>
    <b v="1"/>
    <b v="1"/>
    <s v="2111300"/>
    <x v="1"/>
    <n v="18"/>
    <n v="7"/>
    <n v="4"/>
    <n v="6756.7567567567567"/>
    <n v="121621.6216216216"/>
    <n v="47297.297297297293"/>
    <n v="27027.02702702703"/>
    <x v="3"/>
  </r>
  <r>
    <x v="46"/>
    <s v="2025-06_SAOLUIS_FOMENTO.pdf"/>
    <n v="4500000"/>
    <n v="0.25"/>
    <n v="0.1"/>
    <n v="0.05"/>
    <n v="182"/>
    <m/>
    <x v="0"/>
    <b v="1"/>
    <b v="1"/>
    <s v="2111300"/>
    <x v="1"/>
    <n v="46"/>
    <n v="18"/>
    <n v="9"/>
    <n v="24725.274725274721"/>
    <n v="1137362.6373626371"/>
    <n v="445054.94505494513"/>
    <n v="222527.47252747251"/>
    <x v="2"/>
  </r>
  <r>
    <x v="46"/>
    <s v="2025-07_SAOLUIS_CULTURAVIVA.pdf"/>
    <n v="950500"/>
    <n v="0.25"/>
    <n v="0.1"/>
    <n v="0.05"/>
    <n v="28"/>
    <m/>
    <x v="0"/>
    <b v="1"/>
    <b v="1"/>
    <s v="2111300"/>
    <x v="1"/>
    <n v="7"/>
    <n v="3"/>
    <n v="1"/>
    <n v="33946.428571428572"/>
    <n v="237625"/>
    <n v="101839.2857142857"/>
    <n v="33946.428571428572"/>
    <x v="1"/>
  </r>
  <r>
    <x v="47"/>
    <s v="SÃO PAULO_Edital_de_Fomento_10.pdf"/>
    <n v="20000000"/>
    <n v="0.25"/>
    <n v="0.1"/>
    <n v="0.05"/>
    <n v="40"/>
    <m/>
    <x v="0"/>
    <b v="1"/>
    <b v="1"/>
    <s v="35"/>
    <x v="0"/>
    <n v="10"/>
    <n v="4"/>
    <n v="2"/>
    <n v="500000"/>
    <n v="5000000"/>
    <n v="2000000"/>
    <n v="1000000"/>
    <x v="2"/>
  </r>
  <r>
    <x v="47"/>
    <s v="SÃO PAULO_Edital_de_Fomento_12.pdf"/>
    <n v="5000000"/>
    <n v="0.25"/>
    <n v="0.1"/>
    <n v="0.05"/>
    <n v="20"/>
    <m/>
    <x v="0"/>
    <b v="1"/>
    <b v="1"/>
    <s v="35"/>
    <x v="0"/>
    <n v="5"/>
    <n v="2"/>
    <n v="1"/>
    <n v="250000"/>
    <n v="1250000"/>
    <n v="500000"/>
    <n v="250000"/>
    <x v="2"/>
  </r>
  <r>
    <x v="47"/>
    <s v="SÃO PAULO_Edital_de_Fomento_13.pdf"/>
    <n v="15000000"/>
    <n v="0.25"/>
    <n v="0.1"/>
    <n v="0.05"/>
    <n v="40"/>
    <m/>
    <x v="0"/>
    <b v="1"/>
    <b v="1"/>
    <s v="35"/>
    <x v="0"/>
    <n v="10"/>
    <n v="4"/>
    <n v="2"/>
    <n v="375000"/>
    <n v="3750000"/>
    <n v="1500000"/>
    <n v="750000"/>
    <x v="2"/>
  </r>
  <r>
    <x v="47"/>
    <s v="SÃO PAULO_Edital_de_Fomento_15.pdf"/>
    <n v="9000000"/>
    <n v="0.25"/>
    <n v="0.1"/>
    <n v="0.05"/>
    <n v="30"/>
    <m/>
    <x v="0"/>
    <b v="1"/>
    <b v="1"/>
    <s v="35"/>
    <x v="0"/>
    <n v="8"/>
    <n v="3"/>
    <n v="2"/>
    <n v="300000"/>
    <n v="2400000"/>
    <n v="900000"/>
    <n v="600000"/>
    <x v="2"/>
  </r>
  <r>
    <x v="47"/>
    <s v="2024-19_SP_FOMENTO.pdf"/>
    <n v="3000000"/>
    <n v="0.25"/>
    <n v="0.1"/>
    <n v="0.05"/>
    <n v="20"/>
    <s v="PERIFERIAS"/>
    <x v="0"/>
    <b v="1"/>
    <b v="1"/>
    <s v="35"/>
    <x v="0"/>
    <n v="5"/>
    <n v="2"/>
    <n v="1"/>
    <n v="150000"/>
    <n v="750000"/>
    <n v="300000"/>
    <n v="150000"/>
    <x v="2"/>
  </r>
  <r>
    <x v="47"/>
    <s v="2024-20_SP_FOMENTO.pdf"/>
    <n v="3000000"/>
    <n v="0.25"/>
    <n v="0.1"/>
    <n v="0.05"/>
    <n v="20"/>
    <s v="IDOSO"/>
    <x v="0"/>
    <b v="1"/>
    <b v="1"/>
    <s v="35"/>
    <x v="0"/>
    <n v="5"/>
    <n v="2"/>
    <n v="1"/>
    <n v="150000"/>
    <n v="750000"/>
    <n v="300000"/>
    <n v="150000"/>
    <x v="2"/>
  </r>
  <r>
    <x v="47"/>
    <s v="2024-21_SP_FOMENTO.pdf"/>
    <n v="3000000"/>
    <n v="0.25"/>
    <n v="0.1"/>
    <n v="0.05"/>
    <n v="20"/>
    <s v="MULHER"/>
    <x v="0"/>
    <b v="1"/>
    <b v="1"/>
    <s v="35"/>
    <x v="0"/>
    <n v="5"/>
    <n v="2"/>
    <n v="1"/>
    <n v="150000"/>
    <n v="750000"/>
    <n v="300000"/>
    <n v="150000"/>
    <x v="2"/>
  </r>
  <r>
    <x v="47"/>
    <s v="SÃO PAULO_Edital_de_Fomento_19.pdf"/>
    <n v="3000000"/>
    <n v="0.25"/>
    <n v="0.1"/>
    <n v="0.05"/>
    <n v="20"/>
    <m/>
    <x v="0"/>
    <b v="1"/>
    <b v="1"/>
    <s v="35"/>
    <x v="0"/>
    <n v="5"/>
    <n v="2"/>
    <n v="1"/>
    <n v="150000"/>
    <n v="750000"/>
    <n v="300000"/>
    <n v="150000"/>
    <x v="2"/>
  </r>
  <r>
    <x v="47"/>
    <s v="SÃO PAULO_Edital_de_Fomento_2.pdf"/>
    <n v="22500000"/>
    <n v="0.25"/>
    <n v="0.1"/>
    <n v="0.05"/>
    <n v="30"/>
    <m/>
    <x v="0"/>
    <b v="1"/>
    <b v="1"/>
    <s v="35"/>
    <x v="0"/>
    <n v="8"/>
    <n v="3"/>
    <n v="2"/>
    <n v="750000"/>
    <n v="6000000"/>
    <n v="2250000"/>
    <n v="1500000"/>
    <x v="2"/>
  </r>
  <r>
    <x v="47"/>
    <s v="SÃO PAULO_Edital_de_Fomento_20.pdf"/>
    <n v="3000000"/>
    <n v="0.25"/>
    <n v="0.1"/>
    <n v="0.05"/>
    <n v="20"/>
    <m/>
    <x v="0"/>
    <b v="1"/>
    <b v="1"/>
    <s v="35"/>
    <x v="0"/>
    <n v="5"/>
    <n v="2"/>
    <n v="1"/>
    <n v="150000"/>
    <n v="750000"/>
    <n v="300000"/>
    <n v="150000"/>
    <x v="2"/>
  </r>
  <r>
    <x v="47"/>
    <s v="SÃO PAULO_Edital_de_Fomento_25.pdf"/>
    <n v="33000000"/>
    <n v="0.25"/>
    <n v="0.1"/>
    <n v="0.05"/>
    <n v="22"/>
    <m/>
    <x v="0"/>
    <b v="1"/>
    <b v="1"/>
    <s v="35"/>
    <x v="0"/>
    <n v="6"/>
    <n v="2"/>
    <n v="1"/>
    <n v="1500000"/>
    <n v="9000000"/>
    <n v="3000000"/>
    <n v="1500000"/>
    <x v="2"/>
  </r>
  <r>
    <x v="47"/>
    <s v="SÃO PAULO_Edital_de_Fomento_32.pdf"/>
    <n v="9000000"/>
    <n v="0.25"/>
    <n v="0.1"/>
    <n v="0.05"/>
    <n v="10"/>
    <m/>
    <x v="0"/>
    <b v="1"/>
    <b v="1"/>
    <s v="35"/>
    <x v="0"/>
    <n v="2"/>
    <n v="1"/>
    <n v="0"/>
    <n v="900000"/>
    <n v="1800000"/>
    <n v="900000"/>
    <n v="0"/>
    <x v="2"/>
  </r>
  <r>
    <x v="47"/>
    <s v="SÃO PAULO_Edital_de_Fomento_33.pdf"/>
    <n v="3750000"/>
    <n v="0.25"/>
    <n v="0.1"/>
    <n v="0.05"/>
    <n v="10"/>
    <m/>
    <x v="0"/>
    <b v="1"/>
    <b v="1"/>
    <s v="35"/>
    <x v="0"/>
    <n v="2"/>
    <n v="1"/>
    <n v="0"/>
    <n v="375000"/>
    <n v="750000"/>
    <n v="375000"/>
    <n v="0"/>
    <x v="2"/>
  </r>
  <r>
    <x v="47"/>
    <s v="SÃO PAULO_Edital_de_Fomento_5.pdf"/>
    <n v="700000"/>
    <n v="0.25"/>
    <n v="0.1"/>
    <n v="0.05"/>
    <n v="14"/>
    <m/>
    <x v="0"/>
    <b v="1"/>
    <b v="1"/>
    <s v="35"/>
    <x v="0"/>
    <n v="4"/>
    <n v="1"/>
    <n v="1"/>
    <n v="50000"/>
    <n v="200000"/>
    <n v="50000"/>
    <n v="50000"/>
    <x v="2"/>
  </r>
  <r>
    <x v="47"/>
    <s v="SÃO PAULO_Edital_de_Fomento_6.pdf"/>
    <n v="6600000"/>
    <n v="0.25"/>
    <n v="0.1"/>
    <n v="0.05"/>
    <n v="22"/>
    <m/>
    <x v="0"/>
    <b v="1"/>
    <b v="1"/>
    <s v="35"/>
    <x v="0"/>
    <n v="6"/>
    <n v="2"/>
    <n v="1"/>
    <n v="300000"/>
    <n v="1800000"/>
    <n v="600000"/>
    <n v="300000"/>
    <x v="2"/>
  </r>
  <r>
    <x v="47"/>
    <s v="SÃO PAULO_Edital_de_Fomento_7.pdf"/>
    <n v="3000000"/>
    <n v="0.25"/>
    <n v="0.1"/>
    <n v="0.05"/>
    <n v="20"/>
    <m/>
    <x v="0"/>
    <b v="1"/>
    <b v="1"/>
    <s v="35"/>
    <x v="0"/>
    <n v="5"/>
    <n v="2"/>
    <n v="1"/>
    <n v="150000"/>
    <n v="750000"/>
    <n v="300000"/>
    <n v="150000"/>
    <x v="2"/>
  </r>
  <r>
    <x v="47"/>
    <s v="SÃO PAULO_Edital_de_Fomento_8.pdf"/>
    <n v="2000000"/>
    <n v="0.25"/>
    <n v="0.1"/>
    <n v="0.05"/>
    <n v="20"/>
    <m/>
    <x v="0"/>
    <b v="1"/>
    <b v="1"/>
    <s v="35"/>
    <x v="0"/>
    <n v="5"/>
    <n v="2"/>
    <n v="1"/>
    <n v="100000"/>
    <n v="500000"/>
    <n v="200000"/>
    <n v="100000"/>
    <x v="2"/>
  </r>
  <r>
    <x v="47"/>
    <s v="SÃO PAULO_Edital_de_Fomento_9.pdf"/>
    <n v="6000000"/>
    <n v="0.25"/>
    <n v="0.1"/>
    <n v="0.05"/>
    <n v="60"/>
    <m/>
    <x v="0"/>
    <b v="1"/>
    <b v="1"/>
    <s v="35"/>
    <x v="0"/>
    <n v="15"/>
    <n v="6"/>
    <n v="3"/>
    <n v="100000"/>
    <n v="1500000"/>
    <n v="600000"/>
    <n v="300000"/>
    <x v="2"/>
  </r>
  <r>
    <x v="47"/>
    <s v="SÃO PAULO_Edital_de_Premiação_1.pdf"/>
    <n v="2000000"/>
    <n v="0.25"/>
    <n v="0.1"/>
    <n v="0.05"/>
    <n v="20"/>
    <m/>
    <x v="0"/>
    <b v="1"/>
    <b v="1"/>
    <s v="35"/>
    <x v="0"/>
    <n v="5"/>
    <n v="2"/>
    <n v="1"/>
    <n v="100000"/>
    <n v="500000"/>
    <n v="200000"/>
    <n v="100000"/>
    <x v="3"/>
  </r>
  <r>
    <x v="47"/>
    <s v="2024-42_SP_PRÊMIO.pdf"/>
    <n v="1600000"/>
    <n v="0.25"/>
    <n v="0.1"/>
    <n v="0.05"/>
    <n v="20"/>
    <s v="IDOSO"/>
    <x v="0"/>
    <b v="1"/>
    <b v="1"/>
    <s v="35"/>
    <x v="0"/>
    <n v="5"/>
    <n v="2"/>
    <n v="1"/>
    <n v="80000"/>
    <n v="400000"/>
    <n v="160000"/>
    <n v="80000"/>
    <x v="3"/>
  </r>
  <r>
    <x v="47"/>
    <s v="SÃO PAULO_Edital_de_Subsídio_1.pdf"/>
    <n v="6000000"/>
    <n v="0.25"/>
    <n v="0.1"/>
    <n v="0.05"/>
    <n v="20"/>
    <m/>
    <x v="0"/>
    <b v="1"/>
    <b v="1"/>
    <s v="35"/>
    <x v="0"/>
    <n v="5"/>
    <n v="2"/>
    <n v="1"/>
    <n v="300000"/>
    <n v="1500000"/>
    <n v="600000"/>
    <n v="300000"/>
    <x v="4"/>
  </r>
  <r>
    <x v="47"/>
    <s v="SÃO PAULO_Edital_de_Subsídio_2.pdf"/>
    <n v="4000000"/>
    <n v="0.25"/>
    <n v="0.1"/>
    <n v="0.05"/>
    <n v="20"/>
    <m/>
    <x v="0"/>
    <b v="1"/>
    <b v="1"/>
    <s v="35"/>
    <x v="0"/>
    <n v="5"/>
    <n v="2"/>
    <n v="1"/>
    <n v="200000"/>
    <n v="1000000"/>
    <n v="400000"/>
    <n v="200000"/>
    <x v="4"/>
  </r>
  <r>
    <x v="47"/>
    <s v="SÃO PAULO_Edital_de_Fomento_1.pdf"/>
    <n v="3000000"/>
    <n v="0.25"/>
    <n v="0.1"/>
    <n v="0.05"/>
    <n v="30"/>
    <m/>
    <x v="0"/>
    <b v="1"/>
    <b v="1"/>
    <s v="35"/>
    <x v="0"/>
    <n v="8"/>
    <n v="3"/>
    <n v="2"/>
    <n v="100000"/>
    <n v="800000"/>
    <n v="300000"/>
    <n v="200000"/>
    <x v="2"/>
  </r>
  <r>
    <x v="47"/>
    <s v="SÃO PAULO_Edital_de_Subsídio_a_Espaços_Culturais_1.pdf"/>
    <n v="40000000"/>
    <n v="0.25"/>
    <n v="0.1"/>
    <n v="0.05"/>
    <n v="80"/>
    <m/>
    <x v="0"/>
    <b v="1"/>
    <b v="1"/>
    <s v="35"/>
    <x v="0"/>
    <n v="20"/>
    <n v="8"/>
    <n v="4"/>
    <n v="500000"/>
    <n v="10000000"/>
    <n v="4000000"/>
    <n v="2000000"/>
    <x v="4"/>
  </r>
  <r>
    <x v="47"/>
    <s v="SÃO PAULO_Edital_de_Subsídio_a_Espaços_Culturais_2.pdf"/>
    <n v="15000000"/>
    <n v="0.25"/>
    <n v="0.1"/>
    <n v="0.05"/>
    <n v="20"/>
    <m/>
    <x v="0"/>
    <b v="1"/>
    <b v="1"/>
    <s v="35"/>
    <x v="0"/>
    <n v="5"/>
    <n v="2"/>
    <n v="1"/>
    <n v="750000"/>
    <n v="3750000"/>
    <n v="1500000"/>
    <n v="750000"/>
    <x v="4"/>
  </r>
  <r>
    <x v="47"/>
    <s v="SÃO PAULO_Edital_de_Subsídio_a_Espaços_Culturais_3.pdf"/>
    <n v="3000000"/>
    <n v="0.25"/>
    <n v="0.1"/>
    <n v="0.05"/>
    <n v="10"/>
    <m/>
    <x v="0"/>
    <b v="1"/>
    <b v="1"/>
    <s v="35"/>
    <x v="0"/>
    <n v="2"/>
    <n v="1"/>
    <n v="0"/>
    <n v="300000"/>
    <n v="600000"/>
    <n v="300000"/>
    <n v="0"/>
    <x v="4"/>
  </r>
  <r>
    <x v="47"/>
    <s v="SÃO PAULO_Edital_de_Subsídio_a_Espaços_Culturais_4.pdf"/>
    <n v="12000000"/>
    <n v="0.25"/>
    <n v="0.1"/>
    <n v="0.05"/>
    <n v="40"/>
    <m/>
    <x v="0"/>
    <b v="1"/>
    <b v="1"/>
    <s v="35"/>
    <x v="0"/>
    <n v="10"/>
    <n v="4"/>
    <n v="2"/>
    <n v="300000"/>
    <n v="3000000"/>
    <n v="1200000"/>
    <n v="600000"/>
    <x v="4"/>
  </r>
  <r>
    <x v="47"/>
    <s v="SÃO PAULO_Edital_Premiação_-_Pontos_e_Pontões_PNCV_1.pdf"/>
    <n v="6300000"/>
    <n v="0.25"/>
    <n v="0.1"/>
    <n v="0.05"/>
    <n v="150"/>
    <m/>
    <x v="0"/>
    <b v="1"/>
    <b v="1"/>
    <s v="35"/>
    <x v="0"/>
    <n v="38"/>
    <n v="15"/>
    <n v="8"/>
    <n v="42000"/>
    <n v="1596000"/>
    <n v="630000"/>
    <n v="336000"/>
    <x v="1"/>
  </r>
  <r>
    <x v="47"/>
    <s v="SÃO PAULO_Edital_TCC_-_Pontos_PNCV_1.pdf"/>
    <n v="22100000"/>
    <n v="0.25"/>
    <n v="0.1"/>
    <n v="0.05"/>
    <n v="130"/>
    <m/>
    <x v="0"/>
    <b v="1"/>
    <b v="1"/>
    <s v="35"/>
    <x v="0"/>
    <n v="32"/>
    <n v="13"/>
    <n v="6"/>
    <n v="170000"/>
    <n v="5440000"/>
    <n v="2210000"/>
    <n v="1020000"/>
    <x v="1"/>
  </r>
  <r>
    <x v="47"/>
    <s v="SÃO PAULO_Edital_TCC_-_Pontões_PNCV_1.pdf"/>
    <n v="5200000"/>
    <n v="0.25"/>
    <n v="0.1"/>
    <n v="0.05"/>
    <n v="8"/>
    <m/>
    <x v="0"/>
    <b v="1"/>
    <b v="1"/>
    <s v="35"/>
    <x v="0"/>
    <n v="2"/>
    <n v="1"/>
    <n v="0"/>
    <n v="650000"/>
    <n v="1300000"/>
    <n v="650000"/>
    <n v="0"/>
    <x v="1"/>
  </r>
  <r>
    <x v="48"/>
    <s v="2025-02_SAOPAULO_FOMENTO.pdf.pdf"/>
    <n v="8000000"/>
    <n v="0.25"/>
    <n v="0.1"/>
    <n v="0.05"/>
    <n v="2"/>
    <m/>
    <x v="0"/>
    <b v="1"/>
    <b v="1"/>
    <s v="3550308"/>
    <x v="1"/>
    <n v="0"/>
    <n v="0"/>
    <n v="0"/>
    <n v="4000000"/>
    <n v="0"/>
    <n v="0"/>
    <n v="0"/>
    <x v="2"/>
  </r>
  <r>
    <x v="48"/>
    <s v="2025-09_SAOPAULO_FOMENTO.pdf"/>
    <n v="7000000"/>
    <n v="0.25"/>
    <n v="0.1"/>
    <n v="0.05"/>
    <n v="10"/>
    <m/>
    <x v="0"/>
    <b v="1"/>
    <b v="1"/>
    <s v="3550308"/>
    <x v="1"/>
    <n v="2"/>
    <n v="1"/>
    <n v="0"/>
    <n v="700000"/>
    <n v="1400000"/>
    <n v="700000"/>
    <n v="0"/>
    <x v="2"/>
  </r>
  <r>
    <x v="48"/>
    <s v="2025-03_SAOPAULO_FOMENTO.pdf"/>
    <n v="685200"/>
    <n v="0.25"/>
    <n v="0.1"/>
    <n v="0.05"/>
    <n v="23"/>
    <m/>
    <x v="0"/>
    <b v="1"/>
    <b v="1"/>
    <s v="3550308"/>
    <x v="1"/>
    <n v="6"/>
    <n v="2"/>
    <n v="1"/>
    <n v="29791.304347826092"/>
    <n v="178747.82608695651"/>
    <n v="59582.608695652183"/>
    <n v="29791.304347826092"/>
    <x v="2"/>
  </r>
  <r>
    <x v="48"/>
    <s v="2025-06_SAOPAULO_FOMENTO.pdf"/>
    <n v="400000"/>
    <n v="0.25"/>
    <n v="0.1"/>
    <n v="0.05"/>
    <n v="1"/>
    <m/>
    <x v="0"/>
    <b v="1"/>
    <b v="1"/>
    <s v="3550308"/>
    <x v="1"/>
    <n v="0"/>
    <n v="0"/>
    <n v="0"/>
    <n v="400000"/>
    <n v="0"/>
    <n v="0"/>
    <n v="0"/>
    <x v="2"/>
  </r>
  <r>
    <x v="48"/>
    <s v="2024-36_SAOPAULO_CULTURAVIVA.pdf"/>
    <n v="24300000"/>
    <n v="0.25"/>
    <n v="0.1"/>
    <n v="0.05"/>
    <n v="510"/>
    <m/>
    <x v="0"/>
    <b v="1"/>
    <b v="1"/>
    <s v="3550308"/>
    <x v="1"/>
    <n v="128"/>
    <n v="51"/>
    <n v="26"/>
    <n v="47647.058823529413"/>
    <n v="6098823.5294117648"/>
    <n v="2430000"/>
    <n v="1238823.529411765"/>
    <x v="1"/>
  </r>
  <r>
    <x v="48"/>
    <s v="2025-08_SAOPAULO_FOMENTO.pdf"/>
    <n v="3000000"/>
    <n v="0.25"/>
    <n v="0.1"/>
    <n v="0.05"/>
    <n v="8"/>
    <m/>
    <x v="0"/>
    <b v="1"/>
    <b v="1"/>
    <s v="3550308"/>
    <x v="1"/>
    <n v="2"/>
    <n v="1"/>
    <n v="0"/>
    <n v="375000"/>
    <n v="750000"/>
    <n v="375000"/>
    <n v="0"/>
    <x v="2"/>
  </r>
  <r>
    <x v="48"/>
    <s v="2025-01_SAOPAULO_FOMENTO.pdf"/>
    <n v="4000000"/>
    <n v="0.25"/>
    <n v="0.1"/>
    <n v="0.05"/>
    <n v="15"/>
    <m/>
    <x v="0"/>
    <b v="1"/>
    <b v="1"/>
    <s v="3550308"/>
    <x v="1"/>
    <n v="4"/>
    <n v="2"/>
    <n v="1"/>
    <n v="266666.66666666669"/>
    <n v="1066666.666666667"/>
    <n v="533333.33333333337"/>
    <n v="266666.66666666669"/>
    <x v="2"/>
  </r>
  <r>
    <x v="48"/>
    <s v="2025-05_SAOPAULO_FOMENTO.pdf"/>
    <n v="800000"/>
    <n v="0.25"/>
    <n v="0.1"/>
    <n v="0.05"/>
    <n v="10"/>
    <m/>
    <x v="0"/>
    <b v="1"/>
    <b v="1"/>
    <s v="3550308"/>
    <x v="1"/>
    <n v="2"/>
    <n v="1"/>
    <n v="0"/>
    <n v="80000"/>
    <n v="160000"/>
    <n v="80000"/>
    <n v="0"/>
    <x v="2"/>
  </r>
  <r>
    <x v="48"/>
    <s v="2025-04_SAOPAULO_FOMENTO.pdf"/>
    <n v="800000"/>
    <n v="0.25"/>
    <n v="0.37"/>
    <n v="0.06"/>
    <n v="16"/>
    <s v="POVOS E COMUNIDADES TRADICIONAIS"/>
    <x v="0"/>
    <b v="1"/>
    <b v="1"/>
    <s v="3550308"/>
    <x v="1"/>
    <n v="4"/>
    <n v="6"/>
    <n v="1"/>
    <n v="50000"/>
    <n v="200000"/>
    <n v="300000"/>
    <n v="50000"/>
    <x v="2"/>
  </r>
  <r>
    <x v="48"/>
    <s v="2024-22_SAOPAULO_FOMENTO.pdf"/>
    <n v="2500000"/>
    <n v="0"/>
    <n v="0"/>
    <n v="0"/>
    <n v="15"/>
    <m/>
    <x v="0"/>
    <b v="1"/>
    <b v="0"/>
    <s v="3550308"/>
    <x v="1"/>
    <n v="0"/>
    <n v="0"/>
    <n v="0"/>
    <n v="166666.66666666669"/>
    <n v="0"/>
    <n v="0"/>
    <n v="0"/>
    <x v="2"/>
  </r>
  <r>
    <x v="48"/>
    <s v="2024-27_SAOPAULO_FOMENTO.pdf"/>
    <n v="13700000"/>
    <n v="0"/>
    <n v="0"/>
    <n v="0"/>
    <m/>
    <s v="PERIFERIAS"/>
    <x v="0"/>
    <b v="1"/>
    <b v="0"/>
    <s v="3550308"/>
    <x v="1"/>
    <m/>
    <m/>
    <m/>
    <m/>
    <n v="0"/>
    <n v="0"/>
    <n v="0"/>
    <x v="2"/>
  </r>
  <r>
    <x v="49"/>
    <s v="SERGIPE_CULTURA VIVA_03.pdf"/>
    <n v="1500000"/>
    <n v="0.25"/>
    <n v="0.1"/>
    <n v="0.05"/>
    <n v="15"/>
    <m/>
    <x v="0"/>
    <b v="1"/>
    <b v="1"/>
    <s v="28"/>
    <x v="0"/>
    <n v="4"/>
    <n v="2"/>
    <n v="1"/>
    <n v="100000"/>
    <n v="400000"/>
    <n v="200000"/>
    <n v="100000"/>
    <x v="1"/>
  </r>
  <r>
    <x v="49"/>
    <s v="SERGIPE_CULTURA VIVA_04.pdf"/>
    <n v="600000"/>
    <n v="0.25"/>
    <n v="0.1"/>
    <n v="0.05"/>
    <n v="2"/>
    <m/>
    <x v="0"/>
    <b v="1"/>
    <b v="1"/>
    <s v="28"/>
    <x v="0"/>
    <n v="0"/>
    <n v="0"/>
    <n v="0"/>
    <n v="300000"/>
    <n v="0"/>
    <n v="0"/>
    <n v="0"/>
    <x v="1"/>
  </r>
  <r>
    <x v="49"/>
    <s v="SERGIPE_CULTURA VIVA_05.pdf"/>
    <n v="950000"/>
    <n v="0.25"/>
    <n v="0.1"/>
    <n v="0.05"/>
    <n v="80"/>
    <m/>
    <x v="0"/>
    <b v="1"/>
    <b v="1"/>
    <s v="28"/>
    <x v="0"/>
    <n v="20"/>
    <n v="8"/>
    <n v="4"/>
    <n v="11875"/>
    <n v="237500"/>
    <n v="95000"/>
    <n v="47500"/>
    <x v="1"/>
  </r>
  <r>
    <x v="49"/>
    <s v="SERGIPE_FOMENTO_02.pdf"/>
    <n v="400000"/>
    <n v="0.25"/>
    <n v="0.1"/>
    <n v="0.05"/>
    <n v="10"/>
    <m/>
    <x v="0"/>
    <b v="1"/>
    <b v="1"/>
    <s v="28"/>
    <x v="0"/>
    <n v="2"/>
    <n v="1"/>
    <n v="0"/>
    <n v="40000"/>
    <n v="80000"/>
    <n v="40000"/>
    <n v="0"/>
    <x v="2"/>
  </r>
  <r>
    <x v="49"/>
    <s v="SERGIPE_FOMENTO_06.pdf"/>
    <n v="3000000"/>
    <n v="0.25"/>
    <n v="0.1"/>
    <n v="0.05"/>
    <n v="21"/>
    <m/>
    <x v="0"/>
    <b v="1"/>
    <b v="1"/>
    <s v="28"/>
    <x v="0"/>
    <n v="5"/>
    <n v="2"/>
    <n v="1"/>
    <n v="142857.1428571429"/>
    <n v="714285.71428571432"/>
    <n v="285714.28571428568"/>
    <n v="142857.1428571429"/>
    <x v="2"/>
  </r>
  <r>
    <x v="49"/>
    <s v="SERGIPE_FOMENTO_07.pdf"/>
    <n v="1040000"/>
    <n v="0.25"/>
    <n v="0.1"/>
    <n v="0.05"/>
    <n v="40"/>
    <m/>
    <x v="0"/>
    <b v="1"/>
    <b v="1"/>
    <s v="28"/>
    <x v="0"/>
    <n v="10"/>
    <n v="4"/>
    <n v="2"/>
    <n v="26000"/>
    <n v="260000"/>
    <n v="104000"/>
    <n v="52000"/>
    <x v="2"/>
  </r>
  <r>
    <x v="49"/>
    <s v="SERGIPE_FOMENTO_09.pdf"/>
    <n v="1440000"/>
    <n v="0.25"/>
    <n v="0.1"/>
    <n v="0.05"/>
    <n v="25"/>
    <m/>
    <x v="0"/>
    <b v="1"/>
    <b v="1"/>
    <s v="28"/>
    <x v="0"/>
    <n v="6"/>
    <n v="2"/>
    <n v="1"/>
    <n v="57600"/>
    <n v="345600"/>
    <n v="115200"/>
    <n v="57600"/>
    <x v="2"/>
  </r>
  <r>
    <x v="49"/>
    <s v="SERGIPE_Subsidio-08_2025.pdf"/>
    <n v="3120000"/>
    <n v="0.25"/>
    <n v="0.1"/>
    <n v="0.05"/>
    <n v="39"/>
    <m/>
    <x v="0"/>
    <b v="1"/>
    <b v="1"/>
    <s v="28"/>
    <x v="0"/>
    <n v="10"/>
    <n v="4"/>
    <n v="2"/>
    <n v="80000"/>
    <n v="800000"/>
    <n v="320000"/>
    <n v="160000"/>
    <x v="4"/>
  </r>
  <r>
    <x v="50"/>
    <s v="2024-09_TERESINA_CULTURAVIVA.pdf"/>
    <n v="1000000"/>
    <n v="0.2"/>
    <n v="0.2"/>
    <n v="0.2"/>
    <n v="5"/>
    <m/>
    <x v="1"/>
    <b v="1"/>
    <b v="1"/>
    <s v="2211001"/>
    <x v="1"/>
    <n v="1"/>
    <n v="1"/>
    <n v="1"/>
    <n v="200000"/>
    <n v="200000"/>
    <n v="200000"/>
    <n v="200000"/>
    <x v="1"/>
  </r>
  <r>
    <x v="50"/>
    <s v="2024-07_TERESINA_FOMENTO.pdf"/>
    <n v="3500000"/>
    <n v="0.25"/>
    <n v="0.1"/>
    <n v="0.05"/>
    <n v="37"/>
    <m/>
    <x v="0"/>
    <b v="1"/>
    <b v="1"/>
    <s v="2211001"/>
    <x v="1"/>
    <n v="9"/>
    <n v="4"/>
    <n v="2"/>
    <n v="94594.5945945946"/>
    <n v="851351.35135135136"/>
    <n v="378378.3783783784"/>
    <n v="189189.1891891892"/>
    <x v="2"/>
  </r>
  <r>
    <x v="50"/>
    <s v="2024-08_TERESINA_PRÊMIO.pdf"/>
    <n v="353008.73"/>
    <n v="0.25"/>
    <n v="0.1"/>
    <n v="0.05"/>
    <n v="71"/>
    <s v="MESTRES E MESTRAS"/>
    <x v="0"/>
    <b v="1"/>
    <b v="1"/>
    <s v="2211001"/>
    <x v="1"/>
    <n v="18"/>
    <n v="7"/>
    <n v="4"/>
    <n v="4971.9539436619716"/>
    <n v="89495.170985915494"/>
    <n v="34803.677605633799"/>
    <n v="19887.81577464789"/>
    <x v="3"/>
  </r>
  <r>
    <x v="50"/>
    <s v="2024-10_TERESINA_CULTURAVIVA.pdf"/>
    <n v="600000"/>
    <n v="0.25"/>
    <n v="0.1"/>
    <n v="0.05"/>
    <n v="30"/>
    <m/>
    <x v="0"/>
    <b v="1"/>
    <b v="1"/>
    <s v="2211001"/>
    <x v="1"/>
    <n v="8"/>
    <n v="3"/>
    <n v="2"/>
    <n v="20000"/>
    <n v="160000"/>
    <n v="60000"/>
    <n v="40000"/>
    <x v="1"/>
  </r>
  <r>
    <x v="51"/>
    <s v="2024-34_TOCANTINS_BOLSA.pdf"/>
    <n v="500000"/>
    <n v="0.25"/>
    <n v="0.1"/>
    <n v="0.05"/>
    <m/>
    <m/>
    <x v="0"/>
    <b v="1"/>
    <b v="1"/>
    <s v="17"/>
    <x v="0"/>
    <m/>
    <m/>
    <m/>
    <m/>
    <n v="125000"/>
    <n v="50000"/>
    <n v="25000"/>
    <x v="0"/>
  </r>
  <r>
    <x v="51"/>
    <s v="TOCANTINS_Edital_de_Fomento_1.pdf"/>
    <n v="4825000"/>
    <n v="0.25"/>
    <n v="0.1"/>
    <n v="0.05"/>
    <n v="86"/>
    <m/>
    <x v="0"/>
    <b v="1"/>
    <b v="1"/>
    <s v="17"/>
    <x v="0"/>
    <n v="22"/>
    <n v="9"/>
    <n v="4"/>
    <n v="56104.651162790688"/>
    <n v="1234302.3255813951"/>
    <n v="504941.86046511628"/>
    <n v="224418.60465116281"/>
    <x v="2"/>
  </r>
  <r>
    <x v="51"/>
    <s v="TOCANTINS_Edital_de_Fomento_2.pdf"/>
    <n v="2360000"/>
    <n v="0.25"/>
    <n v="0.1"/>
    <n v="0.05"/>
    <n v="77"/>
    <m/>
    <x v="0"/>
    <b v="1"/>
    <b v="1"/>
    <s v="17"/>
    <x v="0"/>
    <n v="19"/>
    <n v="8"/>
    <n v="4"/>
    <n v="30649.35064935065"/>
    <n v="582337.6623376623"/>
    <n v="245194.8051948052"/>
    <n v="122597.4025974026"/>
    <x v="2"/>
  </r>
  <r>
    <x v="51"/>
    <s v="TOCANTINS_Edital_de_Fomento_3.pdf"/>
    <n v="2360000"/>
    <n v="0.25"/>
    <n v="0.1"/>
    <n v="0.05"/>
    <n v="77"/>
    <m/>
    <x v="0"/>
    <b v="1"/>
    <b v="1"/>
    <s v="17"/>
    <x v="0"/>
    <n v="19"/>
    <n v="8"/>
    <n v="4"/>
    <n v="30649.35064935065"/>
    <n v="582337.6623376623"/>
    <n v="245194.8051948052"/>
    <n v="122597.4025974026"/>
    <x v="2"/>
  </r>
  <r>
    <x v="51"/>
    <s v="TOCANTINS_Edital_de_Fomento_4.pdf"/>
    <n v="2360000"/>
    <n v="0.25"/>
    <n v="0.1"/>
    <n v="0.05"/>
    <n v="77"/>
    <m/>
    <x v="0"/>
    <b v="1"/>
    <b v="1"/>
    <s v="17"/>
    <x v="0"/>
    <n v="19"/>
    <n v="8"/>
    <n v="4"/>
    <n v="30649.35064935065"/>
    <n v="582337.6623376623"/>
    <n v="245194.8051948052"/>
    <n v="122597.4025974026"/>
    <x v="2"/>
  </r>
  <r>
    <x v="51"/>
    <s v="TOCANTINS_Edital_de_Fomento_5.pdf"/>
    <n v="3570000"/>
    <n v="0.25"/>
    <n v="0.1"/>
    <n v="0.05"/>
    <n v="22"/>
    <m/>
    <x v="0"/>
    <b v="1"/>
    <b v="1"/>
    <s v="17"/>
    <x v="0"/>
    <n v="6"/>
    <n v="2"/>
    <n v="1"/>
    <n v="162272.72727272729"/>
    <n v="973636.36363636353"/>
    <n v="324545.45454545447"/>
    <n v="162272.72727272729"/>
    <x v="2"/>
  </r>
  <r>
    <x v="51"/>
    <s v="2024-33_TOCANTINS_BOLSA.pdf"/>
    <n v="1125000"/>
    <n v="0.25"/>
    <n v="0"/>
    <n v="0.05"/>
    <n v="70"/>
    <s v="POVOS E COMUNIDADES TRADICIONAIS"/>
    <x v="0"/>
    <b v="1"/>
    <b v="1"/>
    <s v="17"/>
    <x v="0"/>
    <n v="18"/>
    <n v="0"/>
    <n v="4"/>
    <n v="16071.428571428571"/>
    <n v="289285.71428571432"/>
    <n v="0"/>
    <n v="64285.714285714283"/>
    <x v="2"/>
  </r>
  <r>
    <x v="51"/>
    <s v="2024-31_TOCANTINS_BOLSA.pdf"/>
    <n v="600000"/>
    <n v="0"/>
    <n v="1"/>
    <n v="0.05"/>
    <n v="40"/>
    <s v="INDÍGENA"/>
    <x v="0"/>
    <b v="1"/>
    <b v="1"/>
    <s v="17"/>
    <x v="0"/>
    <n v="0"/>
    <n v="40"/>
    <n v="2"/>
    <n v="15000"/>
    <n v="0"/>
    <n v="600000"/>
    <n v="30000"/>
    <x v="0"/>
  </r>
  <r>
    <x v="51"/>
    <s v="2024-32_TOCANTINS_BOLSA.pdf"/>
    <n v="600000"/>
    <n v="0"/>
    <n v="0"/>
    <n v="0.05"/>
    <n v="40"/>
    <s v="POVOS E COMUNIDADES TRADICIONAIS (QUILOMBOLA)"/>
    <x v="0"/>
    <b v="1"/>
    <b v="1"/>
    <s v="17"/>
    <x v="0"/>
    <n v="0"/>
    <n v="0"/>
    <n v="2"/>
    <n v="15000"/>
    <n v="0"/>
    <n v="0"/>
    <n v="30000"/>
    <x v="0"/>
  </r>
  <r>
    <x v="51"/>
    <s v="TOCANTINS_Edital_de_Subsídio_a_Espaços_Culturais_1.pdf"/>
    <n v="4000000"/>
    <n v="0.25"/>
    <n v="0.1"/>
    <n v="0.05"/>
    <n v="50"/>
    <m/>
    <x v="0"/>
    <b v="1"/>
    <b v="1"/>
    <s v="17"/>
    <x v="0"/>
    <n v="12"/>
    <n v="5"/>
    <n v="2"/>
    <n v="80000"/>
    <n v="960000"/>
    <n v="400000"/>
    <n v="160000"/>
    <x v="4"/>
  </r>
  <r>
    <x v="51"/>
    <s v="TOCANTINS_Edital_Premiação_-_Pontos_e_Pontões_PNCV_1.pdf"/>
    <n v="1230000"/>
    <n v="0.25"/>
    <n v="0.1"/>
    <n v="0.05"/>
    <n v="35"/>
    <m/>
    <x v="0"/>
    <b v="1"/>
    <b v="1"/>
    <s v="17"/>
    <x v="0"/>
    <n v="9"/>
    <n v="4"/>
    <n v="2"/>
    <n v="35142.857142857138"/>
    <n v="316285.71428571432"/>
    <n v="140571.42857142861"/>
    <n v="70285.71428571429"/>
    <x v="1"/>
  </r>
  <r>
    <x v="51"/>
    <s v="TOCANTINS_Edital_TCC_-_Pontos_PNCV_1.pdf"/>
    <n v="780000"/>
    <n v="0.25"/>
    <n v="0.1"/>
    <n v="0.05"/>
    <n v="6"/>
    <m/>
    <x v="0"/>
    <b v="1"/>
    <b v="1"/>
    <s v="17"/>
    <x v="0"/>
    <n v="2"/>
    <n v="1"/>
    <n v="0"/>
    <n v="130000"/>
    <n v="260000"/>
    <n v="130000"/>
    <n v="0"/>
    <x v="1"/>
  </r>
  <r>
    <x v="51"/>
    <s v="TOCANTINS_Edital_TCC_-_Pontões_PNCV_1.pdf"/>
    <n v="360000"/>
    <n v="0"/>
    <n v="0"/>
    <n v="0"/>
    <n v="1"/>
    <m/>
    <x v="0"/>
    <b v="1"/>
    <b v="1"/>
    <s v="17"/>
    <x v="0"/>
    <n v="0"/>
    <n v="0"/>
    <n v="0"/>
    <n v="360000"/>
    <n v="0"/>
    <n v="0"/>
    <n v="0"/>
    <x v="1"/>
  </r>
  <r>
    <x v="52"/>
    <s v="2024-04_VITÓRIA_FOMENTO.pdf"/>
    <n v="600000"/>
    <n v="0.25"/>
    <n v="0.1"/>
    <n v="0.05"/>
    <n v="50"/>
    <m/>
    <x v="0"/>
    <b v="1"/>
    <b v="1"/>
    <s v="3205309"/>
    <x v="1"/>
    <n v="12"/>
    <n v="5"/>
    <n v="2"/>
    <n v="12000"/>
    <n v="144000"/>
    <n v="60000"/>
    <n v="24000"/>
    <x v="2"/>
  </r>
  <r>
    <x v="52"/>
    <s v="2024-02_VITÓRIA_CULTURAVIVA.pdf"/>
    <n v="610558.69999999995"/>
    <n v="0.25"/>
    <n v="0.1"/>
    <n v="0.05"/>
    <n v="21"/>
    <m/>
    <x v="0"/>
    <b v="1"/>
    <b v="1"/>
    <s v="3205309"/>
    <x v="1"/>
    <n v="5"/>
    <n v="2"/>
    <n v="1"/>
    <n v="29074.22380952381"/>
    <n v="145371.11904761899"/>
    <n v="58148.447619047613"/>
    <n v="29074.22380952381"/>
    <x v="1"/>
  </r>
  <r>
    <x v="52"/>
    <s v="2024-06_VITÓRIA_FOMENTO.pdf"/>
    <n v="200000"/>
    <n v="0.25"/>
    <n v="0.1"/>
    <n v="0.05"/>
    <n v="6"/>
    <m/>
    <x v="0"/>
    <b v="1"/>
    <b v="1"/>
    <s v="3205309"/>
    <x v="1"/>
    <n v="2"/>
    <n v="1"/>
    <n v="0"/>
    <n v="33333.333333333343"/>
    <n v="66666.666666666672"/>
    <n v="33333.333333333343"/>
    <n v="0"/>
    <x v="2"/>
  </r>
  <r>
    <x v="52"/>
    <s v="2024-05_VITÓRIA_SUBSÍDIO.pdf"/>
    <n v="210000"/>
    <n v="0.25"/>
    <n v="0.1"/>
    <n v="0.05"/>
    <n v="18"/>
    <m/>
    <x v="0"/>
    <b v="1"/>
    <b v="1"/>
    <s v="3205309"/>
    <x v="1"/>
    <n v="4"/>
    <n v="2"/>
    <n v="1"/>
    <n v="11666.66666666667"/>
    <n v="46666.666666666657"/>
    <n v="23333.333333333328"/>
    <n v="11666.66666666667"/>
    <x v="4"/>
  </r>
  <r>
    <x v="52"/>
    <s v="2024-07_VITÓRIA_FOMENTO.pdf"/>
    <n v="420000"/>
    <n v="0.25"/>
    <n v="0.1"/>
    <n v="0"/>
    <n v="7"/>
    <m/>
    <x v="0"/>
    <b v="1"/>
    <b v="1"/>
    <s v="3205309"/>
    <x v="1"/>
    <n v="2"/>
    <n v="1"/>
    <n v="0"/>
    <n v="60000"/>
    <n v="120000"/>
    <n v="60000"/>
    <n v="0"/>
    <x v="2"/>
  </r>
  <r>
    <x v="52"/>
    <s v="2024-03_VITÓRIA_FOMENTO.pdf"/>
    <n v="300000"/>
    <n v="0"/>
    <n v="0"/>
    <n v="0"/>
    <n v="4"/>
    <m/>
    <x v="0"/>
    <b v="1"/>
    <b v="1"/>
    <s v="3205309"/>
    <x v="1"/>
    <n v="0"/>
    <n v="0"/>
    <n v="0"/>
    <n v="75000"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6">
  <r>
    <x v="0"/>
    <s v="ACRE_BOLSA_112024.pdf"/>
    <n v="696000"/>
    <n v="0.26"/>
    <n v="0.12"/>
    <n v="0.12"/>
    <n v="42"/>
    <x v="0"/>
    <b v="1"/>
    <b v="1"/>
    <b v="1"/>
    <s v="12"/>
    <x v="0"/>
    <n v="11"/>
    <n v="5"/>
    <n v="5"/>
    <n v="16571.428571428569"/>
    <n v="182285.71428571429"/>
    <n v="82857.14285714287"/>
    <n v="82857.14285714287"/>
    <s v="BOLSA"/>
  </r>
  <r>
    <x v="0"/>
    <s v="ACRE_CULTURAVIVA_012025.pdf"/>
    <n v="1470000"/>
    <n v="0.28570000000000001"/>
    <n v="0.1429"/>
    <n v="0.1429"/>
    <n v="42"/>
    <x v="0"/>
    <b v="1"/>
    <b v="1"/>
    <b v="1"/>
    <s v="12"/>
    <x v="0"/>
    <n v="12"/>
    <n v="6"/>
    <n v="6"/>
    <n v="35000"/>
    <n v="420000"/>
    <n v="210000"/>
    <n v="210000"/>
    <s v="CULTURA VIVA"/>
  </r>
  <r>
    <x v="0"/>
    <s v="ACRE_CULTURAVIVA_122024.pdf"/>
    <n v="1672276.38"/>
    <n v="0.16669999999999999"/>
    <n v="0.16669999999999999"/>
    <n v="0.16669999999999999"/>
    <n v="30"/>
    <x v="0"/>
    <b v="0"/>
    <b v="1"/>
    <b v="1"/>
    <s v="12"/>
    <x v="0"/>
    <n v="5"/>
    <n v="5"/>
    <n v="5"/>
    <n v="55742.545999999988"/>
    <n v="278712.73"/>
    <n v="278712.73"/>
    <n v="278712.73"/>
    <s v="CULTURA VIVA"/>
  </r>
  <r>
    <x v="0"/>
    <s v="ACRE_CULTURAVIVA_132024.pdf"/>
    <n v="418069.1"/>
    <n v="0"/>
    <n v="0"/>
    <n v="0"/>
    <n v="1"/>
    <x v="0"/>
    <b v="1"/>
    <b v="1"/>
    <b v="1"/>
    <s v="12"/>
    <x v="0"/>
    <n v="0"/>
    <n v="0"/>
    <n v="0"/>
    <n v="418069.1"/>
    <n v="0"/>
    <n v="0"/>
    <n v="0"/>
    <s v="CULTURA VIVA"/>
  </r>
  <r>
    <x v="0"/>
    <s v="ACRE_FOMENTO_062024.pdf"/>
    <n v="4100000"/>
    <n v="0.25"/>
    <n v="0.18"/>
    <n v="0.18"/>
    <n v="122"/>
    <x v="0"/>
    <b v="1"/>
    <b v="1"/>
    <b v="1"/>
    <s v="12"/>
    <x v="0"/>
    <n v="30"/>
    <n v="22"/>
    <n v="22"/>
    <n v="33606.557377049183"/>
    <n v="1008196.721311475"/>
    <n v="739344.26229508198"/>
    <n v="739344.26229508198"/>
    <s v="FOMENTO"/>
  </r>
  <r>
    <x v="0"/>
    <s v="ACRE_FOMENTO_072024.pdf"/>
    <n v="300000"/>
    <n v="0.27800000000000002"/>
    <n v="0.111"/>
    <n v="5.6000000000000008E-2"/>
    <n v="18"/>
    <x v="0"/>
    <b v="1"/>
    <b v="1"/>
    <b v="1"/>
    <s v="12"/>
    <x v="0"/>
    <n v="5"/>
    <n v="2"/>
    <n v="1"/>
    <n v="16666.666666666672"/>
    <n v="83333.333333333343"/>
    <n v="33333.333333333343"/>
    <n v="16666.666666666672"/>
    <s v="FOMENTO"/>
  </r>
  <r>
    <x v="0"/>
    <s v="ACRE_FOMENTO_082024.pdf"/>
    <n v="200000"/>
    <n v="0.5"/>
    <n v="0"/>
    <n v="0"/>
    <n v="10"/>
    <x v="0"/>
    <b v="1"/>
    <b v="0"/>
    <b v="1"/>
    <s v="12"/>
    <x v="0"/>
    <n v="5"/>
    <n v="0"/>
    <n v="0"/>
    <n v="20000"/>
    <n v="100000"/>
    <n v="0"/>
    <n v="0"/>
    <s v="FOMENTO"/>
  </r>
  <r>
    <x v="0"/>
    <s v="ACRE_FOMENTO_092024.pdf"/>
    <n v="2500000"/>
    <n v="0.307"/>
    <n v="0.15379999999999999"/>
    <n v="7.6899999999999996E-2"/>
    <n v="13"/>
    <x v="0"/>
    <b v="1"/>
    <b v="1"/>
    <b v="1"/>
    <s v="12"/>
    <x v="0"/>
    <n v="4"/>
    <n v="2"/>
    <n v="1"/>
    <n v="192307.69230769231"/>
    <n v="769230.76923076925"/>
    <n v="384615.38461538462"/>
    <n v="192307.69230769231"/>
    <s v="FOMENTO"/>
  </r>
  <r>
    <x v="0"/>
    <s v="ACRE_PRÊMIO_142024.pdf"/>
    <n v="900000"/>
    <n v="0.2"/>
    <n v="0.2"/>
    <n v="0.2"/>
    <n v="60"/>
    <x v="1"/>
    <b v="1"/>
    <b v="1"/>
    <b v="1"/>
    <s v="12"/>
    <x v="0"/>
    <n v="12"/>
    <n v="12"/>
    <n v="12"/>
    <n v="15000"/>
    <n v="180000"/>
    <n v="180000"/>
    <n v="180000"/>
    <s v="PRÊMIO"/>
  </r>
  <r>
    <x v="0"/>
    <s v="ACRE_PRÊMIO_152024.pdf"/>
    <n v="1200000"/>
    <n v="0"/>
    <n v="1"/>
    <n v="0.15"/>
    <n v="80"/>
    <x v="2"/>
    <b v="1"/>
    <b v="1"/>
    <b v="1"/>
    <s v="12"/>
    <x v="0"/>
    <n v="0"/>
    <n v="80"/>
    <n v="12"/>
    <n v="15000"/>
    <n v="0"/>
    <n v="1200000"/>
    <n v="180000"/>
    <s v="PRÊMIO"/>
  </r>
  <r>
    <x v="0"/>
    <s v="ACRE_SUBSÍDIO_102024.pdf"/>
    <n v="1098000"/>
    <n v="0.26229999999999998"/>
    <n v="0.14749999999999999"/>
    <n v="0.1148"/>
    <n v="61"/>
    <x v="0"/>
    <b v="1"/>
    <b v="1"/>
    <b v="1"/>
    <s v="12"/>
    <x v="0"/>
    <n v="16"/>
    <n v="9"/>
    <n v="7"/>
    <n v="18000"/>
    <n v="288000"/>
    <n v="162000"/>
    <n v="126000"/>
    <s v="SUBSÍDIO"/>
  </r>
  <r>
    <x v="1"/>
    <s v="ALAGOAS_CULTURAVIVA_012025.pdf"/>
    <n v="2616000"/>
    <n v="0.25"/>
    <n v="8.3299999999999999E-2"/>
    <n v="4.1700000000000001E-2"/>
    <n v="24"/>
    <x v="0"/>
    <b v="1"/>
    <b v="1"/>
    <b v="1"/>
    <s v="27"/>
    <x v="0"/>
    <n v="6"/>
    <n v="2"/>
    <n v="1"/>
    <n v="109000"/>
    <n v="654000"/>
    <n v="218000"/>
    <n v="109000"/>
    <s v="CULTURA VIVA"/>
  </r>
  <r>
    <x v="1"/>
    <s v="ALAGOAS_CULTURAVIVA_022025.pdf"/>
    <n v="653000"/>
    <n v="0"/>
    <n v="0"/>
    <n v="0"/>
    <n v="2"/>
    <x v="0"/>
    <b v="1"/>
    <b v="1"/>
    <b v="1"/>
    <s v="27"/>
    <x v="0"/>
    <n v="0"/>
    <n v="0"/>
    <n v="0"/>
    <n v="326500"/>
    <n v="0"/>
    <n v="0"/>
    <n v="0"/>
    <s v="CULTURA VIVA"/>
  </r>
  <r>
    <x v="1"/>
    <s v="ALAGOAS_FOMENTO_072024.pdf"/>
    <n v="900000"/>
    <n v="0.25640000000000002"/>
    <n v="7.6899999999999996E-2"/>
    <n v="5.1299999999999998E-2"/>
    <n v="39"/>
    <x v="0"/>
    <b v="1"/>
    <b v="0"/>
    <b v="1"/>
    <s v="27"/>
    <x v="0"/>
    <n v="10"/>
    <n v="3"/>
    <n v="2"/>
    <n v="23076.923076923082"/>
    <n v="230769.23076923081"/>
    <n v="69230.769230769234"/>
    <n v="46153.846153846163"/>
    <s v="FOMENTO"/>
  </r>
  <r>
    <x v="1"/>
    <s v="ALAGOAS_FOMENTO_082024.pdf"/>
    <n v="1100000"/>
    <n v="0.25"/>
    <n v="0.125"/>
    <n v="0.125"/>
    <n v="16"/>
    <x v="0"/>
    <b v="1"/>
    <b v="1"/>
    <b v="1"/>
    <s v="27"/>
    <x v="0"/>
    <n v="4"/>
    <n v="2"/>
    <n v="2"/>
    <n v="68750"/>
    <n v="275000"/>
    <n v="137500"/>
    <n v="137500"/>
    <s v="FOMENTO"/>
  </r>
  <r>
    <x v="1"/>
    <s v="ALAGOAS_FOMENTO_092024.pdf"/>
    <n v="400000"/>
    <n v="0.26319999999999999"/>
    <n v="0.1053"/>
    <n v="7.0199999999999999E-2"/>
    <n v="57"/>
    <x v="0"/>
    <b v="1"/>
    <b v="1"/>
    <b v="1"/>
    <s v="27"/>
    <x v="0"/>
    <n v="15"/>
    <n v="6"/>
    <n v="4"/>
    <n v="7017.5438596491231"/>
    <n v="105263.1578947368"/>
    <n v="42105.26315789474"/>
    <n v="28070.175438596489"/>
    <s v="FOMENTO"/>
  </r>
  <r>
    <x v="1"/>
    <s v="ALAGOAS_FOMENTO_102024.pdf"/>
    <n v="200000"/>
    <n v="0.25530000000000003"/>
    <n v="0.1176"/>
    <n v="5.8799999999999998E-2"/>
    <n v="17"/>
    <x v="0"/>
    <b v="1"/>
    <b v="1"/>
    <b v="1"/>
    <s v="27"/>
    <x v="0"/>
    <n v="4"/>
    <n v="2"/>
    <n v="1"/>
    <n v="11764.705882352941"/>
    <n v="47058.823529411762"/>
    <n v="23529.411764705881"/>
    <n v="11764.705882352941"/>
    <s v="FOMENTO"/>
  </r>
  <r>
    <x v="1"/>
    <s v="ALAGOAS_FOMENTO_112024.pdf"/>
    <n v="200000"/>
    <n v="0.21429999999999999"/>
    <n v="7.1400000000000005E-2"/>
    <n v="7.1400000000000005E-2"/>
    <n v="14"/>
    <x v="0"/>
    <b v="1"/>
    <b v="1"/>
    <b v="1"/>
    <s v="27"/>
    <x v="0"/>
    <n v="3"/>
    <n v="1"/>
    <n v="1"/>
    <n v="14285.71428571429"/>
    <n v="42857.142857142862"/>
    <n v="14285.71428571429"/>
    <n v="14285.71428571429"/>
    <s v="FOMENTO"/>
  </r>
  <r>
    <x v="1"/>
    <s v="ALAGOAS_FOMENTO_122024.pdf"/>
    <n v="900000"/>
    <n v="0.25640000000000002"/>
    <n v="0.1026"/>
    <n v="7.6899999999999996E-2"/>
    <n v="39"/>
    <x v="0"/>
    <b v="1"/>
    <b v="1"/>
    <b v="1"/>
    <s v="27"/>
    <x v="0"/>
    <n v="10"/>
    <n v="4"/>
    <n v="3"/>
    <n v="23076.923076923082"/>
    <n v="230769.23076923081"/>
    <n v="92307.692307692312"/>
    <n v="69230.769230769234"/>
    <s v="FOMENTO"/>
  </r>
  <r>
    <x v="1"/>
    <s v="ALAGOAS_FOMENTO_132024.pdf"/>
    <n v="200000"/>
    <n v="0.25"/>
    <n v="0.1"/>
    <n v="7.4999999999999997E-2"/>
    <n v="40"/>
    <x v="0"/>
    <b v="1"/>
    <b v="1"/>
    <b v="1"/>
    <s v="27"/>
    <x v="0"/>
    <n v="10"/>
    <n v="4"/>
    <n v="3"/>
    <n v="5000"/>
    <n v="50000"/>
    <n v="20000"/>
    <n v="15000"/>
    <s v="FOMENTO"/>
  </r>
  <r>
    <x v="1"/>
    <s v="ALAGOAS_FOMENTO_152024.pdf"/>
    <n v="900000"/>
    <n v="0.28000000000000003"/>
    <n v="0.125"/>
    <n v="0.1"/>
    <n v="50"/>
    <x v="0"/>
    <b v="1"/>
    <b v="1"/>
    <b v="1"/>
    <s v="27"/>
    <x v="0"/>
    <n v="14"/>
    <n v="6"/>
    <n v="5"/>
    <n v="18000"/>
    <n v="252000"/>
    <n v="108000"/>
    <n v="90000"/>
    <s v="FOMENTO"/>
  </r>
  <r>
    <x v="1"/>
    <s v="ALAGOAS_FOMENTO_172024.pdf"/>
    <n v="1398000"/>
    <n v="0.24099999999999999"/>
    <n v="0.1084"/>
    <n v="6.0199999999999997E-2"/>
    <n v="83"/>
    <x v="0"/>
    <b v="1"/>
    <b v="1"/>
    <b v="1"/>
    <s v="27"/>
    <x v="0"/>
    <n v="20"/>
    <n v="9"/>
    <n v="5"/>
    <n v="16843.373493975909"/>
    <n v="336867.46987951809"/>
    <n v="151590.36144578311"/>
    <n v="84216.867469879522"/>
    <s v="FOMENTO"/>
  </r>
  <r>
    <x v="1"/>
    <s v="ALAGOAS_FOMENTO_182024.pdf"/>
    <n v="1010000"/>
    <n v="0.2571"/>
    <n v="0.1"/>
    <n v="7.1400000000000005E-2"/>
    <n v="70"/>
    <x v="3"/>
    <b v="1"/>
    <b v="1"/>
    <b v="1"/>
    <s v="27"/>
    <x v="0"/>
    <n v="18"/>
    <n v="7"/>
    <n v="5"/>
    <n v="14428.571428571429"/>
    <n v="259714.28571428571"/>
    <n v="101000"/>
    <n v="72142.857142857145"/>
    <s v="FOMENTO"/>
  </r>
  <r>
    <x v="1"/>
    <s v="ALAGOAS_FOMENTO_192024.pdf"/>
    <n v="1780000"/>
    <n v="0.253"/>
    <n v="9.64E-2"/>
    <n v="6.0199999999999997E-2"/>
    <n v="83"/>
    <x v="0"/>
    <b v="1"/>
    <b v="1"/>
    <b v="1"/>
    <s v="27"/>
    <x v="0"/>
    <n v="21"/>
    <n v="8"/>
    <n v="5"/>
    <n v="21445.783132530119"/>
    <n v="450361.44578313251"/>
    <n v="171566.26506024101"/>
    <n v="107228.9156626506"/>
    <s v="FOMENTO"/>
  </r>
  <r>
    <x v="1"/>
    <s v="2024-20_ALAGOAS_FOMENTO.pdf"/>
    <n v="1800000"/>
    <n v="0.26669999999999999"/>
    <n v="0.1"/>
    <n v="6.6699999999999995E-2"/>
    <n v="90"/>
    <x v="4"/>
    <b v="1"/>
    <b v="1"/>
    <b v="1"/>
    <s v="27"/>
    <x v="0"/>
    <n v="24"/>
    <n v="9"/>
    <n v="6"/>
    <n v="20000"/>
    <n v="480000"/>
    <n v="180000"/>
    <n v="120000"/>
    <s v="FOMENTO"/>
  </r>
  <r>
    <x v="1"/>
    <s v="ALAGOAS_FOMENTO_212024.pdf"/>
    <n v="1039700"/>
    <n v="0.24099999999999999"/>
    <n v="0.1084"/>
    <n v="9.64E-2"/>
    <n v="83"/>
    <x v="0"/>
    <b v="0"/>
    <b v="1"/>
    <b v="1"/>
    <s v="27"/>
    <x v="0"/>
    <n v="20"/>
    <n v="9"/>
    <n v="8"/>
    <n v="12526.506024096379"/>
    <n v="250530.1204819277"/>
    <n v="112738.5542168675"/>
    <n v="100212.04819277109"/>
    <s v="FOMENTO"/>
  </r>
  <r>
    <x v="1"/>
    <s v="ALAGOAS_FOMENTO_232024.pdf"/>
    <n v="2000000"/>
    <n v="0.2407"/>
    <n v="9.2600000000000002E-2"/>
    <n v="5.5599999999999997E-2"/>
    <n v="54"/>
    <x v="5"/>
    <b v="1"/>
    <b v="1"/>
    <b v="1"/>
    <s v="27"/>
    <x v="0"/>
    <n v="13"/>
    <n v="5"/>
    <n v="3"/>
    <n v="37037.037037037036"/>
    <n v="481481.48148148152"/>
    <n v="185185.1851851852"/>
    <n v="111111.11111111109"/>
    <s v="FOMENTO"/>
  </r>
  <r>
    <x v="1"/>
    <s v="ALAGOAS_FOMENTO_242024.pdf"/>
    <n v="2300000"/>
    <n v="0.2485"/>
    <n v="9.7000000000000017E-2"/>
    <n v="4.24E-2"/>
    <n v="165"/>
    <x v="0"/>
    <b v="1"/>
    <b v="1"/>
    <b v="0"/>
    <s v="27"/>
    <x v="0"/>
    <n v="41"/>
    <n v="16"/>
    <n v="7"/>
    <n v="13939.39393939394"/>
    <n v="571515.15151515149"/>
    <n v="223030.30303030301"/>
    <n v="97575.757575757583"/>
    <s v="FOMENTO"/>
  </r>
  <r>
    <x v="1"/>
    <s v="ALAGOAS_FOMENTO_252024.pdf"/>
    <n v="1000000"/>
    <n v="0.2545"/>
    <n v="9.0899999999999995E-2"/>
    <n v="5.45E-2"/>
    <n v="55"/>
    <x v="0"/>
    <b v="1"/>
    <b v="1"/>
    <b v="1"/>
    <s v="27"/>
    <x v="0"/>
    <n v="14"/>
    <n v="5"/>
    <n v="3"/>
    <n v="18181.81818181818"/>
    <n v="254545.4545454545"/>
    <n v="90909.090909090897"/>
    <n v="54545.454545454537"/>
    <s v="FOMENTO"/>
  </r>
  <r>
    <x v="1"/>
    <s v="ALAGOAS_FOMENTO_262024.pdf"/>
    <n v="1000000"/>
    <n v="0.23530000000000001"/>
    <n v="8.8200000000000001E-2"/>
    <n v="5.8799999999999998E-2"/>
    <n v="34"/>
    <x v="0"/>
    <b v="1"/>
    <b v="1"/>
    <b v="1"/>
    <s v="27"/>
    <x v="0"/>
    <n v="8"/>
    <n v="3"/>
    <n v="2"/>
    <n v="29411.76470588235"/>
    <n v="235294.1176470588"/>
    <n v="88235.294117647063"/>
    <n v="58823.529411764714"/>
    <s v="FOMENTO"/>
  </r>
  <r>
    <x v="1"/>
    <s v="ALAGOAS_FOMENTO_272024.pdf"/>
    <n v="1200000"/>
    <n v="0.2535"/>
    <n v="9.8599999999999993E-2"/>
    <n v="4.2299999999999997E-2"/>
    <n v="71"/>
    <x v="0"/>
    <b v="1"/>
    <b v="1"/>
    <b v="1"/>
    <s v="27"/>
    <x v="0"/>
    <n v="18"/>
    <n v="7"/>
    <n v="3"/>
    <n v="16901.408450704221"/>
    <n v="304225.35211267602"/>
    <n v="118309.8591549296"/>
    <n v="50704.225352112669"/>
    <s v="FOMENTO"/>
  </r>
  <r>
    <x v="1"/>
    <s v="ALAGOAS_PRÊMIO_062024.pdf"/>
    <n v="300000"/>
    <n v="0.26"/>
    <n v="0.1"/>
    <n v="0.06"/>
    <n v="50"/>
    <x v="0"/>
    <b v="1"/>
    <b v="1"/>
    <b v="1"/>
    <s v="27"/>
    <x v="0"/>
    <n v="13"/>
    <n v="5"/>
    <n v="3"/>
    <n v="6000"/>
    <n v="78000"/>
    <n v="30000"/>
    <n v="18000"/>
    <s v="PRÊMIO"/>
  </r>
  <r>
    <x v="1"/>
    <s v="ALAGOAS_PRÊMIO_162024.pdf"/>
    <n v="300000"/>
    <n v="0.25"/>
    <n v="0.1"/>
    <n v="0.05"/>
    <n v="20"/>
    <x v="1"/>
    <b v="1"/>
    <b v="1"/>
    <b v="1"/>
    <s v="27"/>
    <x v="0"/>
    <n v="5"/>
    <n v="2"/>
    <n v="1"/>
    <n v="15000"/>
    <n v="75000"/>
    <n v="30000"/>
    <n v="15000"/>
    <s v="PRÊMIO"/>
  </r>
  <r>
    <x v="1"/>
    <s v="ALAGOAS_PRÊMIO_222024.pdf"/>
    <n v="260000"/>
    <n v="0.30769999999999997"/>
    <n v="0.15379999999999999"/>
    <n v="7.6899999999999996E-2"/>
    <n v="52"/>
    <x v="0"/>
    <b v="1"/>
    <b v="1"/>
    <b v="1"/>
    <s v="27"/>
    <x v="0"/>
    <n v="16"/>
    <n v="8"/>
    <n v="4"/>
    <n v="5000"/>
    <n v="80000"/>
    <n v="40000"/>
    <n v="20000"/>
    <s v="PRÊMIO"/>
  </r>
  <r>
    <x v="1"/>
    <s v="ALAGOAS_SUBSÍDIO_302024.pdf"/>
    <n v="2160000"/>
    <n v="0.25"/>
    <n v="0.1"/>
    <n v="0.05"/>
    <n v="60"/>
    <x v="0"/>
    <b v="1"/>
    <b v="1"/>
    <b v="1"/>
    <s v="27"/>
    <x v="0"/>
    <n v="15"/>
    <n v="6"/>
    <n v="3"/>
    <n v="36000"/>
    <n v="540000"/>
    <n v="216000"/>
    <n v="108000"/>
    <s v="SUBSÍDIO"/>
  </r>
  <r>
    <x v="2"/>
    <s v="AMAPÁ_CULTURAVIVA_062024.pdf"/>
    <n v="2116800"/>
    <n v="0.25"/>
    <n v="0.1"/>
    <n v="0.05"/>
    <n v="22"/>
    <x v="0"/>
    <b v="1"/>
    <b v="1"/>
    <b v="1"/>
    <s v="16"/>
    <x v="0"/>
    <n v="6"/>
    <n v="2"/>
    <n v="1"/>
    <n v="96218.181818181823"/>
    <n v="577309.09090909094"/>
    <n v="192436.36363636359"/>
    <n v="96218.181818181823"/>
    <s v="CULTURA VIVA"/>
  </r>
  <r>
    <x v="2"/>
    <s v="AMAPÁ_FOMENTO_012024.pdf"/>
    <n v="2400000"/>
    <n v="0.2571"/>
    <n v="0.1143"/>
    <n v="8.5699999999999998E-2"/>
    <n v="35"/>
    <x v="0"/>
    <b v="1"/>
    <b v="1"/>
    <b v="1"/>
    <s v="16"/>
    <x v="0"/>
    <n v="9"/>
    <n v="4"/>
    <n v="3"/>
    <n v="68571.428571428565"/>
    <n v="617142.85714285704"/>
    <n v="274285.71428571432"/>
    <n v="205714.28571428571"/>
    <s v="FOMENTO"/>
  </r>
  <r>
    <x v="2"/>
    <s v="AMAPÁ_FOMENTO_022024.pdf"/>
    <n v="1050000"/>
    <n v="0.25"/>
    <n v="0.1"/>
    <n v="0.05"/>
    <n v="35"/>
    <x v="0"/>
    <b v="1"/>
    <b v="1"/>
    <b v="1"/>
    <s v="16"/>
    <x v="0"/>
    <n v="9"/>
    <n v="4"/>
    <n v="2"/>
    <n v="30000"/>
    <n v="270000"/>
    <n v="120000"/>
    <n v="60000"/>
    <s v="FOMENTO"/>
  </r>
  <r>
    <x v="2"/>
    <s v="AMAPÁ_FOMENTO_032024.pdf"/>
    <n v="8200000"/>
    <n v="0.25"/>
    <n v="0.1"/>
    <n v="0.05"/>
    <n v="410"/>
    <x v="0"/>
    <b v="1"/>
    <b v="1"/>
    <b v="1"/>
    <s v="16"/>
    <x v="0"/>
    <n v="102"/>
    <n v="41"/>
    <n v="20"/>
    <n v="20000"/>
    <n v="2040000"/>
    <n v="820000"/>
    <n v="400000"/>
    <s v="FOMENTO"/>
  </r>
  <r>
    <x v="2"/>
    <s v="2024-04_AMAPÁ_FOMENTO.pdf"/>
    <n v="400000"/>
    <n v="0.25"/>
    <n v="0.1"/>
    <n v="0.05"/>
    <n v="20"/>
    <x v="4"/>
    <b v="1"/>
    <b v="1"/>
    <b v="1"/>
    <s v="16"/>
    <x v="0"/>
    <n v="5"/>
    <n v="2"/>
    <n v="1"/>
    <n v="20000"/>
    <n v="100000"/>
    <n v="40000"/>
    <n v="20000"/>
    <s v="FOMENTO"/>
  </r>
  <r>
    <x v="2"/>
    <s v="AMAPÁ_SUBSÍDIO_052024.pdf"/>
    <n v="2100000"/>
    <n v="0.25"/>
    <n v="0.1"/>
    <n v="0.05"/>
    <n v="210"/>
    <x v="0"/>
    <b v="1"/>
    <b v="1"/>
    <b v="1"/>
    <s v="16"/>
    <x v="0"/>
    <n v="52"/>
    <n v="21"/>
    <n v="10"/>
    <n v="10000"/>
    <n v="520000"/>
    <n v="210000"/>
    <n v="100000"/>
    <s v="SUBSÍDIO"/>
  </r>
  <r>
    <x v="3"/>
    <s v="AMAZONAS_FOMENTO_022024.pdf"/>
    <n v="2000000"/>
    <n v="0.25"/>
    <n v="0.25"/>
    <n v="0.05"/>
    <n v="52"/>
    <x v="0"/>
    <b v="1"/>
    <b v="1"/>
    <b v="1"/>
    <s v="13"/>
    <x v="0"/>
    <n v="13"/>
    <n v="13"/>
    <n v="3"/>
    <n v="38461.538461538461"/>
    <n v="500000"/>
    <n v="500000"/>
    <n v="115384.6153846154"/>
    <s v="FOMENTO"/>
  </r>
  <r>
    <x v="3"/>
    <s v="AMAZONAS_FOMENTO_032024.pdf"/>
    <n v="2000000"/>
    <n v="0.25"/>
    <n v="0.25"/>
    <n v="0.05"/>
    <n v="44"/>
    <x v="0"/>
    <b v="1"/>
    <b v="1"/>
    <b v="1"/>
    <s v="13"/>
    <x v="0"/>
    <n v="11"/>
    <n v="11"/>
    <n v="2"/>
    <n v="45454.545454545463"/>
    <n v="500000"/>
    <n v="500000"/>
    <n v="90909.090909090912"/>
    <s v="FOMENTO"/>
  </r>
  <r>
    <x v="3"/>
    <s v="AMAZONAS_FOMENTO_042024.pdf"/>
    <n v="2000000"/>
    <n v="0.25"/>
    <n v="0.25"/>
    <n v="0.05"/>
    <n v="32"/>
    <x v="0"/>
    <b v="1"/>
    <b v="1"/>
    <b v="1"/>
    <s v="13"/>
    <x v="0"/>
    <n v="8"/>
    <n v="8"/>
    <n v="2"/>
    <n v="62500"/>
    <n v="500000"/>
    <n v="500000"/>
    <n v="125000"/>
    <s v="FOMENTO"/>
  </r>
  <r>
    <x v="3"/>
    <s v="AMAZONAS_FOMENTO_052024.pdf"/>
    <n v="2000000"/>
    <n v="0.1905"/>
    <n v="0.1905"/>
    <n v="0.16669999999999999"/>
    <n v="42"/>
    <x v="0"/>
    <b v="0"/>
    <b v="1"/>
    <b v="1"/>
    <s v="13"/>
    <x v="0"/>
    <n v="8"/>
    <n v="8"/>
    <n v="7"/>
    <n v="47619.047619047618"/>
    <n v="380952.38095238089"/>
    <n v="380952.38095238089"/>
    <n v="333333.33333333331"/>
    <s v="FOMENTO"/>
  </r>
  <r>
    <x v="3"/>
    <s v="AMAZONAS_FOMENTO_062024.pdf"/>
    <n v="2000000"/>
    <n v="0.25"/>
    <n v="0.25"/>
    <n v="0.05"/>
    <n v="30"/>
    <x v="0"/>
    <b v="1"/>
    <b v="1"/>
    <b v="1"/>
    <s v="13"/>
    <x v="0"/>
    <n v="8"/>
    <n v="8"/>
    <n v="2"/>
    <n v="66666.666666666672"/>
    <n v="533333.33333333337"/>
    <n v="533333.33333333337"/>
    <n v="133333.33333333331"/>
    <s v="FOMENTO"/>
  </r>
  <r>
    <x v="3"/>
    <s v="AMAZONAS_FOMENTO_072024.pdf"/>
    <n v="2000000"/>
    <n v="0.25"/>
    <n v="0.25"/>
    <n v="0.05"/>
    <n v="42"/>
    <x v="0"/>
    <b v="1"/>
    <b v="1"/>
    <b v="1"/>
    <s v="13"/>
    <x v="0"/>
    <n v="10"/>
    <n v="10"/>
    <n v="2"/>
    <n v="47619.047619047618"/>
    <n v="476190.47619047621"/>
    <n v="476190.47619047621"/>
    <n v="95238.095238095237"/>
    <s v="FOMENTO"/>
  </r>
  <r>
    <x v="3"/>
    <s v="AMAZONAS_FOMENTO_082024.pdf"/>
    <n v="1485000"/>
    <n v="0.25"/>
    <n v="0.25"/>
    <n v="0.05"/>
    <n v="30"/>
    <x v="3"/>
    <b v="1"/>
    <b v="1"/>
    <b v="1"/>
    <s v="13"/>
    <x v="0"/>
    <n v="8"/>
    <n v="8"/>
    <n v="2"/>
    <n v="49500"/>
    <n v="396000"/>
    <n v="396000"/>
    <n v="99000"/>
    <s v="FOMENTO"/>
  </r>
  <r>
    <x v="3"/>
    <s v="AMAZONAS_FOMENTO_092024.pdf"/>
    <n v="2000000"/>
    <n v="0.25"/>
    <n v="0.25"/>
    <n v="0.05"/>
    <n v="38"/>
    <x v="0"/>
    <b v="1"/>
    <b v="1"/>
    <b v="1"/>
    <s v="13"/>
    <x v="0"/>
    <n v="10"/>
    <n v="10"/>
    <n v="2"/>
    <n v="52631.57894736842"/>
    <n v="526315.78947368416"/>
    <n v="526315.78947368416"/>
    <n v="105263.1578947368"/>
    <s v="FOMENTO"/>
  </r>
  <r>
    <x v="3"/>
    <s v="AMAZONAS_FOMENTO_102024.pdf"/>
    <n v="1413000"/>
    <n v="1"/>
    <n v="0"/>
    <n v="0.25"/>
    <n v="44"/>
    <x v="6"/>
    <b v="1"/>
    <b v="1"/>
    <b v="1"/>
    <s v="13"/>
    <x v="0"/>
    <n v="44"/>
    <n v="0"/>
    <n v="11"/>
    <n v="32113.63636363636"/>
    <n v="1413000"/>
    <n v="0"/>
    <n v="353250"/>
    <s v="FOMENTO"/>
  </r>
  <r>
    <x v="3"/>
    <s v="AMAZONAS_FOMENTO_112024.pdf"/>
    <n v="1413000"/>
    <n v="0"/>
    <n v="1"/>
    <n v="0.125"/>
    <n v="40"/>
    <x v="2"/>
    <b v="1"/>
    <b v="1"/>
    <b v="1"/>
    <s v="13"/>
    <x v="0"/>
    <n v="0"/>
    <n v="40"/>
    <n v="5"/>
    <n v="35325"/>
    <n v="0"/>
    <n v="1413000"/>
    <n v="176625"/>
    <s v="FOMENTO"/>
  </r>
  <r>
    <x v="3"/>
    <s v="AMAZONAS_FOMENTO_122024.pdf"/>
    <n v="1500000"/>
    <n v="0.25"/>
    <n v="0.25"/>
    <n v="0.05"/>
    <n v="40"/>
    <x v="0"/>
    <b v="1"/>
    <b v="1"/>
    <b v="1"/>
    <s v="13"/>
    <x v="0"/>
    <n v="10"/>
    <n v="10"/>
    <n v="2"/>
    <n v="37500"/>
    <n v="375000"/>
    <n v="375000"/>
    <n v="75000"/>
    <s v="FOMENTO"/>
  </r>
  <r>
    <x v="3"/>
    <s v="AMAZONAS_FOMENTO_132024.pdf"/>
    <n v="6500000"/>
    <n v="0.25"/>
    <n v="0.25"/>
    <n v="0.05"/>
    <n v="106"/>
    <x v="0"/>
    <b v="1"/>
    <b v="1"/>
    <b v="1"/>
    <s v="13"/>
    <x v="0"/>
    <n v="26"/>
    <n v="26"/>
    <n v="5"/>
    <n v="61320.75471698113"/>
    <n v="1594339.6226415089"/>
    <n v="1594339.6226415089"/>
    <n v="306603.77358490572"/>
    <s v="FOMENTO"/>
  </r>
  <r>
    <x v="3"/>
    <s v="2025-01_AMAZONAS_FOMENTO.pdf"/>
    <n v="930000"/>
    <n v="0.25"/>
    <n v="0.25"/>
    <n v="0.05"/>
    <n v="18"/>
    <x v="0"/>
    <b v="1"/>
    <b v="1"/>
    <b v="1"/>
    <s v="13"/>
    <x v="0"/>
    <n v="4"/>
    <n v="4"/>
    <n v="1"/>
    <n v="51666.666666666657"/>
    <n v="206666.66666666669"/>
    <n v="206666.66666666669"/>
    <n v="51666.666666666657"/>
    <s v="FOMENTO"/>
  </r>
  <r>
    <x v="3"/>
    <s v="2025-02_AMAZONAS_SUBSÍDIO.pdf"/>
    <n v="3000000"/>
    <n v="0.24"/>
    <n v="0.24"/>
    <n v="0.12"/>
    <n v="25"/>
    <x v="0"/>
    <b v="1"/>
    <b v="1"/>
    <b v="1"/>
    <s v="13"/>
    <x v="0"/>
    <n v="6"/>
    <n v="6"/>
    <n v="3"/>
    <n v="120000"/>
    <n v="720000"/>
    <n v="720000"/>
    <n v="360000"/>
    <s v="SUBSÍDIO"/>
  </r>
  <r>
    <x v="3"/>
    <s v="2025-03_AMAZONAS_CULTURAVIVA.pdf"/>
    <n v="150000"/>
    <n v="0.25"/>
    <n v="0.25"/>
    <n v="0.35699999999999998"/>
    <n v="28"/>
    <x v="0"/>
    <b v="1"/>
    <b v="1"/>
    <b v="1"/>
    <s v="13"/>
    <x v="0"/>
    <n v="7"/>
    <n v="7"/>
    <n v="10"/>
    <n v="5357.1428571428569"/>
    <n v="37500"/>
    <n v="37500"/>
    <n v="53571.428571428572"/>
    <s v="CULTURA VIVA"/>
  </r>
  <r>
    <x v="3"/>
    <s v="2025-04_AMAZONAS_CULTURAVIVA.pdf"/>
    <n v="420000"/>
    <n v="0.28000000000000003"/>
    <n v="0.28000000000000003"/>
    <n v="7.0000000000000007E-2"/>
    <n v="14"/>
    <x v="0"/>
    <b v="1"/>
    <b v="1"/>
    <b v="1"/>
    <s v="13"/>
    <x v="0"/>
    <n v="4"/>
    <n v="4"/>
    <n v="1"/>
    <n v="30000"/>
    <n v="120000"/>
    <n v="120000"/>
    <n v="30000"/>
    <s v="CULTURA VIVA"/>
  </r>
  <r>
    <x v="3"/>
    <s v="2025-05_AMAZONAS_CULTURAVIVA.pdf"/>
    <n v="384988.4"/>
    <n v="0"/>
    <n v="0.5"/>
    <n v="0"/>
    <n v="2"/>
    <x v="0"/>
    <b v="1"/>
    <b v="1"/>
    <b v="1"/>
    <s v="13"/>
    <x v="0"/>
    <n v="0"/>
    <n v="1"/>
    <n v="0"/>
    <n v="192494.2"/>
    <n v="0"/>
    <n v="192494.2"/>
    <n v="0"/>
    <s v="CULTURA VIVA"/>
  </r>
  <r>
    <x v="3"/>
    <s v="2025-06_AMAZONAS_FOMENTO.pdf"/>
    <n v="1400000"/>
    <n v="0.25"/>
    <n v="0.25"/>
    <n v="0.05"/>
    <n v="40"/>
    <x v="0"/>
    <b v="1"/>
    <b v="1"/>
    <b v="1"/>
    <s v="13"/>
    <x v="0"/>
    <n v="10"/>
    <n v="10"/>
    <n v="2"/>
    <n v="35000"/>
    <n v="350000"/>
    <n v="350000"/>
    <n v="70000"/>
    <s v="FOMENTO"/>
  </r>
  <r>
    <x v="4"/>
    <s v="2024-09_ARACAJU_BOLSA.pdf.pdf"/>
    <n v="250000"/>
    <n v="0"/>
    <n v="0"/>
    <n v="0"/>
    <n v="5"/>
    <x v="0"/>
    <b v="1"/>
    <b v="1"/>
    <b v="1"/>
    <s v="2800308"/>
    <x v="1"/>
    <n v="0"/>
    <n v="0"/>
    <n v="0"/>
    <n v="50000"/>
    <n v="0"/>
    <n v="0"/>
    <n v="0"/>
    <s v="BOLSA"/>
  </r>
  <r>
    <x v="4"/>
    <s v="2024-11_ARACAJU_CULTURAVIVA.pdf.pdf"/>
    <n v="800000"/>
    <n v="0.25"/>
    <n v="0.1"/>
    <n v="0.05"/>
    <n v="10"/>
    <x v="0"/>
    <b v="1"/>
    <b v="1"/>
    <b v="1"/>
    <s v="2800308"/>
    <x v="1"/>
    <n v="2"/>
    <n v="1"/>
    <n v="0"/>
    <n v="80000"/>
    <n v="160000"/>
    <n v="80000"/>
    <n v="0"/>
    <s v="CULTURA VIVA"/>
  </r>
  <r>
    <x v="4"/>
    <s v="2025-06_ARACAJU_FOMENTO.pdf"/>
    <n v="2420000"/>
    <n v="0.25"/>
    <n v="0.1"/>
    <n v="0.05"/>
    <n v="60"/>
    <x v="0"/>
    <b v="1"/>
    <b v="1"/>
    <b v="1"/>
    <s v="2800308"/>
    <x v="1"/>
    <n v="15"/>
    <n v="6"/>
    <n v="3"/>
    <n v="40333.333333333343"/>
    <n v="605000"/>
    <n v="242000"/>
    <n v="121000"/>
    <s v="FOMENTO"/>
  </r>
  <r>
    <x v="4"/>
    <s v="2024-12_ARACAJU_CULTURAVIVA.pdf.pdf"/>
    <n v="330085.32"/>
    <n v="0.25"/>
    <n v="0.1"/>
    <n v="0.05"/>
    <n v="12"/>
    <x v="0"/>
    <b v="1"/>
    <b v="1"/>
    <b v="1"/>
    <s v="2800308"/>
    <x v="1"/>
    <n v="3"/>
    <n v="1"/>
    <n v="1"/>
    <n v="27507.11"/>
    <n v="82521.33"/>
    <n v="27507.11"/>
    <n v="27507.11"/>
    <s v="CULTURA VIVA"/>
  </r>
  <r>
    <x v="5"/>
    <s v="BAHIA_BOLSA_242024.pdf"/>
    <n v="1200000"/>
    <n v="0.5"/>
    <n v="0.1"/>
    <n v="0.05"/>
    <n v="20"/>
    <x v="0"/>
    <b v="1"/>
    <b v="1"/>
    <b v="1"/>
    <s v="29"/>
    <x v="0"/>
    <n v="10"/>
    <n v="2"/>
    <n v="1"/>
    <n v="60000"/>
    <n v="600000"/>
    <n v="120000"/>
    <n v="60000"/>
    <s v="BOLSA"/>
  </r>
  <r>
    <x v="5"/>
    <s v="BAHIA_CULTURAVIVA_252024.pdf"/>
    <n v="1980000"/>
    <n v="0.5"/>
    <n v="0.5"/>
    <n v="0.05"/>
    <n v="66"/>
    <x v="0"/>
    <b v="1"/>
    <b v="1"/>
    <b v="1"/>
    <s v="29"/>
    <x v="0"/>
    <n v="33"/>
    <n v="33"/>
    <n v="3"/>
    <n v="30000"/>
    <n v="990000"/>
    <n v="990000"/>
    <n v="90000"/>
    <s v="CULTURA VIVA"/>
  </r>
  <r>
    <x v="5"/>
    <s v="BAHIA_CULTURAVIVA_262024.pdf"/>
    <n v="4220000"/>
    <n v="0.5"/>
    <n v="0.1"/>
    <n v="0.05"/>
    <n v="74"/>
    <x v="0"/>
    <b v="1"/>
    <b v="1"/>
    <b v="1"/>
    <s v="29"/>
    <x v="0"/>
    <n v="37"/>
    <n v="7"/>
    <n v="4"/>
    <n v="57027.027027027027"/>
    <n v="2110000"/>
    <n v="399189.18918918917"/>
    <n v="228108.10810810811"/>
    <s v="CULTURA VIVA"/>
  </r>
  <r>
    <x v="5"/>
    <s v="BAHIA_CULTURAVIVA_272024.pdf"/>
    <n v="3840000"/>
    <n v="0.5"/>
    <n v="0.1"/>
    <n v="0.05"/>
    <n v="48"/>
    <x v="0"/>
    <b v="1"/>
    <b v="1"/>
    <b v="1"/>
    <s v="29"/>
    <x v="0"/>
    <n v="24"/>
    <n v="5"/>
    <n v="2"/>
    <n v="80000"/>
    <n v="1920000"/>
    <n v="400000"/>
    <n v="160000"/>
    <s v="CULTURA VIVA"/>
  </r>
  <r>
    <x v="5"/>
    <s v="BAHIA_CULTURAVIVA_282024.pdf"/>
    <n v="1080000"/>
    <n v="0.5"/>
    <n v="0.1"/>
    <n v="0.05"/>
    <n v="27"/>
    <x v="0"/>
    <b v="1"/>
    <b v="1"/>
    <b v="1"/>
    <s v="29"/>
    <x v="0"/>
    <n v="14"/>
    <n v="3"/>
    <n v="1"/>
    <n v="40000"/>
    <n v="560000"/>
    <n v="120000"/>
    <n v="40000"/>
    <s v="CULTURA VIVA"/>
  </r>
  <r>
    <x v="5"/>
    <s v="BAHIA_CULTURAVIVA_292024.pdf"/>
    <n v="2100000"/>
    <n v="0.5"/>
    <n v="0.1"/>
    <n v="0.05"/>
    <n v="7"/>
    <x v="0"/>
    <b v="1"/>
    <b v="1"/>
    <b v="1"/>
    <s v="29"/>
    <x v="0"/>
    <n v="4"/>
    <n v="1"/>
    <n v="0"/>
    <n v="300000"/>
    <n v="1200000"/>
    <n v="300000"/>
    <n v="0"/>
    <s v="CULTURA VIVA"/>
  </r>
  <r>
    <x v="5"/>
    <s v="BAHIA_FOMENTO_052024.pdf"/>
    <n v="7250000"/>
    <n v="0.5"/>
    <n v="0.1"/>
    <n v="0.05"/>
    <n v="113"/>
    <x v="0"/>
    <b v="1"/>
    <b v="1"/>
    <b v="1"/>
    <s v="29"/>
    <x v="0"/>
    <n v="56"/>
    <n v="11"/>
    <n v="6"/>
    <n v="64159.292035398234"/>
    <n v="3592920.353982301"/>
    <n v="705752.21238938055"/>
    <n v="384955.75221238937"/>
    <s v="FOMENTO"/>
  </r>
  <r>
    <x v="5"/>
    <s v="BAHIA_FOMENTO_062024.pdf"/>
    <n v="840000"/>
    <n v="0.5"/>
    <n v="0.1"/>
    <n v="0.05"/>
    <n v="36"/>
    <x v="0"/>
    <b v="1"/>
    <b v="1"/>
    <b v="1"/>
    <s v="29"/>
    <x v="0"/>
    <n v="18"/>
    <n v="4"/>
    <n v="2"/>
    <n v="23333.333333333328"/>
    <n v="420000"/>
    <n v="93333.333333333328"/>
    <n v="46666.666666666657"/>
    <s v="FOMENTO"/>
  </r>
  <r>
    <x v="5"/>
    <s v="BAHIA_FOMENTO_072024.pdf"/>
    <n v="780000"/>
    <n v="0.5"/>
    <n v="0.1"/>
    <n v="0.05"/>
    <n v="12"/>
    <x v="0"/>
    <b v="1"/>
    <b v="1"/>
    <b v="1"/>
    <s v="29"/>
    <x v="0"/>
    <n v="6"/>
    <n v="1"/>
    <n v="1"/>
    <n v="65000"/>
    <n v="390000"/>
    <n v="65000"/>
    <n v="65000"/>
    <s v="FOMENTO"/>
  </r>
  <r>
    <x v="5"/>
    <s v="BAHIA_FOMENTO_082024.pdf"/>
    <n v="6900000"/>
    <n v="0.5"/>
    <n v="0.1"/>
    <n v="0.05"/>
    <n v="29"/>
    <x v="0"/>
    <b v="1"/>
    <b v="1"/>
    <b v="1"/>
    <s v="29"/>
    <x v="0"/>
    <n v="14"/>
    <n v="3"/>
    <n v="1"/>
    <n v="237931.03448275861"/>
    <n v="3331034.4827586212"/>
    <n v="713793.10344827583"/>
    <n v="237931.03448275861"/>
    <s v="FOMENTO"/>
  </r>
  <r>
    <x v="5"/>
    <s v="BAHIA_FOMENTO_092024.pdf"/>
    <n v="7200000"/>
    <n v="0.5"/>
    <n v="0.1"/>
    <n v="0.05"/>
    <n v="75"/>
    <x v="0"/>
    <b v="1"/>
    <b v="1"/>
    <b v="1"/>
    <s v="29"/>
    <x v="0"/>
    <n v="38"/>
    <n v="8"/>
    <n v="4"/>
    <n v="96000"/>
    <n v="3648000"/>
    <n v="768000"/>
    <n v="384000"/>
    <s v="FOMENTO"/>
  </r>
  <r>
    <x v="5"/>
    <s v="BAHIA_FOMENTO_102024.pdf"/>
    <n v="3000000"/>
    <n v="0.5"/>
    <n v="0.17"/>
    <n v="0.08"/>
    <n v="12"/>
    <x v="0"/>
    <b v="1"/>
    <b v="1"/>
    <b v="1"/>
    <s v="29"/>
    <x v="0"/>
    <n v="6"/>
    <n v="2"/>
    <n v="1"/>
    <n v="250000"/>
    <n v="1500000"/>
    <n v="500000"/>
    <n v="250000"/>
    <s v="FOMENTO"/>
  </r>
  <r>
    <x v="5"/>
    <s v="BAHIA_FOMENTO_112024.pdf"/>
    <n v="500000"/>
    <n v="0.5"/>
    <n v="0.1"/>
    <n v="0.1"/>
    <n v="10"/>
    <x v="0"/>
    <b v="1"/>
    <b v="1"/>
    <b v="1"/>
    <s v="29"/>
    <x v="0"/>
    <n v="5"/>
    <n v="1"/>
    <n v="1"/>
    <n v="50000"/>
    <n v="250000"/>
    <n v="50000"/>
    <n v="50000"/>
    <s v="FOMENTO"/>
  </r>
  <r>
    <x v="5"/>
    <s v="BAHIA_FOMENTO_122024.pdf"/>
    <n v="1050000"/>
    <n v="0.5"/>
    <n v="0.1"/>
    <n v="0.05"/>
    <n v="21"/>
    <x v="0"/>
    <b v="1"/>
    <b v="1"/>
    <b v="1"/>
    <s v="29"/>
    <x v="0"/>
    <n v="10"/>
    <n v="2"/>
    <n v="1"/>
    <n v="50000"/>
    <n v="500000"/>
    <n v="100000"/>
    <n v="50000"/>
    <s v="FOMENTO"/>
  </r>
  <r>
    <x v="5"/>
    <s v="BAHIA_FOMENTO_132024.pdf"/>
    <n v="1200000"/>
    <n v="0.5"/>
    <n v="0.12"/>
    <n v="0"/>
    <n v="8"/>
    <x v="0"/>
    <b v="1"/>
    <b v="1"/>
    <b v="1"/>
    <s v="29"/>
    <x v="0"/>
    <n v="4"/>
    <n v="1"/>
    <n v="0"/>
    <n v="150000"/>
    <n v="600000"/>
    <n v="150000"/>
    <n v="0"/>
    <s v="FOMENTO"/>
  </r>
  <r>
    <x v="5"/>
    <s v="BAHIA_FOMENTO_142024.pdf"/>
    <n v="1250000"/>
    <n v="0.4"/>
    <n v="0.2"/>
    <n v="0"/>
    <n v="5"/>
    <x v="0"/>
    <b v="1"/>
    <b v="1"/>
    <b v="1"/>
    <s v="29"/>
    <x v="0"/>
    <n v="2"/>
    <n v="1"/>
    <n v="0"/>
    <n v="250000"/>
    <n v="500000"/>
    <n v="250000"/>
    <n v="0"/>
    <s v="FOMENTO"/>
  </r>
  <r>
    <x v="5"/>
    <s v="BAHIA_FOMENTO_152024.pdf"/>
    <n v="1700000"/>
    <n v="0.55000000000000004"/>
    <n v="0.15"/>
    <n v="0.05"/>
    <n v="40"/>
    <x v="0"/>
    <b v="1"/>
    <b v="1"/>
    <b v="1"/>
    <s v="29"/>
    <x v="0"/>
    <n v="22"/>
    <n v="6"/>
    <n v="2"/>
    <n v="42500"/>
    <n v="935000"/>
    <n v="255000"/>
    <n v="85000"/>
    <s v="FOMENTO"/>
  </r>
  <r>
    <x v="5"/>
    <s v="BAHIA_FOMENTO_162024.pdf"/>
    <n v="5150000"/>
    <n v="0.5"/>
    <n v="0.1"/>
    <n v="0.05"/>
    <n v="43"/>
    <x v="0"/>
    <b v="1"/>
    <b v="1"/>
    <b v="1"/>
    <s v="29"/>
    <x v="0"/>
    <n v="22"/>
    <n v="4"/>
    <n v="2"/>
    <n v="119767.4418604651"/>
    <n v="2634883.7209302331"/>
    <n v="479069.76744186052"/>
    <n v="239534.8837209302"/>
    <s v="FOMENTO"/>
  </r>
  <r>
    <x v="5"/>
    <s v="BAHIA_FOMENTO_172024.pdf"/>
    <n v="900000"/>
    <n v="0.5"/>
    <n v="0.1"/>
    <n v="0.05"/>
    <n v="20"/>
    <x v="0"/>
    <b v="1"/>
    <b v="1"/>
    <b v="1"/>
    <s v="29"/>
    <x v="0"/>
    <n v="10"/>
    <n v="2"/>
    <n v="1"/>
    <n v="45000"/>
    <n v="450000"/>
    <n v="90000"/>
    <n v="45000"/>
    <s v="FOMENTO"/>
  </r>
  <r>
    <x v="5"/>
    <s v="BAHIA_FOMENTO_182024.pdf"/>
    <n v="1750000"/>
    <n v="0.5"/>
    <n v="0.1"/>
    <n v="0.05"/>
    <n v="35"/>
    <x v="0"/>
    <b v="1"/>
    <b v="1"/>
    <b v="1"/>
    <s v="29"/>
    <x v="0"/>
    <n v="18"/>
    <n v="4"/>
    <n v="2"/>
    <n v="50000"/>
    <n v="900000"/>
    <n v="200000"/>
    <n v="100000"/>
    <s v="FOMENTO"/>
  </r>
  <r>
    <x v="5"/>
    <s v="BAHIA_FOMENTO_192024.pdf"/>
    <n v="1000000"/>
    <n v="0.5"/>
    <n v="0.1"/>
    <n v="0.05"/>
    <n v="33"/>
    <x v="0"/>
    <b v="1"/>
    <b v="1"/>
    <b v="1"/>
    <s v="29"/>
    <x v="0"/>
    <n v="16"/>
    <n v="3"/>
    <n v="2"/>
    <n v="30303.0303030303"/>
    <n v="484848.48484848492"/>
    <n v="90909.090909090912"/>
    <n v="60606.060606060608"/>
    <s v="FOMENTO"/>
  </r>
  <r>
    <x v="5"/>
    <s v="BAHIA_FOMENTO_202024.pdf"/>
    <n v="3000000"/>
    <n v="0.5"/>
    <n v="0.1"/>
    <n v="0.05"/>
    <n v="12"/>
    <x v="0"/>
    <b v="1"/>
    <b v="1"/>
    <b v="1"/>
    <s v="29"/>
    <x v="0"/>
    <n v="6"/>
    <n v="1"/>
    <n v="1"/>
    <n v="250000"/>
    <n v="1500000"/>
    <n v="250000"/>
    <n v="250000"/>
    <s v="FOMENTO"/>
  </r>
  <r>
    <x v="5"/>
    <s v="BAHIA_PRÊMIO_012024.pdf"/>
    <n v="900000"/>
    <n v="0.5"/>
    <n v="0.1"/>
    <n v="0.05"/>
    <n v="30"/>
    <x v="0"/>
    <b v="1"/>
    <b v="1"/>
    <b v="1"/>
    <s v="29"/>
    <x v="0"/>
    <n v="15"/>
    <n v="3"/>
    <n v="2"/>
    <n v="30000"/>
    <n v="450000"/>
    <n v="90000"/>
    <n v="60000"/>
    <s v="PRÊMIO"/>
  </r>
  <r>
    <x v="5"/>
    <s v="BAHIA_PRÊMIO_022024.pdf"/>
    <n v="160000"/>
    <n v="0.5"/>
    <n v="0.1"/>
    <n v="0.05"/>
    <n v="16"/>
    <x v="0"/>
    <b v="1"/>
    <b v="1"/>
    <b v="1"/>
    <s v="29"/>
    <x v="0"/>
    <n v="8"/>
    <n v="2"/>
    <n v="1"/>
    <n v="10000"/>
    <n v="80000"/>
    <n v="20000"/>
    <n v="10000"/>
    <s v="PRÊMIO"/>
  </r>
  <r>
    <x v="5"/>
    <s v="BAHIA_PRÊMIO_032024.pdf"/>
    <n v="840000"/>
    <n v="0.5"/>
    <n v="0.1"/>
    <n v="0.05"/>
    <n v="28"/>
    <x v="0"/>
    <b v="1"/>
    <b v="1"/>
    <b v="1"/>
    <s v="29"/>
    <x v="0"/>
    <n v="14"/>
    <n v="3"/>
    <n v="1"/>
    <n v="30000"/>
    <n v="420000"/>
    <n v="90000"/>
    <n v="30000"/>
    <s v="PRÊMIO"/>
  </r>
  <r>
    <x v="5"/>
    <s v="BAHIA_PRÊMIO_042024.pdf"/>
    <n v="2520000"/>
    <n v="0.5"/>
    <n v="0.1071"/>
    <n v="4.7600000000000003E-2"/>
    <n v="84"/>
    <x v="0"/>
    <b v="1"/>
    <b v="1"/>
    <b v="1"/>
    <s v="29"/>
    <x v="0"/>
    <n v="42"/>
    <n v="9"/>
    <n v="4"/>
    <n v="30000"/>
    <n v="1260000"/>
    <n v="270000"/>
    <n v="120000"/>
    <s v="PRÊMIO"/>
  </r>
  <r>
    <x v="5"/>
    <s v="BAHIA_SUBSÍDIO_212024.pdf"/>
    <n v="1000000"/>
    <n v="0.5"/>
    <n v="0.1"/>
    <n v="0.05"/>
    <n v="20"/>
    <x v="0"/>
    <b v="1"/>
    <b v="1"/>
    <b v="1"/>
    <s v="29"/>
    <x v="0"/>
    <n v="10"/>
    <n v="2"/>
    <n v="1"/>
    <n v="50000"/>
    <n v="500000"/>
    <n v="100000"/>
    <n v="50000"/>
    <s v="SUBSÍDIO"/>
  </r>
  <r>
    <x v="5"/>
    <s v="2024-22_BAHIA_SUBSÍDIO.pdf"/>
    <n v="4300000"/>
    <n v="0.48"/>
    <n v="0.48"/>
    <n v="4.6511627906976702E-2"/>
    <n v="86"/>
    <x v="4"/>
    <b v="1"/>
    <b v="1"/>
    <b v="1"/>
    <s v="29"/>
    <x v="0"/>
    <n v="41"/>
    <n v="41"/>
    <n v="4"/>
    <n v="50000"/>
    <n v="2050000"/>
    <n v="2050000"/>
    <n v="200000"/>
    <s v="SUBSÍDIO"/>
  </r>
  <r>
    <x v="5"/>
    <s v="BAHIA_SUBSÍDIO_232024.pdf"/>
    <n v="4200000"/>
    <n v="0"/>
    <n v="0.1132"/>
    <n v="5.6599999999999998E-2"/>
    <n v="53"/>
    <x v="0"/>
    <b v="1"/>
    <b v="1"/>
    <b v="1"/>
    <s v="29"/>
    <x v="0"/>
    <n v="0"/>
    <n v="6"/>
    <n v="3"/>
    <n v="79245.283018867922"/>
    <n v="0"/>
    <n v="475471.69811320747"/>
    <n v="237735.84905660379"/>
    <s v="SUBSÍDIO"/>
  </r>
  <r>
    <x v="6"/>
    <s v="2024-04_BELÉM_FOMENTO.pdf.pdf"/>
    <n v="5224089"/>
    <n v="0.25"/>
    <n v="0.1"/>
    <n v="0.05"/>
    <n v="100"/>
    <x v="0"/>
    <b v="1"/>
    <b v="1"/>
    <b v="1"/>
    <s v="1501402"/>
    <x v="1"/>
    <n v="25"/>
    <n v="10"/>
    <n v="5"/>
    <n v="52240.89"/>
    <n v="1306022.25"/>
    <n v="522408.9"/>
    <n v="261204.45"/>
    <s v="FOMENTO"/>
  </r>
  <r>
    <x v="7"/>
    <s v="2024-01_BH_CULTURAVIVA.pdf"/>
    <n v="4060000"/>
    <n v="0.25"/>
    <n v="0.1"/>
    <n v="0.05"/>
    <n v="124"/>
    <x v="0"/>
    <b v="1"/>
    <b v="1"/>
    <b v="1"/>
    <s v="3106200"/>
    <x v="1"/>
    <n v="31"/>
    <n v="12"/>
    <n v="6"/>
    <n v="32741.93548387097"/>
    <n v="1015000"/>
    <n v="392903.22580645158"/>
    <n v="196451.61290322579"/>
    <s v="CULTURA VIVA"/>
  </r>
  <r>
    <x v="7"/>
    <s v="2024-03_BH_FOMENTO.pdf"/>
    <n v="5990000"/>
    <n v="0.25"/>
    <n v="0.1"/>
    <n v="0.05"/>
    <n v="79"/>
    <x v="0"/>
    <b v="1"/>
    <b v="1"/>
    <b v="1"/>
    <s v="3106200"/>
    <x v="1"/>
    <n v="20"/>
    <n v="8"/>
    <n v="4"/>
    <n v="75822.784810126584"/>
    <n v="1516455.6962025319"/>
    <n v="606582.27848101268"/>
    <n v="303291.13924050628"/>
    <s v="FOMENTO"/>
  </r>
  <r>
    <x v="7"/>
    <s v="2024-02_BH_PRÊMIO.pdf"/>
    <n v="5580000"/>
    <n v="0.25"/>
    <n v="0.1"/>
    <n v="0.05"/>
    <n v="219"/>
    <x v="0"/>
    <b v="1"/>
    <b v="1"/>
    <b v="1"/>
    <s v="3106200"/>
    <x v="1"/>
    <n v="55"/>
    <n v="22"/>
    <n v="11"/>
    <n v="25479.452054794521"/>
    <n v="1401369.863013699"/>
    <n v="560547.94520547951"/>
    <n v="280273.97260273981"/>
    <s v="PRÊMIO"/>
  </r>
  <r>
    <x v="8"/>
    <s v="2025-05_BOAVISTA_CULTURAVIVA.pdf"/>
    <n v="450000"/>
    <n v="0.25"/>
    <n v="0.1"/>
    <n v="0.05"/>
    <n v="5"/>
    <x v="0"/>
    <b v="1"/>
    <b v="1"/>
    <b v="1"/>
    <s v="1400100"/>
    <x v="1"/>
    <n v="1"/>
    <n v="0"/>
    <n v="0"/>
    <n v="90000"/>
    <n v="90000"/>
    <n v="0"/>
    <n v="0"/>
    <s v="CULTURA VIVA"/>
  </r>
  <r>
    <x v="8"/>
    <s v="2025-04_BOAVISTA_FOMENTO.pdf"/>
    <n v="2643100"/>
    <n v="0.25"/>
    <n v="0.1"/>
    <n v="0.05"/>
    <n v="259"/>
    <x v="0"/>
    <b v="1"/>
    <b v="1"/>
    <b v="1"/>
    <s v="1400100"/>
    <x v="1"/>
    <n v="65"/>
    <n v="26"/>
    <n v="13"/>
    <n v="10205.019305019299"/>
    <n v="663326.25482625479"/>
    <n v="265330.50193050189"/>
    <n v="132665.25096525089"/>
    <s v="FOMENTO"/>
  </r>
  <r>
    <x v="8"/>
    <s v="2025-06_BOAVISTA_FOMENTO.pdf"/>
    <n v="472868"/>
    <n v="0"/>
    <n v="0"/>
    <n v="0"/>
    <n v="1"/>
    <x v="0"/>
    <b v="1"/>
    <b v="1"/>
    <b v="1"/>
    <s v="1400100"/>
    <x v="1"/>
    <n v="0"/>
    <n v="0"/>
    <n v="0"/>
    <n v="472868"/>
    <n v="0"/>
    <n v="0"/>
    <n v="0"/>
    <s v="FOMENTO"/>
  </r>
  <r>
    <x v="9"/>
    <s v="2025-13_CAMPOGRANDE_FOMENTO.pdf"/>
    <n v="1197706.2"/>
    <n v="0.25"/>
    <n v="0.1"/>
    <n v="0.1"/>
    <n v="25"/>
    <x v="0"/>
    <b v="1"/>
    <b v="1"/>
    <b v="1"/>
    <s v="5002704"/>
    <x v="1"/>
    <n v="6"/>
    <n v="2"/>
    <n v="2"/>
    <n v="47908.248"/>
    <n v="287449.48800000001"/>
    <n v="95816.495999999999"/>
    <n v="95816.495999999999"/>
    <s v="FOMENTO"/>
  </r>
  <r>
    <x v="9"/>
    <s v="2024-13_CAMPOGRANDE_FOMENTO.pdf"/>
    <n v="2004628.5"/>
    <n v="0.25"/>
    <n v="0.1"/>
    <n v="0.1"/>
    <n v="50"/>
    <x v="0"/>
    <b v="1"/>
    <b v="1"/>
    <b v="1"/>
    <s v="5002704"/>
    <x v="1"/>
    <n v="12"/>
    <n v="5"/>
    <n v="5"/>
    <n v="40092.57"/>
    <n v="481110.84"/>
    <n v="200462.85"/>
    <n v="200462.85"/>
    <s v="FOMENTO"/>
  </r>
  <r>
    <x v="9"/>
    <s v="2024-12_CAMPOGRANDE_SUBSÍDIO.pdf"/>
    <n v="1431877.6"/>
    <n v="0.25"/>
    <n v="0.1"/>
    <n v="0.1"/>
    <n v="30"/>
    <x v="0"/>
    <b v="1"/>
    <b v="1"/>
    <b v="1"/>
    <s v="5002704"/>
    <x v="1"/>
    <n v="8"/>
    <n v="3"/>
    <n v="3"/>
    <n v="47729.253333333327"/>
    <n v="381834.02666666667"/>
    <n v="143187.76"/>
    <n v="143187.76"/>
    <s v="SUBSÍDIO"/>
  </r>
  <r>
    <x v="9"/>
    <s v="2024-14_CAMPOGRANDE_FOMENTO.pdf"/>
    <n v="2004628.5"/>
    <n v="0.26"/>
    <n v="0.1"/>
    <n v="0.06"/>
    <n v="50"/>
    <x v="0"/>
    <b v="1"/>
    <b v="1"/>
    <b v="1"/>
    <s v="5002704"/>
    <x v="1"/>
    <n v="13"/>
    <n v="5"/>
    <n v="3"/>
    <n v="40092.57"/>
    <n v="521203.41"/>
    <n v="200462.85"/>
    <n v="120277.71"/>
    <s v="FOMENTO"/>
  </r>
  <r>
    <x v="10"/>
    <s v="CEARÁ_CULTURAVIVA_07.pdf"/>
    <n v="1020000"/>
    <n v="0.25"/>
    <n v="0.1"/>
    <n v="0.1"/>
    <n v="28"/>
    <x v="0"/>
    <b v="1"/>
    <b v="1"/>
    <b v="1"/>
    <s v="23"/>
    <x v="0"/>
    <n v="7"/>
    <n v="3"/>
    <n v="3"/>
    <n v="36428.571428571428"/>
    <n v="255000"/>
    <n v="109285.7142857143"/>
    <n v="109285.7142857143"/>
    <s v="CULTURA VIVA"/>
  </r>
  <r>
    <x v="10"/>
    <s v="CEARÁ_CULTURAVIVA_09.pdf"/>
    <n v="4560000"/>
    <n v="0.25"/>
    <n v="0.1"/>
    <n v="0.1"/>
    <n v="38"/>
    <x v="0"/>
    <b v="1"/>
    <b v="1"/>
    <b v="1"/>
    <s v="23"/>
    <x v="0"/>
    <n v="10"/>
    <n v="4"/>
    <n v="4"/>
    <n v="120000"/>
    <n v="1200000"/>
    <n v="480000"/>
    <n v="480000"/>
    <s v="CULTURA VIVA"/>
  </r>
  <r>
    <x v="10"/>
    <s v="CEARÁ_CULTURAVIVA_10.pdf"/>
    <n v="1500000"/>
    <n v="0.25"/>
    <n v="0.1"/>
    <n v="0.1"/>
    <n v="3"/>
    <x v="0"/>
    <b v="1"/>
    <b v="1"/>
    <b v="1"/>
    <s v="23"/>
    <x v="0"/>
    <n v="1"/>
    <n v="0"/>
    <n v="0"/>
    <n v="500000"/>
    <n v="500000"/>
    <n v="0"/>
    <n v="0"/>
    <s v="CULTURA VIVA"/>
  </r>
  <r>
    <x v="10"/>
    <s v="SN_CEARÁ_CULTURAVIVA_01.pdf"/>
    <n v="1000000"/>
    <n v="0.25"/>
    <n v="0.1"/>
    <n v="0.1"/>
    <n v="20"/>
    <x v="3"/>
    <b v="1"/>
    <b v="1"/>
    <b v="1"/>
    <s v="23"/>
    <x v="0"/>
    <n v="5"/>
    <n v="2"/>
    <n v="2"/>
    <n v="50000"/>
    <n v="250000"/>
    <n v="100000"/>
    <n v="100000"/>
    <s v="CULTURA VIVA"/>
  </r>
  <r>
    <x v="10"/>
    <s v="SN_CEARÁ_FOMENTO_02.pdf"/>
    <n v="2000000"/>
    <n v="0.25"/>
    <n v="0.1"/>
    <n v="0.1"/>
    <n v="20"/>
    <x v="5"/>
    <b v="1"/>
    <b v="1"/>
    <b v="1"/>
    <s v="23"/>
    <x v="0"/>
    <n v="5"/>
    <n v="2"/>
    <n v="2"/>
    <n v="100000"/>
    <n v="500000"/>
    <n v="200000"/>
    <n v="200000"/>
    <s v="FOMENTO"/>
  </r>
  <r>
    <x v="10"/>
    <s v="CEARÁ_FOMENTO_02.pdf"/>
    <n v="15000000"/>
    <n v="0.25"/>
    <n v="0.1"/>
    <n v="0.1"/>
    <n v="410"/>
    <x v="0"/>
    <b v="1"/>
    <b v="1"/>
    <b v="1"/>
    <s v="23"/>
    <x v="0"/>
    <n v="102"/>
    <n v="41"/>
    <n v="41"/>
    <n v="36585.365853658543"/>
    <n v="3731707.317073171"/>
    <n v="1500000"/>
    <n v="1500000"/>
    <s v="FOMENTO"/>
  </r>
  <r>
    <x v="10"/>
    <s v="CEARÁ_FOMENTO_03.pdf"/>
    <n v="15000000"/>
    <n v="0.25"/>
    <n v="0.1"/>
    <n v="0.1"/>
    <n v="13"/>
    <x v="0"/>
    <b v="1"/>
    <b v="1"/>
    <b v="1"/>
    <s v="23"/>
    <x v="0"/>
    <n v="3"/>
    <n v="1"/>
    <n v="1"/>
    <n v="1153846.153846154"/>
    <n v="3461538.461538461"/>
    <n v="1153846.153846154"/>
    <n v="1153846.153846154"/>
    <s v="FOMENTO"/>
  </r>
  <r>
    <x v="10"/>
    <s v="CEARÁ_FOMENTO_04.pdf"/>
    <n v="15900000"/>
    <n v="0.25"/>
    <n v="0.1"/>
    <n v="0.1"/>
    <n v="114"/>
    <x v="0"/>
    <b v="1"/>
    <b v="1"/>
    <b v="1"/>
    <s v="23"/>
    <x v="0"/>
    <n v="28"/>
    <n v="11"/>
    <n v="11"/>
    <n v="139473.68421052629"/>
    <n v="3905263.1578947371"/>
    <n v="1534210.526315789"/>
    <n v="1534210.526315789"/>
    <s v="FOMENTO"/>
  </r>
  <r>
    <x v="10"/>
    <s v="CEARÁ_FOMENTO_12.pdf"/>
    <n v="2000000"/>
    <n v="0.25"/>
    <n v="0.1"/>
    <n v="0.1"/>
    <n v="30"/>
    <x v="0"/>
    <b v="1"/>
    <b v="1"/>
    <b v="1"/>
    <s v="23"/>
    <x v="0"/>
    <n v="8"/>
    <n v="3"/>
    <n v="3"/>
    <n v="66666.666666666672"/>
    <n v="533333.33333333337"/>
    <n v="200000"/>
    <n v="200000"/>
    <s v="FOMENTO"/>
  </r>
  <r>
    <x v="10"/>
    <s v="CEARÁ_FOMENTO_13.pdf"/>
    <n v="2691000"/>
    <n v="0.25"/>
    <n v="0.1"/>
    <n v="0.1"/>
    <n v="26"/>
    <x v="7"/>
    <b v="1"/>
    <b v="1"/>
    <b v="1"/>
    <s v="23"/>
    <x v="0"/>
    <n v="6"/>
    <n v="3"/>
    <n v="3"/>
    <n v="103500"/>
    <n v="621000"/>
    <n v="310500"/>
    <n v="310500"/>
    <s v="FOMENTO"/>
  </r>
  <r>
    <x v="10"/>
    <s v="CEARÁ_FOMENTO_14.pdf"/>
    <n v="2400000"/>
    <n v="0.25"/>
    <n v="0.1"/>
    <n v="0.1"/>
    <n v="20"/>
    <x v="0"/>
    <b v="1"/>
    <b v="1"/>
    <b v="1"/>
    <s v="23"/>
    <x v="0"/>
    <n v="5"/>
    <n v="2"/>
    <n v="2"/>
    <n v="120000"/>
    <n v="600000"/>
    <n v="240000"/>
    <n v="240000"/>
    <s v="FOMENTO"/>
  </r>
  <r>
    <x v="10"/>
    <s v="CEARÁ_FOMENTO_15.pdf"/>
    <n v="3000000"/>
    <n v="0.25"/>
    <n v="0.1"/>
    <n v="0.1"/>
    <n v="50"/>
    <x v="0"/>
    <b v="1"/>
    <b v="1"/>
    <b v="1"/>
    <s v="23"/>
    <x v="0"/>
    <n v="12"/>
    <n v="5"/>
    <n v="5"/>
    <n v="60000"/>
    <n v="720000"/>
    <n v="300000"/>
    <n v="300000"/>
    <s v="FOMENTO"/>
  </r>
  <r>
    <x v="10"/>
    <s v="CEARÁ_FOMENTO_16.pdf"/>
    <n v="2500000"/>
    <n v="0.25"/>
    <n v="0.1"/>
    <n v="0.1"/>
    <n v="16"/>
    <x v="0"/>
    <b v="1"/>
    <b v="1"/>
    <b v="1"/>
    <s v="23"/>
    <x v="0"/>
    <n v="4"/>
    <n v="2"/>
    <n v="2"/>
    <n v="156250"/>
    <n v="625000"/>
    <n v="312500"/>
    <n v="312500"/>
    <s v="FOMENTO"/>
  </r>
  <r>
    <x v="10"/>
    <s v="CEARÁ_FOMENTO_17.pdf"/>
    <n v="14988000"/>
    <n v="0.25"/>
    <n v="0.1"/>
    <n v="0.1"/>
    <n v="40"/>
    <x v="0"/>
    <b v="1"/>
    <b v="1"/>
    <b v="1"/>
    <s v="23"/>
    <x v="0"/>
    <n v="10"/>
    <n v="4"/>
    <n v="4"/>
    <n v="374700"/>
    <n v="3747000"/>
    <n v="1498800"/>
    <n v="1498800"/>
    <s v="FOMENTO"/>
  </r>
  <r>
    <x v="10"/>
    <s v="CEARÁ_PRÊMIO_06.pdf"/>
    <n v="1000000"/>
    <n v="0.25"/>
    <n v="0.1"/>
    <n v="0.1"/>
    <n v="20"/>
    <x v="0"/>
    <b v="1"/>
    <b v="1"/>
    <b v="1"/>
    <s v="23"/>
    <x v="0"/>
    <n v="5"/>
    <n v="2"/>
    <n v="2"/>
    <n v="50000"/>
    <n v="250000"/>
    <n v="100000"/>
    <n v="100000"/>
    <s v="PRÊMIO"/>
  </r>
  <r>
    <x v="10"/>
    <s v="SN_CEARÁ_PRÊMIO_12.pdf"/>
    <n v="3000000"/>
    <n v="0.5"/>
    <n v="0.5"/>
    <n v="0"/>
    <n v="98"/>
    <x v="4"/>
    <b v="1"/>
    <b v="1"/>
    <b v="0"/>
    <s v="23"/>
    <x v="0"/>
    <n v="49"/>
    <n v="49"/>
    <n v="0"/>
    <n v="30612.244897959179"/>
    <n v="1500000"/>
    <n v="1500000"/>
    <n v="0"/>
    <s v="PRÊMIO"/>
  </r>
  <r>
    <x v="11"/>
    <s v="2024-01_CUIABÁ_FOMENTO.pdf"/>
    <n v="2530000"/>
    <n v="0.25"/>
    <n v="0.1"/>
    <n v="0.05"/>
    <n v="89"/>
    <x v="0"/>
    <b v="1"/>
    <b v="1"/>
    <b v="1"/>
    <s v="5103403"/>
    <x v="1"/>
    <n v="22"/>
    <n v="9"/>
    <n v="4"/>
    <n v="28426.966292134832"/>
    <n v="625393.25842696626"/>
    <n v="255842.69662921349"/>
    <n v="113707.8651685393"/>
    <s v="FOMENTO"/>
  </r>
  <r>
    <x v="11"/>
    <s v="2024-03_CUIABÁ_CULTURAVIVA.pdf"/>
    <n v="1050000"/>
    <n v="0.25"/>
    <n v="0.1"/>
    <n v="0.05"/>
    <n v="39"/>
    <x v="0"/>
    <b v="1"/>
    <b v="1"/>
    <b v="1"/>
    <s v="5103403"/>
    <x v="1"/>
    <n v="10"/>
    <n v="4"/>
    <n v="2"/>
    <n v="26923.076923076918"/>
    <n v="269230.76923076919"/>
    <n v="107692.3076923077"/>
    <n v="53846.153846153837"/>
    <s v="CULTURA VIVA"/>
  </r>
  <r>
    <x v="11"/>
    <s v="2024-02_CUIABÁ_SUBSÍDIO.pdf"/>
    <n v="120000"/>
    <n v="0.25"/>
    <n v="0.1"/>
    <n v="0.05"/>
    <n v="6"/>
    <x v="0"/>
    <b v="1"/>
    <b v="1"/>
    <b v="1"/>
    <s v="5103403"/>
    <x v="1"/>
    <n v="2"/>
    <n v="1"/>
    <n v="0"/>
    <n v="20000"/>
    <n v="40000"/>
    <n v="20000"/>
    <n v="0"/>
    <s v="SUBSÍDIO"/>
  </r>
  <r>
    <x v="12"/>
    <s v="2024-31_CURITIBA_CULTURAVIVA.pdf.pdf"/>
    <n v="2844000"/>
    <n v="0.25"/>
    <n v="0.1"/>
    <n v="0.05"/>
    <n v="94"/>
    <x v="0"/>
    <b v="1"/>
    <b v="1"/>
    <b v="1"/>
    <s v="4106902"/>
    <x v="1"/>
    <n v="24"/>
    <n v="9"/>
    <n v="5"/>
    <n v="30255.319148936171"/>
    <n v="726127.65957446815"/>
    <n v="272297.87234042562"/>
    <n v="151276.59574468079"/>
    <s v="CULTURA VIVA"/>
  </r>
  <r>
    <x v="12"/>
    <s v="2025-10_CURITIBA_CULTURAVIVA.pdf.pdf"/>
    <n v="1674000"/>
    <n v="0.25"/>
    <n v="0.1"/>
    <n v="0.05"/>
    <n v="55"/>
    <x v="0"/>
    <b v="1"/>
    <b v="1"/>
    <b v="1"/>
    <s v="4106902"/>
    <x v="1"/>
    <n v="14"/>
    <n v="6"/>
    <n v="3"/>
    <n v="30436.36363636364"/>
    <n v="426109.09090909088"/>
    <n v="182618.18181818179"/>
    <n v="91309.090909090912"/>
    <s v="CULTURA VIVA"/>
  </r>
  <r>
    <x v="12"/>
    <s v="2024-32_CURITIBA_FOMENTO.pdf"/>
    <n v="7840000"/>
    <n v="0.25"/>
    <n v="0.1"/>
    <n v="0.05"/>
    <n v="225"/>
    <x v="0"/>
    <b v="1"/>
    <b v="1"/>
    <b v="1"/>
    <s v="4106902"/>
    <x v="1"/>
    <n v="56"/>
    <n v="22"/>
    <n v="11"/>
    <n v="34844.444444444453"/>
    <n v="1951288.888888889"/>
    <n v="766577.77777777775"/>
    <n v="383288.88888888888"/>
    <s v="FOMENTO"/>
  </r>
  <r>
    <x v="13"/>
    <s v="DF_CULTURAVIVA_462024.pdf"/>
    <n v="2000000"/>
    <n v="0.25"/>
    <n v="0.1"/>
    <n v="0.05"/>
    <n v="20"/>
    <x v="0"/>
    <b v="1"/>
    <b v="1"/>
    <b v="1"/>
    <s v="53"/>
    <x v="0"/>
    <n v="5"/>
    <n v="2"/>
    <n v="1"/>
    <n v="100000"/>
    <n v="500000"/>
    <n v="200000"/>
    <n v="100000"/>
    <s v="CULTURA VIVA"/>
  </r>
  <r>
    <x v="13"/>
    <s v="DF_CULTURAVIVA_482024.pdf"/>
    <n v="900000"/>
    <n v="0.25"/>
    <n v="0.1"/>
    <n v="0.05"/>
    <n v="3"/>
    <x v="0"/>
    <b v="1"/>
    <b v="1"/>
    <b v="1"/>
    <s v="53"/>
    <x v="0"/>
    <n v="1"/>
    <n v="0"/>
    <n v="0"/>
    <n v="300000"/>
    <n v="300000"/>
    <n v="0"/>
    <n v="0"/>
    <s v="CULTURA VIVA"/>
  </r>
  <r>
    <x v="13"/>
    <s v="DF_CULTURAVIVA_492024.pdf"/>
    <n v="3150000"/>
    <n v="0.26829999999999998"/>
    <n v="9.7599999999999992E-2"/>
    <n v="4.8800000000000003E-2"/>
    <n v="82"/>
    <x v="0"/>
    <b v="1"/>
    <b v="1"/>
    <b v="1"/>
    <s v="53"/>
    <x v="0"/>
    <n v="22"/>
    <n v="8"/>
    <n v="4"/>
    <n v="38414.634146341457"/>
    <n v="845121.95121951227"/>
    <n v="307317.07317073172"/>
    <n v="153658.53658536589"/>
    <s v="CULTURA VIVA"/>
  </r>
  <r>
    <x v="13"/>
    <s v="DF_FOMENTO_512024.pdf"/>
    <n v="24456206.84"/>
    <n v="0.24660000000000001"/>
    <n v="0.1507"/>
    <n v="0.16439999999999999"/>
    <n v="73"/>
    <x v="0"/>
    <b v="1"/>
    <b v="1"/>
    <b v="1"/>
    <s v="53"/>
    <x v="0"/>
    <n v="18"/>
    <n v="11"/>
    <n v="12"/>
    <n v="335016.53205479449"/>
    <n v="6030297.5769863017"/>
    <n v="3685181.8526027398"/>
    <n v="4020198.3846575348"/>
    <s v="FOMENTO"/>
  </r>
  <r>
    <x v="14"/>
    <s v="2024-05_ES_FOMENTO.pdf"/>
    <n v="2100000"/>
    <n v="0.25"/>
    <n v="0.1"/>
    <n v="0.05"/>
    <n v="50"/>
    <x v="4"/>
    <b v="1"/>
    <b v="1"/>
    <b v="1"/>
    <s v="32"/>
    <x v="0"/>
    <n v="12"/>
    <n v="5"/>
    <n v="2"/>
    <n v="42000"/>
    <n v="504000"/>
    <n v="210000"/>
    <n v="84000"/>
    <s v="CULTURA VIVA"/>
  </r>
  <r>
    <x v="14"/>
    <s v="ES_CULTURAVIVA_062024.pdf"/>
    <n v="1200000"/>
    <n v="0.25"/>
    <n v="0.25"/>
    <n v="0"/>
    <n v="4"/>
    <x v="0"/>
    <b v="1"/>
    <b v="1"/>
    <b v="1"/>
    <s v="32"/>
    <x v="0"/>
    <n v="1"/>
    <n v="1"/>
    <n v="0"/>
    <n v="300000"/>
    <n v="300000"/>
    <n v="300000"/>
    <n v="0"/>
    <s v="CULTURA VIVA"/>
  </r>
  <r>
    <x v="14"/>
    <s v="ES_CULTURAVIVA_072024.pdf"/>
    <n v="480000"/>
    <n v="0.25"/>
    <n v="0.1"/>
    <n v="0"/>
    <n v="4"/>
    <x v="0"/>
    <b v="1"/>
    <b v="1"/>
    <b v="1"/>
    <s v="32"/>
    <x v="0"/>
    <n v="1"/>
    <n v="0"/>
    <n v="0"/>
    <n v="120000"/>
    <n v="120000"/>
    <n v="0"/>
    <n v="0"/>
    <s v="CULTURA VIVA"/>
  </r>
  <r>
    <x v="14"/>
    <s v="ES_FOMENTO_022024.pdf"/>
    <n v="800000"/>
    <n v="0.25"/>
    <n v="0.1"/>
    <n v="0.05"/>
    <n v="20"/>
    <x v="0"/>
    <b v="1"/>
    <b v="1"/>
    <b v="1"/>
    <s v="32"/>
    <x v="0"/>
    <n v="5"/>
    <n v="2"/>
    <n v="1"/>
    <n v="40000"/>
    <n v="200000"/>
    <n v="80000"/>
    <n v="40000"/>
    <s v="FOMENTO"/>
  </r>
  <r>
    <x v="14"/>
    <s v="ES_FOMENTO_032024.pdf"/>
    <n v="1120000"/>
    <n v="0.25"/>
    <n v="0.1"/>
    <n v="0.05"/>
    <n v="56"/>
    <x v="0"/>
    <b v="1"/>
    <b v="1"/>
    <b v="1"/>
    <s v="32"/>
    <x v="0"/>
    <n v="14"/>
    <n v="6"/>
    <n v="3"/>
    <n v="20000"/>
    <n v="280000"/>
    <n v="120000"/>
    <n v="60000"/>
    <s v="FOMENTO"/>
  </r>
  <r>
    <x v="14"/>
    <s v="ES_FOMENTO_042024.pdf"/>
    <n v="2100000"/>
    <n v="0.25"/>
    <n v="0.1"/>
    <n v="0.05"/>
    <n v="50"/>
    <x v="5"/>
    <b v="1"/>
    <b v="1"/>
    <b v="1"/>
    <s v="32"/>
    <x v="0"/>
    <n v="12"/>
    <n v="5"/>
    <n v="2"/>
    <n v="42000"/>
    <n v="504000"/>
    <n v="210000"/>
    <n v="84000"/>
    <s v="FOMENTO"/>
  </r>
  <r>
    <x v="14"/>
    <s v="ES_FOMENTO_042025.pdf"/>
    <n v="3200000"/>
    <n v="0.25"/>
    <n v="0.1"/>
    <n v="0.05"/>
    <n v="10"/>
    <x v="0"/>
    <b v="1"/>
    <b v="1"/>
    <b v="1"/>
    <s v="32"/>
    <x v="0"/>
    <n v="2"/>
    <n v="1"/>
    <n v="0"/>
    <n v="320000"/>
    <n v="640000"/>
    <n v="320000"/>
    <n v="0"/>
    <s v="FOMENTO"/>
  </r>
  <r>
    <x v="14"/>
    <s v="ES_FOMENTO_052024.pdf"/>
    <n v="2500000"/>
    <n v="0.25"/>
    <n v="0.1"/>
    <n v="0.05"/>
    <n v="50"/>
    <x v="0"/>
    <b v="1"/>
    <b v="1"/>
    <b v="1"/>
    <s v="32"/>
    <x v="0"/>
    <n v="12"/>
    <n v="5"/>
    <n v="2"/>
    <n v="50000"/>
    <n v="600000"/>
    <n v="250000"/>
    <n v="100000"/>
    <s v="FOMENTO"/>
  </r>
  <r>
    <x v="14"/>
    <s v="ES_FOMENTO_062024.pdf"/>
    <n v="560000"/>
    <n v="0.25"/>
    <n v="0.1"/>
    <n v="0.05"/>
    <n v="14"/>
    <x v="0"/>
    <b v="1"/>
    <b v="1"/>
    <b v="1"/>
    <s v="32"/>
    <x v="0"/>
    <n v="4"/>
    <n v="1"/>
    <n v="1"/>
    <n v="40000"/>
    <n v="160000"/>
    <n v="40000"/>
    <n v="40000"/>
    <s v="FOMENTO"/>
  </r>
  <r>
    <x v="14"/>
    <s v="ES_FOMENTO_082024.pdf"/>
    <n v="1700000"/>
    <n v="0.25"/>
    <n v="0.1"/>
    <n v="0.05"/>
    <n v="33"/>
    <x v="0"/>
    <b v="1"/>
    <b v="1"/>
    <b v="1"/>
    <s v="32"/>
    <x v="0"/>
    <n v="8"/>
    <n v="3"/>
    <n v="2"/>
    <n v="51515.151515151512"/>
    <n v="412121.2121212121"/>
    <n v="154545.4545454545"/>
    <n v="103030.303030303"/>
    <s v="FOMENTO"/>
  </r>
  <r>
    <x v="14"/>
    <s v="ES_FOMENTO_092024.pdf"/>
    <n v="1870000"/>
    <n v="0.25"/>
    <n v="0.1"/>
    <n v="0.05"/>
    <n v="26"/>
    <x v="0"/>
    <b v="1"/>
    <b v="1"/>
    <b v="1"/>
    <s v="32"/>
    <x v="0"/>
    <n v="6"/>
    <n v="3"/>
    <n v="1"/>
    <n v="71923.076923076922"/>
    <n v="431538.4615384615"/>
    <n v="215769.23076923081"/>
    <n v="71923.076923076922"/>
    <s v="FOMENTO"/>
  </r>
  <r>
    <x v="14"/>
    <s v="ES_FOMENTO_102024.pdf"/>
    <n v="3870000"/>
    <n v="0.25"/>
    <n v="0.1"/>
    <n v="0.05"/>
    <n v="57"/>
    <x v="0"/>
    <b v="1"/>
    <b v="1"/>
    <b v="1"/>
    <s v="32"/>
    <x v="0"/>
    <n v="14"/>
    <n v="6"/>
    <n v="3"/>
    <n v="67894.736842105267"/>
    <n v="950526.31578947371"/>
    <n v="407368.42105263157"/>
    <n v="203684.21052631579"/>
    <s v="FOMENTO"/>
  </r>
  <r>
    <x v="14"/>
    <s v="ES_FOMENTO_112024.pdf"/>
    <n v="1700000"/>
    <n v="0.25"/>
    <n v="0.1"/>
    <n v="0.05"/>
    <n v="47"/>
    <x v="0"/>
    <b v="1"/>
    <b v="1"/>
    <b v="1"/>
    <s v="32"/>
    <x v="0"/>
    <n v="12"/>
    <n v="5"/>
    <n v="2"/>
    <n v="36170.212765957447"/>
    <n v="434042.55319148942"/>
    <n v="180851.06382978731"/>
    <n v="72340.425531914894"/>
    <s v="FOMENTO"/>
  </r>
  <r>
    <x v="14"/>
    <s v="ES_FOMENTO_122024.pdf"/>
    <n v="1050000"/>
    <n v="0.25"/>
    <n v="0.1"/>
    <n v="0.05"/>
    <n v="25"/>
    <x v="0"/>
    <b v="1"/>
    <b v="1"/>
    <b v="1"/>
    <s v="32"/>
    <x v="0"/>
    <n v="6"/>
    <n v="2"/>
    <n v="1"/>
    <n v="42000"/>
    <n v="252000"/>
    <n v="84000"/>
    <n v="42000"/>
    <s v="FOMENTO"/>
  </r>
  <r>
    <x v="14"/>
    <s v="ES_FOMENTO_132024.pdf"/>
    <n v="880000"/>
    <n v="0.25"/>
    <n v="0.1"/>
    <n v="0.05"/>
    <n v="20"/>
    <x v="0"/>
    <b v="1"/>
    <b v="1"/>
    <b v="1"/>
    <s v="32"/>
    <x v="0"/>
    <n v="5"/>
    <n v="2"/>
    <n v="1"/>
    <n v="44000"/>
    <n v="220000"/>
    <n v="88000"/>
    <n v="44000"/>
    <s v="FOMENTO"/>
  </r>
  <r>
    <x v="14"/>
    <s v="ES_FOMENTO_142024.pdf"/>
    <n v="5600000"/>
    <n v="0.25"/>
    <n v="0.1"/>
    <n v="0.05"/>
    <n v="18"/>
    <x v="0"/>
    <b v="1"/>
    <b v="1"/>
    <b v="1"/>
    <s v="32"/>
    <x v="0"/>
    <n v="4"/>
    <n v="2"/>
    <n v="1"/>
    <n v="311111.11111111112"/>
    <n v="1244444.444444444"/>
    <n v="622222.22222222225"/>
    <n v="311111.11111111112"/>
    <s v="FOMENTO"/>
  </r>
  <r>
    <x v="14"/>
    <s v="ES_FOMENTO_152024.pdf"/>
    <n v="1300000"/>
    <n v="0.25"/>
    <n v="0.1"/>
    <n v="0.05"/>
    <n v="30"/>
    <x v="0"/>
    <b v="1"/>
    <b v="1"/>
    <b v="1"/>
    <s v="32"/>
    <x v="0"/>
    <n v="8"/>
    <n v="3"/>
    <n v="2"/>
    <n v="43333.333333333343"/>
    <n v="346666.66666666669"/>
    <n v="130000"/>
    <n v="86666.666666666672"/>
    <s v="FOMENTO"/>
  </r>
  <r>
    <x v="14"/>
    <s v="ES_FOMENTO_172024.pdf"/>
    <n v="1000000"/>
    <n v="0"/>
    <n v="0"/>
    <n v="0"/>
    <n v="10"/>
    <x v="0"/>
    <b v="0"/>
    <b v="0"/>
    <b v="0"/>
    <s v="32"/>
    <x v="0"/>
    <n v="0"/>
    <n v="0"/>
    <n v="0"/>
    <n v="100000"/>
    <n v="0"/>
    <n v="0"/>
    <n v="0"/>
    <s v="FOMENTO"/>
  </r>
  <r>
    <x v="14"/>
    <s v="ES_FOMENTO_182024.pdf"/>
    <n v="400000"/>
    <n v="0.25"/>
    <n v="0.1"/>
    <n v="0.05"/>
    <n v="5"/>
    <x v="0"/>
    <b v="1"/>
    <b v="1"/>
    <b v="1"/>
    <s v="32"/>
    <x v="0"/>
    <n v="1"/>
    <n v="0"/>
    <n v="0"/>
    <n v="80000"/>
    <n v="80000"/>
    <n v="0"/>
    <n v="0"/>
    <s v="FOMENTO"/>
  </r>
  <r>
    <x v="14"/>
    <s v="ES_FOMENTO_192024.pdf"/>
    <n v="900000"/>
    <n v="0.25"/>
    <n v="0.1"/>
    <n v="0.05"/>
    <n v="20"/>
    <x v="7"/>
    <b v="1"/>
    <b v="1"/>
    <b v="1"/>
    <s v="32"/>
    <x v="0"/>
    <n v="5"/>
    <n v="2"/>
    <n v="1"/>
    <n v="45000"/>
    <n v="225000"/>
    <n v="90000"/>
    <n v="45000"/>
    <s v="FOMENTO"/>
  </r>
  <r>
    <x v="14"/>
    <s v="ES_PRÊMIO_072024.pdf"/>
    <n v="800000"/>
    <n v="0"/>
    <n v="0"/>
    <n v="0"/>
    <n v="10"/>
    <x v="0"/>
    <b v="1"/>
    <b v="1"/>
    <b v="0"/>
    <s v="32"/>
    <x v="0"/>
    <n v="0"/>
    <n v="0"/>
    <n v="0"/>
    <n v="80000"/>
    <n v="0"/>
    <n v="0"/>
    <n v="0"/>
    <s v="PRÊMIO"/>
  </r>
  <r>
    <x v="14"/>
    <s v="ES_PRÊMIO_162024.pdf"/>
    <n v="400000"/>
    <n v="0"/>
    <n v="0"/>
    <n v="0"/>
    <n v="20"/>
    <x v="1"/>
    <b v="1"/>
    <b v="1"/>
    <b v="0"/>
    <s v="32"/>
    <x v="0"/>
    <n v="0"/>
    <n v="0"/>
    <n v="0"/>
    <n v="20000"/>
    <n v="0"/>
    <n v="0"/>
    <n v="0"/>
    <s v="PRÊMIO"/>
  </r>
  <r>
    <x v="14"/>
    <s v="ES_SUBSÍDIO_032025.pdf"/>
    <n v="6000000"/>
    <n v="0.25"/>
    <n v="0.1"/>
    <n v="0.05"/>
    <n v="30"/>
    <x v="0"/>
    <b v="1"/>
    <b v="1"/>
    <b v="1"/>
    <s v="32"/>
    <x v="0"/>
    <n v="8"/>
    <n v="3"/>
    <n v="2"/>
    <n v="200000"/>
    <n v="1600000"/>
    <n v="600000"/>
    <n v="400000"/>
    <s v="SUBSÍDIO"/>
  </r>
  <r>
    <x v="15"/>
    <s v="2024-45_FLORIPA_FOMENTO.pdf.pdf"/>
    <n v="900000"/>
    <n v="0.25"/>
    <n v="8.3299999999999999E-2"/>
    <n v="5.5599999999999997E-2"/>
    <n v="36"/>
    <x v="0"/>
    <b v="1"/>
    <b v="1"/>
    <b v="1"/>
    <s v="4205407"/>
    <x v="1"/>
    <n v="9"/>
    <n v="3"/>
    <n v="2"/>
    <n v="25000"/>
    <n v="225000"/>
    <n v="75000"/>
    <n v="50000"/>
    <s v="FOMENTO"/>
  </r>
  <r>
    <x v="15"/>
    <s v="2024-44_FLORIPA_FOMENTO.pdf"/>
    <n v="250000"/>
    <n v="0.2"/>
    <n v="0.2"/>
    <n v="0.2"/>
    <n v="5"/>
    <x v="0"/>
    <b v="1"/>
    <b v="1"/>
    <b v="1"/>
    <s v="4205407"/>
    <x v="1"/>
    <n v="1"/>
    <n v="1"/>
    <n v="1"/>
    <n v="50000"/>
    <n v="50000"/>
    <n v="50000"/>
    <n v="50000"/>
    <s v="FOMENTO"/>
  </r>
  <r>
    <x v="15"/>
    <s v="2024-46_FLORIPA_PRÊMIO.pdf"/>
    <n v="290000"/>
    <n v="0.24"/>
    <n v="0.1"/>
    <n v="0.04"/>
    <n v="29"/>
    <x v="1"/>
    <b v="1"/>
    <b v="1"/>
    <b v="1"/>
    <s v="4205407"/>
    <x v="1"/>
    <n v="7"/>
    <n v="3"/>
    <n v="1"/>
    <n v="10000"/>
    <n v="70000"/>
    <n v="30000"/>
    <n v="10000"/>
    <s v="PRÊMIO"/>
  </r>
  <r>
    <x v="15"/>
    <s v="2024-41_FLORIPA_FOMENTO.pdf.pdf"/>
    <n v="1015000"/>
    <n v="0.24"/>
    <n v="0.1"/>
    <n v="0.04"/>
    <n v="29"/>
    <x v="0"/>
    <b v="1"/>
    <b v="1"/>
    <b v="1"/>
    <s v="4205407"/>
    <x v="1"/>
    <n v="7"/>
    <n v="3"/>
    <n v="1"/>
    <n v="35000"/>
    <n v="245000"/>
    <n v="105000"/>
    <n v="35000"/>
    <s v="FOMENTO"/>
  </r>
  <r>
    <x v="15"/>
    <s v="2024-47_FLORIPA_CULTURAVIVA.pdf"/>
    <n v="900000"/>
    <n v="0.25"/>
    <n v="0.1"/>
    <n v="0.05"/>
    <n v="45"/>
    <x v="0"/>
    <b v="1"/>
    <b v="1"/>
    <b v="1"/>
    <s v="4205407"/>
    <x v="1"/>
    <n v="11"/>
    <n v="4"/>
    <n v="2"/>
    <n v="20000"/>
    <n v="220000"/>
    <n v="80000"/>
    <n v="40000"/>
    <s v="CULTURA VIVA"/>
  </r>
  <r>
    <x v="16"/>
    <s v="2024-23_FORTALEZA_FOMENTO.pdf"/>
    <n v="500000"/>
    <n v="0.25"/>
    <n v="0.1"/>
    <n v="0.1"/>
    <n v="20"/>
    <x v="0"/>
    <b v="1"/>
    <b v="1"/>
    <b v="1"/>
    <s v="2304400"/>
    <x v="1"/>
    <n v="5"/>
    <n v="2"/>
    <n v="2"/>
    <n v="25000"/>
    <n v="125000"/>
    <n v="50000"/>
    <n v="50000"/>
    <s v="FOMENTO"/>
  </r>
  <r>
    <x v="16"/>
    <s v="2024-19_FORTALEZA_FOMENTO.pdf"/>
    <n v="480000"/>
    <n v="0.25"/>
    <n v="0.1"/>
    <n v="0.1"/>
    <n v="24"/>
    <x v="0"/>
    <b v="1"/>
    <b v="1"/>
    <b v="1"/>
    <s v="2304400"/>
    <x v="1"/>
    <n v="6"/>
    <n v="2"/>
    <n v="2"/>
    <n v="20000"/>
    <n v="120000"/>
    <n v="40000"/>
    <n v="40000"/>
    <s v="FOMENTO"/>
  </r>
  <r>
    <x v="16"/>
    <s v="2024-21_FORTALEZA_FOMENTO.pdf"/>
    <n v="480000"/>
    <n v="0.25"/>
    <n v="0.1"/>
    <n v="0.1"/>
    <n v="36"/>
    <x v="0"/>
    <b v="1"/>
    <b v="1"/>
    <b v="1"/>
    <s v="2304400"/>
    <x v="1"/>
    <n v="9"/>
    <n v="4"/>
    <n v="4"/>
    <n v="13333.33333333333"/>
    <n v="120000"/>
    <n v="53333.333333333343"/>
    <n v="53333.333333333343"/>
    <s v="FOMENTO"/>
  </r>
  <r>
    <x v="16"/>
    <s v="2024-22_FORTALEZA_FOMENTO.pdf"/>
    <n v="150000"/>
    <n v="0.25"/>
    <n v="0.1"/>
    <n v="0.1"/>
    <n v="6"/>
    <x v="0"/>
    <b v="1"/>
    <b v="1"/>
    <b v="1"/>
    <s v="2304400"/>
    <x v="1"/>
    <n v="2"/>
    <n v="1"/>
    <n v="1"/>
    <n v="25000"/>
    <n v="50000"/>
    <n v="25000"/>
    <n v="25000"/>
    <s v="FOMENTO"/>
  </r>
  <r>
    <x v="16"/>
    <s v="2024-18_FORTALEZA_FOMENTO.pdf"/>
    <n v="480000"/>
    <n v="0.25"/>
    <n v="0.1"/>
    <n v="0.1"/>
    <n v="20"/>
    <x v="3"/>
    <b v="1"/>
    <b v="1"/>
    <b v="1"/>
    <s v="2304400"/>
    <x v="1"/>
    <n v="5"/>
    <n v="2"/>
    <n v="2"/>
    <n v="24000"/>
    <n v="120000"/>
    <n v="48000"/>
    <n v="48000"/>
    <s v="FOMENTO"/>
  </r>
  <r>
    <x v="16"/>
    <s v="2024-26_FORTALEZA_FOMENTO.pdf"/>
    <n v="577489.37"/>
    <n v="0.25"/>
    <n v="0.1"/>
    <n v="0.1"/>
    <n v="12"/>
    <x v="0"/>
    <b v="1"/>
    <b v="1"/>
    <b v="1"/>
    <s v="2304400"/>
    <x v="1"/>
    <n v="3"/>
    <n v="1"/>
    <n v="1"/>
    <n v="48124.114166666674"/>
    <n v="144372.3425"/>
    <n v="48124.114166666674"/>
    <n v="48124.114166666674"/>
    <s v="FOMENTO"/>
  </r>
  <r>
    <x v="16"/>
    <s v="2025-09_FORTALEZA_PRÊMIO.pdf"/>
    <n v="2000000"/>
    <n v="0.25"/>
    <n v="0"/>
    <n v="0.1"/>
    <n v="30"/>
    <x v="0"/>
    <b v="1"/>
    <b v="0"/>
    <b v="1"/>
    <s v="2304400"/>
    <x v="1"/>
    <n v="8"/>
    <n v="0"/>
    <n v="3"/>
    <n v="66666.666666666672"/>
    <n v="533333.33333333337"/>
    <n v="0"/>
    <n v="200000"/>
    <s v="PRÊMIO"/>
  </r>
  <r>
    <x v="16"/>
    <s v="2025-01_FORTALEZA_PRÊMIO.pdf"/>
    <n v="288000"/>
    <n v="0.25"/>
    <n v="0.1"/>
    <n v="0.1"/>
    <n v="16"/>
    <x v="0"/>
    <b v="1"/>
    <b v="1"/>
    <b v="1"/>
    <s v="2304400"/>
    <x v="1"/>
    <n v="4"/>
    <n v="2"/>
    <n v="2"/>
    <n v="18000"/>
    <n v="72000"/>
    <n v="36000"/>
    <n v="36000"/>
    <s v="PRÊMIO"/>
  </r>
  <r>
    <x v="16"/>
    <s v="2024-25_FORTALEZA_FOMENTO.pdf"/>
    <n v="1600000"/>
    <n v="0"/>
    <n v="0"/>
    <n v="0"/>
    <n v="3"/>
    <x v="0"/>
    <b v="1"/>
    <b v="1"/>
    <b v="1"/>
    <s v="2304400"/>
    <x v="1"/>
    <n v="0"/>
    <n v="0"/>
    <n v="0"/>
    <n v="533333.33333333337"/>
    <n v="0"/>
    <n v="0"/>
    <n v="0"/>
    <s v="FOMENTO"/>
  </r>
  <r>
    <x v="16"/>
    <s v="2025-07_FORTALEZA_PRÊMIO.pdf"/>
    <n v="1622228.16"/>
    <n v="0"/>
    <n v="0"/>
    <n v="0"/>
    <n v="48"/>
    <x v="4"/>
    <b v="1"/>
    <b v="1"/>
    <b v="0"/>
    <s v="2304400"/>
    <x v="1"/>
    <n v="0"/>
    <n v="0"/>
    <n v="0"/>
    <n v="33796.42"/>
    <n v="0"/>
    <n v="0"/>
    <n v="0"/>
    <s v="PRÊMIO"/>
  </r>
  <r>
    <x v="16"/>
    <s v="2025-10_FORTALEZA_FOMENTO.pdf"/>
    <n v="350272"/>
    <n v="0"/>
    <n v="0"/>
    <n v="1"/>
    <n v="26"/>
    <x v="8"/>
    <b v="1"/>
    <b v="1"/>
    <b v="1"/>
    <s v="2304400"/>
    <x v="1"/>
    <n v="0"/>
    <n v="0"/>
    <n v="26"/>
    <n v="13472"/>
    <n v="0"/>
    <n v="0"/>
    <n v="350272"/>
    <s v="FOMENTO"/>
  </r>
  <r>
    <x v="16"/>
    <s v="2024-30_FORTALEZA_FOMENTO.pdf"/>
    <n v="523104.55"/>
    <n v="0"/>
    <n v="0"/>
    <n v="0"/>
    <n v="12"/>
    <x v="4"/>
    <b v="1"/>
    <b v="1"/>
    <b v="0"/>
    <s v="2304400"/>
    <x v="1"/>
    <n v="0"/>
    <n v="0"/>
    <n v="0"/>
    <n v="43592.04583333333"/>
    <n v="0"/>
    <n v="0"/>
    <n v="0"/>
    <s v="FOMENTO"/>
  </r>
  <r>
    <x v="16"/>
    <s v="2024-16_FORTALEZA_FOMENTO.pdf"/>
    <n v="350000"/>
    <n v="0.25"/>
    <n v="0.1"/>
    <n v="0.1"/>
    <n v="30"/>
    <x v="9"/>
    <b v="1"/>
    <b v="1"/>
    <b v="1"/>
    <s v="2304400"/>
    <x v="1"/>
    <n v="8"/>
    <n v="3"/>
    <n v="3"/>
    <n v="11666.66666666667"/>
    <n v="93333.333333333328"/>
    <n v="35000"/>
    <n v="35000"/>
    <s v="FOMENTO"/>
  </r>
  <r>
    <x v="17"/>
    <s v="2024-08_GOIÂNIA_FOMENTO.pdf"/>
    <n v="3910000"/>
    <n v="0.25"/>
    <n v="0.1"/>
    <n v="0.05"/>
    <n v="57"/>
    <x v="0"/>
    <b v="1"/>
    <b v="1"/>
    <b v="1"/>
    <s v="5208707"/>
    <x v="1"/>
    <n v="14"/>
    <n v="6"/>
    <n v="3"/>
    <n v="68596.491228070168"/>
    <n v="960350.87719298236"/>
    <n v="411578.94736842101"/>
    <n v="205789.4736842105"/>
    <s v="FOMENTO"/>
  </r>
  <r>
    <x v="17"/>
    <s v="2024-10_GOIÂNIA_FOMENTO.pdf"/>
    <n v="421392.11"/>
    <n v="0.25"/>
    <n v="0.1"/>
    <n v="0.05"/>
    <n v="42"/>
    <x v="0"/>
    <b v="1"/>
    <b v="1"/>
    <b v="1"/>
    <s v="5208707"/>
    <x v="1"/>
    <n v="10"/>
    <n v="4"/>
    <n v="2"/>
    <n v="10033.145476190481"/>
    <n v="100331.4547619048"/>
    <n v="40132.581904761901"/>
    <n v="20066.29095238095"/>
    <s v="FOMENTO"/>
  </r>
  <r>
    <x v="17"/>
    <s v="2024-09_GOIÂNIA_FOMENTO.pdf"/>
    <n v="485313.39"/>
    <n v="0.25"/>
    <n v="0.1"/>
    <n v="0.05"/>
    <n v="29"/>
    <x v="0"/>
    <b v="1"/>
    <b v="1"/>
    <b v="1"/>
    <s v="5208707"/>
    <x v="1"/>
    <n v="7"/>
    <n v="3"/>
    <n v="1"/>
    <n v="16734.944482758619"/>
    <n v="117144.6113793103"/>
    <n v="50204.833448275858"/>
    <n v="16734.944482758619"/>
    <s v="FOMENTO"/>
  </r>
  <r>
    <x v="17"/>
    <s v="2024-11_GOIÂNIA_FOMENTO.pdf"/>
    <n v="960784.25"/>
    <n v="0.25"/>
    <n v="0.1"/>
    <n v="0.05"/>
    <n v="3"/>
    <x v="0"/>
    <b v="1"/>
    <b v="1"/>
    <b v="1"/>
    <s v="5208707"/>
    <x v="1"/>
    <n v="1"/>
    <n v="0"/>
    <n v="0"/>
    <n v="320261.41666666669"/>
    <n v="320261.41666666669"/>
    <n v="0"/>
    <n v="0"/>
    <s v="FOMENTO"/>
  </r>
  <r>
    <x v="17"/>
    <s v="2024-13_GOIÂNIA_CULTURAVIVA.pdf"/>
    <n v="2401960.5"/>
    <n v="0.25"/>
    <n v="0.1"/>
    <n v="0.05"/>
    <n v="40"/>
    <x v="0"/>
    <b v="1"/>
    <b v="1"/>
    <b v="1"/>
    <s v="5208707"/>
    <x v="1"/>
    <n v="10"/>
    <n v="4"/>
    <n v="2"/>
    <n v="60049.012499999997"/>
    <n v="600490.125"/>
    <n v="240196.05"/>
    <n v="120098.02499999999"/>
    <s v="CULTURA VIVA"/>
  </r>
  <r>
    <x v="17"/>
    <s v="2024-12_GOIÂNIA_SUBSÍDIO.pdf"/>
    <n v="948000"/>
    <n v="0.25"/>
    <n v="0.1"/>
    <n v="0.05"/>
    <n v="57"/>
    <x v="0"/>
    <b v="1"/>
    <b v="1"/>
    <b v="1"/>
    <s v="5208707"/>
    <x v="1"/>
    <n v="14"/>
    <n v="6"/>
    <n v="3"/>
    <n v="16631.57894736842"/>
    <n v="232842.10526315789"/>
    <n v="99789.473684210519"/>
    <n v="49894.73684210526"/>
    <s v="SUBSÍDIO"/>
  </r>
  <r>
    <x v="18"/>
    <s v="GO_CULTURAVIVA_012025.pdf"/>
    <n v="1957000"/>
    <n v="0.3"/>
    <n v="0.1"/>
    <n v="0.1"/>
    <n v="50"/>
    <x v="0"/>
    <b v="1"/>
    <b v="1"/>
    <b v="1"/>
    <s v="52"/>
    <x v="0"/>
    <n v="15"/>
    <n v="5"/>
    <n v="5"/>
    <n v="39140"/>
    <n v="587100"/>
    <n v="195700"/>
    <n v="195700"/>
    <s v="CULTURA VIVA"/>
  </r>
  <r>
    <x v="18"/>
    <s v="GO_CULTURAVIVA_182024.pdf"/>
    <n v="5400000"/>
    <n v="0.25"/>
    <n v="0.1"/>
    <n v="0.1"/>
    <n v="40"/>
    <x v="0"/>
    <b v="1"/>
    <b v="1"/>
    <b v="1"/>
    <s v="52"/>
    <x v="0"/>
    <n v="10"/>
    <n v="4"/>
    <n v="4"/>
    <n v="135000"/>
    <n v="1350000"/>
    <n v="540000"/>
    <n v="540000"/>
    <s v="CULTURA VIVA"/>
  </r>
  <r>
    <x v="18"/>
    <s v="GO_CULTURAVIVA_192024.pdf"/>
    <n v="907000"/>
    <n v="0.25"/>
    <n v="0.1"/>
    <n v="0.1"/>
    <n v="2"/>
    <x v="0"/>
    <b v="1"/>
    <b v="1"/>
    <b v="1"/>
    <s v="52"/>
    <x v="0"/>
    <n v="0"/>
    <n v="0"/>
    <n v="0"/>
    <n v="453500"/>
    <n v="0"/>
    <n v="0"/>
    <n v="0"/>
    <s v="CULTURA VIVA"/>
  </r>
  <r>
    <x v="18"/>
    <s v="GO_FOMENTO_012024.pdf"/>
    <n v="1000000"/>
    <n v="0.25"/>
    <n v="0.1"/>
    <n v="0.1"/>
    <n v="15"/>
    <x v="7"/>
    <b v="1"/>
    <b v="1"/>
    <b v="1"/>
    <s v="52"/>
    <x v="0"/>
    <n v="4"/>
    <n v="2"/>
    <n v="2"/>
    <n v="66666.666666666672"/>
    <n v="266666.66666666669"/>
    <n v="133333.33333333331"/>
    <n v="133333.33333333331"/>
    <s v="FOMENTO"/>
  </r>
  <r>
    <x v="18"/>
    <s v="GO_FOMENTO_022024.pdf"/>
    <n v="2500000"/>
    <n v="0.25"/>
    <n v="0.1"/>
    <n v="0.1"/>
    <n v="20"/>
    <x v="0"/>
    <b v="1"/>
    <b v="1"/>
    <b v="1"/>
    <s v="52"/>
    <x v="0"/>
    <n v="5"/>
    <n v="2"/>
    <n v="2"/>
    <n v="125000"/>
    <n v="625000"/>
    <n v="250000"/>
    <n v="250000"/>
    <s v="FOMENTO"/>
  </r>
  <r>
    <x v="18"/>
    <s v="GO_FOMENTO_032024.pdf"/>
    <n v="2500000"/>
    <n v="0.25"/>
    <n v="0.1"/>
    <n v="0.1"/>
    <n v="36"/>
    <x v="0"/>
    <b v="1"/>
    <b v="1"/>
    <b v="1"/>
    <s v="52"/>
    <x v="0"/>
    <n v="9"/>
    <n v="4"/>
    <n v="4"/>
    <n v="69444.444444444438"/>
    <n v="625000"/>
    <n v="277777.77777777781"/>
    <n v="277777.77777777781"/>
    <s v="FOMENTO"/>
  </r>
  <r>
    <x v="18"/>
    <s v="GO_FOMENTO_042024.pdf"/>
    <n v="1000000"/>
    <n v="0.25"/>
    <n v="0.1"/>
    <n v="0.1"/>
    <n v="39"/>
    <x v="0"/>
    <b v="1"/>
    <b v="1"/>
    <b v="1"/>
    <s v="52"/>
    <x v="0"/>
    <n v="10"/>
    <n v="4"/>
    <n v="4"/>
    <n v="25641.025641025641"/>
    <n v="256410.25641025641"/>
    <n v="102564.10256410261"/>
    <n v="102564.10256410261"/>
    <s v="FOMENTO"/>
  </r>
  <r>
    <x v="18"/>
    <s v="GO_FOMENTO_052024.pdf"/>
    <n v="2000000"/>
    <n v="0.25"/>
    <n v="0.1"/>
    <n v="0.1"/>
    <n v="20"/>
    <x v="0"/>
    <b v="1"/>
    <b v="1"/>
    <b v="1"/>
    <s v="52"/>
    <x v="0"/>
    <n v="5"/>
    <n v="2"/>
    <n v="2"/>
    <n v="100000"/>
    <n v="500000"/>
    <n v="200000"/>
    <n v="200000"/>
    <s v="FOMENTO"/>
  </r>
  <r>
    <x v="18"/>
    <s v="GO_FOMENTO_062024.pdf"/>
    <n v="1000000"/>
    <n v="0.25"/>
    <n v="0.1"/>
    <n v="0.1"/>
    <n v="13"/>
    <x v="0"/>
    <b v="1"/>
    <b v="1"/>
    <b v="1"/>
    <s v="52"/>
    <x v="0"/>
    <n v="3"/>
    <n v="1"/>
    <n v="1"/>
    <n v="76923.076923076922"/>
    <n v="230769.23076923081"/>
    <n v="76923.076923076922"/>
    <n v="76923.076923076922"/>
    <s v="FOMENTO"/>
  </r>
  <r>
    <x v="18"/>
    <s v="GO_FOMENTO_072024.pdf"/>
    <n v="1000000"/>
    <n v="0.25"/>
    <n v="0.1"/>
    <n v="0.1"/>
    <n v="18"/>
    <x v="0"/>
    <b v="1"/>
    <b v="1"/>
    <b v="1"/>
    <s v="52"/>
    <x v="0"/>
    <n v="4"/>
    <n v="2"/>
    <n v="2"/>
    <n v="55555.555555555547"/>
    <n v="222222.22222222219"/>
    <n v="111111.11111111109"/>
    <n v="111111.11111111109"/>
    <s v="FOMENTO"/>
  </r>
  <r>
    <x v="18"/>
    <s v="GO_FOMENTO_082024.pdf"/>
    <n v="2000000"/>
    <n v="0.25"/>
    <n v="0.1"/>
    <n v="0.1"/>
    <n v="22"/>
    <x v="0"/>
    <b v="1"/>
    <b v="1"/>
    <b v="1"/>
    <s v="52"/>
    <x v="0"/>
    <n v="6"/>
    <n v="2"/>
    <n v="2"/>
    <n v="90909.090909090912"/>
    <n v="545454.54545454541"/>
    <n v="181818.18181818179"/>
    <n v="181818.18181818179"/>
    <s v="FOMENTO"/>
  </r>
  <r>
    <x v="18"/>
    <s v="GO_FOMENTO_092024.pdf"/>
    <n v="2000000"/>
    <n v="0.25"/>
    <n v="0.1"/>
    <n v="0.1"/>
    <n v="62"/>
    <x v="0"/>
    <b v="1"/>
    <b v="1"/>
    <b v="1"/>
    <s v="52"/>
    <x v="0"/>
    <n v="16"/>
    <n v="6"/>
    <n v="6"/>
    <n v="32258.06451612903"/>
    <n v="516129.03225806449"/>
    <n v="193548.38709677421"/>
    <n v="193548.38709677421"/>
    <s v="FOMENTO"/>
  </r>
  <r>
    <x v="18"/>
    <s v="GO_FOMENTO_102024.pdf"/>
    <n v="4000000"/>
    <n v="0.25"/>
    <n v="0.1"/>
    <n v="0.1"/>
    <n v="73"/>
    <x v="0"/>
    <b v="1"/>
    <b v="1"/>
    <b v="1"/>
    <s v="52"/>
    <x v="0"/>
    <n v="18"/>
    <n v="7"/>
    <n v="7"/>
    <n v="54794.520547945212"/>
    <n v="986301.36986301374"/>
    <n v="383561.64383561641"/>
    <n v="383561.64383561641"/>
    <s v="FOMENTO"/>
  </r>
  <r>
    <x v="18"/>
    <s v="GO_FOMENTO_112024.pdf"/>
    <n v="2000000"/>
    <n v="0.25"/>
    <n v="0.1"/>
    <n v="0.1"/>
    <n v="22"/>
    <x v="0"/>
    <b v="1"/>
    <b v="1"/>
    <b v="1"/>
    <s v="52"/>
    <x v="0"/>
    <n v="6"/>
    <n v="2"/>
    <n v="2"/>
    <n v="90909.090909090912"/>
    <n v="545454.54545454541"/>
    <n v="181818.18181818179"/>
    <n v="181818.18181818179"/>
    <s v="FOMENTO"/>
  </r>
  <r>
    <x v="18"/>
    <s v="GO_FOMENTO_122024.pdf"/>
    <n v="1500000"/>
    <n v="0.25"/>
    <n v="0.1"/>
    <n v="0.1"/>
    <n v="12"/>
    <x v="0"/>
    <b v="1"/>
    <b v="1"/>
    <b v="1"/>
    <s v="52"/>
    <x v="0"/>
    <n v="3"/>
    <n v="1"/>
    <n v="1"/>
    <n v="125000"/>
    <n v="375000"/>
    <n v="125000"/>
    <n v="125000"/>
    <s v="FOMENTO"/>
  </r>
  <r>
    <x v="18"/>
    <s v="GO_FOMENTO_132024.pdf"/>
    <n v="1000000"/>
    <n v="0.25"/>
    <n v="0.1"/>
    <n v="0.1"/>
    <n v="25"/>
    <x v="0"/>
    <b v="1"/>
    <b v="1"/>
    <b v="1"/>
    <s v="52"/>
    <x v="0"/>
    <n v="6"/>
    <n v="2"/>
    <n v="2"/>
    <n v="40000"/>
    <n v="240000"/>
    <n v="80000"/>
    <n v="80000"/>
    <s v="FOMENTO"/>
  </r>
  <r>
    <x v="18"/>
    <s v="GO_FOMENTO_142024.pdf"/>
    <n v="3500000"/>
    <n v="0.25"/>
    <n v="0.1"/>
    <n v="0.1"/>
    <n v="27"/>
    <x v="0"/>
    <b v="1"/>
    <b v="1"/>
    <b v="1"/>
    <s v="52"/>
    <x v="0"/>
    <n v="7"/>
    <n v="3"/>
    <n v="3"/>
    <n v="129629.62962962961"/>
    <n v="907407.40740740742"/>
    <n v="388888.88888888888"/>
    <n v="388888.88888888888"/>
    <s v="FOMENTO"/>
  </r>
  <r>
    <x v="18"/>
    <s v="GO_FOMENTO_162024.pdf"/>
    <n v="6050000"/>
    <n v="0.25"/>
    <n v="0.1"/>
    <n v="0.1"/>
    <n v="32"/>
    <x v="0"/>
    <b v="1"/>
    <b v="1"/>
    <b v="1"/>
    <s v="52"/>
    <x v="0"/>
    <n v="8"/>
    <n v="3"/>
    <n v="3"/>
    <n v="189062.5"/>
    <n v="1512500"/>
    <n v="567187.5"/>
    <n v="567187.5"/>
    <s v="FOMENTO"/>
  </r>
  <r>
    <x v="18"/>
    <s v="GO_FOMENTO_172024.pdf"/>
    <n v="1000000"/>
    <n v="0.25"/>
    <n v="0.1"/>
    <n v="0.1"/>
    <n v="10"/>
    <x v="0"/>
    <b v="1"/>
    <b v="1"/>
    <b v="1"/>
    <s v="52"/>
    <x v="0"/>
    <n v="2"/>
    <n v="1"/>
    <n v="1"/>
    <n v="100000"/>
    <n v="200000"/>
    <n v="100000"/>
    <n v="100000"/>
    <s v="FOMENTO"/>
  </r>
  <r>
    <x v="18"/>
    <s v="GO_SUBSÍDIO_152024.pdf"/>
    <n v="4950000"/>
    <n v="0.23680000000000001"/>
    <n v="7.8899999999999998E-2"/>
    <n v="7.8899999999999998E-2"/>
    <n v="38"/>
    <x v="0"/>
    <b v="1"/>
    <b v="0"/>
    <b v="1"/>
    <s v="52"/>
    <x v="0"/>
    <n v="9"/>
    <n v="3"/>
    <n v="3"/>
    <n v="130263.1578947368"/>
    <n v="1172368.421052631"/>
    <n v="390789.4736842105"/>
    <n v="390789.4736842105"/>
    <s v="SUBSÍDIO"/>
  </r>
  <r>
    <x v="19"/>
    <s v="2024-05_JOAOPESSOA_CULTURAVIVA.pdf.pdf"/>
    <n v="420000"/>
    <n v="0.25"/>
    <n v="0.1"/>
    <n v="0.05"/>
    <n v="14"/>
    <x v="0"/>
    <b v="1"/>
    <b v="1"/>
    <b v="1"/>
    <s v="2507507"/>
    <x v="1"/>
    <n v="4"/>
    <n v="1"/>
    <n v="1"/>
    <n v="30000"/>
    <n v="120000"/>
    <n v="30000"/>
    <n v="30000"/>
    <s v="CULTURA VIVA"/>
  </r>
  <r>
    <x v="19"/>
    <s v="2024-11_JOAOPESSOA_CULTURAVIVA.pdf.pdf"/>
    <n v="1200000"/>
    <n v="0.25"/>
    <n v="0.1"/>
    <n v="0.05"/>
    <n v="10"/>
    <x v="0"/>
    <b v="1"/>
    <b v="1"/>
    <b v="1"/>
    <s v="2507507"/>
    <x v="1"/>
    <n v="2"/>
    <n v="1"/>
    <n v="0"/>
    <n v="120000"/>
    <n v="240000"/>
    <n v="120000"/>
    <n v="0"/>
    <s v="CULTURA VIVA"/>
  </r>
  <r>
    <x v="19"/>
    <s v="2024-13_JOAOPESSOA_PRÊMIO.pdf"/>
    <n v="240000"/>
    <n v="1"/>
    <n v="0.1"/>
    <n v="7.0000000000000007E-2"/>
    <n v="30"/>
    <x v="6"/>
    <b v="1"/>
    <b v="1"/>
    <b v="1"/>
    <s v="2507507"/>
    <x v="1"/>
    <n v="30"/>
    <n v="3"/>
    <n v="2"/>
    <n v="8000"/>
    <n v="240000"/>
    <n v="24000"/>
    <n v="16000"/>
    <s v="PRÊMIO"/>
  </r>
  <r>
    <x v="19"/>
    <s v="2024-07_JOAOPESSOA_SUBSÍDIO.pdf"/>
    <n v="800000"/>
    <n v="0.25"/>
    <n v="0.1"/>
    <n v="0.05"/>
    <n v="20"/>
    <x v="0"/>
    <b v="1"/>
    <b v="1"/>
    <b v="1"/>
    <s v="2507507"/>
    <x v="1"/>
    <n v="5"/>
    <n v="2"/>
    <n v="1"/>
    <n v="40000"/>
    <n v="200000"/>
    <n v="80000"/>
    <n v="40000"/>
    <s v="SUBSÍDIO"/>
  </r>
  <r>
    <x v="19"/>
    <s v="2024-06_JOAOPESSOA_PRÊMIO.pdf.pdf"/>
    <n v="240000"/>
    <n v="0.26"/>
    <n v="0.1"/>
    <n v="0.06"/>
    <n v="30"/>
    <x v="0"/>
    <b v="1"/>
    <b v="1"/>
    <b v="1"/>
    <s v="2507507"/>
    <x v="1"/>
    <n v="8"/>
    <n v="3"/>
    <n v="2"/>
    <n v="8000"/>
    <n v="64000"/>
    <n v="24000"/>
    <n v="16000"/>
    <s v="PRÊMIO"/>
  </r>
  <r>
    <x v="19"/>
    <s v="2024-09_JOAOPESSOA_SUBSÍDIO.pdf"/>
    <n v="500000"/>
    <n v="0.23"/>
    <n v="0.12"/>
    <n v="0.06"/>
    <n v="17"/>
    <x v="0"/>
    <b v="1"/>
    <b v="1"/>
    <b v="1"/>
    <s v="2507507"/>
    <x v="1"/>
    <n v="4"/>
    <n v="2"/>
    <n v="1"/>
    <n v="29411.76470588235"/>
    <n v="117647.0588235294"/>
    <n v="58823.529411764714"/>
    <n v="29411.76470588235"/>
    <s v="SUBSÍDIO"/>
  </r>
  <r>
    <x v="19"/>
    <s v="2024-12_JOAOPESSOA_FOMENTO.pdf"/>
    <n v="370000"/>
    <n v="0.23"/>
    <n v="0.15"/>
    <n v="0.15"/>
    <n v="13"/>
    <x v="0"/>
    <b v="1"/>
    <b v="1"/>
    <b v="1"/>
    <s v="2507507"/>
    <x v="1"/>
    <n v="3"/>
    <n v="2"/>
    <n v="2"/>
    <n v="28461.538461538461"/>
    <n v="85384.615384615376"/>
    <n v="56923.076923076922"/>
    <n v="56923.076923076922"/>
    <s v="FOMENTO"/>
  </r>
  <r>
    <x v="19"/>
    <s v="2024-08_JOAOPESSOA_BOLSA.pdf"/>
    <n v="200000"/>
    <n v="0.26"/>
    <n v="0.13"/>
    <n v="0.06"/>
    <n v="15"/>
    <x v="0"/>
    <b v="1"/>
    <b v="1"/>
    <b v="1"/>
    <s v="2507507"/>
    <x v="1"/>
    <n v="4"/>
    <n v="2"/>
    <n v="1"/>
    <n v="13333.33333333333"/>
    <n v="53333.333333333343"/>
    <n v="26666.666666666672"/>
    <n v="13333.33333333333"/>
    <s v="BOLSA"/>
  </r>
  <r>
    <x v="19"/>
    <s v="2024-10_JOAOPESSOA_FOMENTO.pdf.pdf"/>
    <n v="1320000"/>
    <n v="0.24"/>
    <n v="0.09"/>
    <n v="0.06"/>
    <n v="75"/>
    <x v="0"/>
    <b v="0"/>
    <b v="1"/>
    <b v="1"/>
    <s v="2507507"/>
    <x v="1"/>
    <n v="18"/>
    <n v="7"/>
    <n v="4"/>
    <n v="17600"/>
    <n v="316800"/>
    <n v="123200"/>
    <n v="70400"/>
    <s v="FOMENTO"/>
  </r>
  <r>
    <x v="20"/>
    <s v="2024-05_MACAPÁ_CULTURAVIVA.pdf.pdf"/>
    <n v="868254.06"/>
    <n v="0.25"/>
    <n v="0.1"/>
    <n v="0.05"/>
    <n v="48"/>
    <x v="0"/>
    <b v="1"/>
    <b v="1"/>
    <b v="1"/>
    <s v="1600303"/>
    <x v="1"/>
    <n v="12"/>
    <n v="5"/>
    <n v="2"/>
    <n v="18088.626250000001"/>
    <n v="217063.51500000001"/>
    <n v="90443.131250000006"/>
    <n v="36177.252500000002"/>
    <s v="CULTURA VIVA"/>
  </r>
  <r>
    <x v="20"/>
    <s v="2024-04_MACAPÁ_FOMENTO.pdf"/>
    <n v="1070000"/>
    <n v="0.25"/>
    <n v="0.1"/>
    <n v="0.05"/>
    <n v="38"/>
    <x v="0"/>
    <b v="1"/>
    <b v="1"/>
    <b v="1"/>
    <s v="1600303"/>
    <x v="1"/>
    <n v="10"/>
    <n v="4"/>
    <n v="2"/>
    <n v="28157.89473684211"/>
    <n v="281578.94736842113"/>
    <n v="112631.5789473684"/>
    <n v="56315.789473684214"/>
    <s v="FOMENTO"/>
  </r>
  <r>
    <x v="20"/>
    <s v="2024-03_MACAPÁ_PRÊMIO.pdf"/>
    <n v="600000"/>
    <n v="0.25"/>
    <n v="0.1"/>
    <n v="0.05"/>
    <n v="65"/>
    <x v="0"/>
    <b v="1"/>
    <b v="1"/>
    <b v="1"/>
    <s v="1600303"/>
    <x v="1"/>
    <n v="16"/>
    <n v="6"/>
    <n v="3"/>
    <n v="9230.7692307692305"/>
    <n v="147692.30769230769"/>
    <n v="55384.615384615383"/>
    <n v="27692.307692307691"/>
    <s v="PRÊMIO"/>
  </r>
  <r>
    <x v="21"/>
    <s v="2024-07_MACEIÓ_FOMENTO.pdf"/>
    <n v="745000"/>
    <n v="0.26"/>
    <n v="0.1"/>
    <n v="0.08"/>
    <n v="51"/>
    <x v="0"/>
    <b v="1"/>
    <b v="1"/>
    <b v="1"/>
    <s v="2704302"/>
    <x v="1"/>
    <n v="13"/>
    <n v="5"/>
    <n v="4"/>
    <n v="14607.8431372549"/>
    <n v="189901.96078431371"/>
    <n v="73039.215686274518"/>
    <n v="58431.372549019608"/>
    <s v="FOMENTO"/>
  </r>
  <r>
    <x v="21"/>
    <s v="2024-06_MACEIÓ_FOMENTO.pdf"/>
    <n v="733500"/>
    <n v="0.28000000000000003"/>
    <n v="0.1"/>
    <n v="0.09"/>
    <n v="46"/>
    <x v="0"/>
    <b v="1"/>
    <b v="1"/>
    <b v="1"/>
    <s v="2704302"/>
    <x v="1"/>
    <n v="13"/>
    <n v="5"/>
    <n v="4"/>
    <n v="15945.65217391304"/>
    <n v="207293.4782608696"/>
    <n v="79728.260869565216"/>
    <n v="63782.608695652183"/>
    <s v="FOMENTO"/>
  </r>
  <r>
    <x v="21"/>
    <s v="2024-05_MACEIÓ_FOMENTO.pdf"/>
    <n v="462000"/>
    <n v="0.3"/>
    <n v="0.1"/>
    <n v="0.1"/>
    <n v="20"/>
    <x v="0"/>
    <b v="1"/>
    <b v="1"/>
    <b v="1"/>
    <s v="2704302"/>
    <x v="1"/>
    <n v="6"/>
    <n v="2"/>
    <n v="2"/>
    <n v="23100"/>
    <n v="138600"/>
    <n v="46200"/>
    <n v="46200"/>
    <s v="FOMENTO"/>
  </r>
  <r>
    <x v="21"/>
    <s v="2024-04_MACEIÓ_FOMENTO.pdf"/>
    <n v="861000"/>
    <n v="0.25"/>
    <n v="0.09"/>
    <n v="7.0000000000000007E-2"/>
    <n v="58"/>
    <x v="0"/>
    <b v="1"/>
    <b v="0"/>
    <b v="1"/>
    <s v="2704302"/>
    <x v="1"/>
    <n v="14"/>
    <n v="5"/>
    <n v="4"/>
    <n v="14844.8275862069"/>
    <n v="207827.58620689661"/>
    <n v="74224.137931034478"/>
    <n v="59379.310344827587"/>
    <s v="FOMENTO"/>
  </r>
  <r>
    <x v="21"/>
    <s v="2024-03_MACEIÓ_FOMENTO.pdf"/>
    <n v="839000"/>
    <n v="0.25"/>
    <n v="0.1"/>
    <n v="0.06"/>
    <n v="83"/>
    <x v="0"/>
    <b v="1"/>
    <b v="1"/>
    <b v="1"/>
    <s v="2704302"/>
    <x v="1"/>
    <n v="21"/>
    <n v="8"/>
    <n v="5"/>
    <n v="10108.433734939759"/>
    <n v="212277.10843373489"/>
    <n v="80867.469879518074"/>
    <n v="50542.168674698798"/>
    <s v="FOMENTO"/>
  </r>
  <r>
    <x v="21"/>
    <s v="2024-10_MACEIÓ_CULTURAVIVA.pdf"/>
    <n v="1748733.4"/>
    <n v="0.25"/>
    <n v="0.1"/>
    <n v="0.05"/>
    <n v="10"/>
    <x v="0"/>
    <b v="1"/>
    <b v="1"/>
    <b v="1"/>
    <s v="2704302"/>
    <x v="1"/>
    <n v="2"/>
    <n v="1"/>
    <n v="0"/>
    <n v="174873.34"/>
    <n v="349746.68"/>
    <n v="174873.34"/>
    <n v="0"/>
    <s v="CULTURA VIVA"/>
  </r>
  <r>
    <x v="21"/>
    <s v="2024-08_MACEIÓ_PRÊMIO.pdf"/>
    <n v="630000"/>
    <n v="0.25"/>
    <n v="0.1"/>
    <n v="0.05"/>
    <n v="119"/>
    <x v="0"/>
    <b v="1"/>
    <b v="1"/>
    <b v="1"/>
    <s v="2704302"/>
    <x v="1"/>
    <n v="30"/>
    <n v="12"/>
    <n v="6"/>
    <n v="5294.1176470588234"/>
    <n v="158823.5294117647"/>
    <n v="63529.411764705881"/>
    <n v="31764.705882352941"/>
    <s v="PRÊMIO"/>
  </r>
  <r>
    <x v="21"/>
    <s v="2024-09_MACEIÓ_CULTURAVIVA.pdf"/>
    <n v="600000"/>
    <n v="0.25"/>
    <n v="0.1"/>
    <n v="0.05"/>
    <n v="15"/>
    <x v="0"/>
    <b v="1"/>
    <b v="1"/>
    <b v="1"/>
    <s v="2704302"/>
    <x v="1"/>
    <n v="4"/>
    <n v="2"/>
    <n v="1"/>
    <n v="40000"/>
    <n v="160000"/>
    <n v="80000"/>
    <n v="40000"/>
    <s v="CULTURA VIVA"/>
  </r>
  <r>
    <x v="22"/>
    <s v="2024-02_MANAUS_FOMENTO.pdf"/>
    <n v="4789485.7"/>
    <n v="0.2"/>
    <n v="0.2"/>
    <n v="0.06"/>
    <n v="188"/>
    <x v="0"/>
    <b v="0"/>
    <b v="1"/>
    <b v="1"/>
    <s v="1302603"/>
    <x v="1"/>
    <n v="38"/>
    <n v="38"/>
    <n v="11"/>
    <n v="25475.987765957449"/>
    <n v="968087.53510638303"/>
    <n v="968087.53510638303"/>
    <n v="280235.86542553193"/>
    <s v="FOMENTO"/>
  </r>
  <r>
    <x v="22"/>
    <s v="2024-10_MANAUS_PRÊMIO.pdf"/>
    <n v="300000"/>
    <n v="0.25"/>
    <n v="0.25"/>
    <n v="0.05"/>
    <n v="30"/>
    <x v="10"/>
    <b v="1"/>
    <b v="1"/>
    <b v="1"/>
    <s v="1302603"/>
    <x v="1"/>
    <n v="8"/>
    <n v="8"/>
    <n v="2"/>
    <n v="10000"/>
    <n v="80000"/>
    <n v="80000"/>
    <n v="20000"/>
    <s v="PRÊMIO"/>
  </r>
  <r>
    <x v="22"/>
    <s v="2024-09_MANAUS_FOMENTO.pdf"/>
    <n v="500000"/>
    <n v="0.25"/>
    <n v="0.25"/>
    <n v="0.05"/>
    <n v="10"/>
    <x v="4"/>
    <b v="1"/>
    <b v="1"/>
    <b v="1"/>
    <s v="1302603"/>
    <x v="1"/>
    <n v="2"/>
    <n v="2"/>
    <n v="0"/>
    <n v="50000"/>
    <n v="100000"/>
    <n v="100000"/>
    <n v="0"/>
    <s v="FOMENTO"/>
  </r>
  <r>
    <x v="22"/>
    <s v="2024-04_MANAUS_FOMENTO.pdf"/>
    <n v="400000"/>
    <n v="0.25"/>
    <n v="0.25"/>
    <n v="0.05"/>
    <n v="25"/>
    <x v="0"/>
    <b v="1"/>
    <b v="1"/>
    <b v="1"/>
    <s v="1302603"/>
    <x v="1"/>
    <n v="6"/>
    <n v="6"/>
    <n v="1"/>
    <n v="16000"/>
    <n v="96000"/>
    <n v="96000"/>
    <n v="16000"/>
    <s v="FOMENTO"/>
  </r>
  <r>
    <x v="22"/>
    <s v="2024-07_MANAUS_SUBSÍDIO.pdf"/>
    <n v="2400000"/>
    <n v="0.25"/>
    <n v="0.25"/>
    <n v="0.05"/>
    <n v="30"/>
    <x v="0"/>
    <b v="1"/>
    <b v="1"/>
    <b v="1"/>
    <s v="1302603"/>
    <x v="1"/>
    <n v="8"/>
    <n v="8"/>
    <n v="2"/>
    <n v="80000"/>
    <n v="640000"/>
    <n v="640000"/>
    <n v="160000"/>
    <s v="SUBSÍDIO"/>
  </r>
  <r>
    <x v="22"/>
    <s v="2024-05_MANAUS_CULTURAVIVA.pdf"/>
    <n v="1080000"/>
    <n v="0.25"/>
    <n v="0.25"/>
    <n v="0.05"/>
    <n v="36"/>
    <x v="0"/>
    <b v="1"/>
    <b v="1"/>
    <b v="1"/>
    <s v="1302603"/>
    <x v="1"/>
    <n v="9"/>
    <n v="9"/>
    <n v="2"/>
    <n v="30000"/>
    <n v="270000"/>
    <n v="270000"/>
    <n v="60000"/>
    <s v="CULTURA VIVA"/>
  </r>
  <r>
    <x v="22"/>
    <s v="2024-08_MANAUS_FOMENTO.pdf"/>
    <n v="1197371.44"/>
    <n v="0.25"/>
    <n v="0.25"/>
    <n v="0.05"/>
    <n v="40"/>
    <x v="4"/>
    <b v="1"/>
    <b v="1"/>
    <b v="1"/>
    <s v="1302603"/>
    <x v="1"/>
    <n v="10"/>
    <n v="10"/>
    <n v="2"/>
    <n v="29934.286"/>
    <n v="299342.86"/>
    <n v="299342.86"/>
    <n v="59868.572"/>
    <s v="FOMENTO"/>
  </r>
  <r>
    <x v="22"/>
    <s v="2024-06_MANAUS_CULTURAVIVA.pdf"/>
    <n v="2400000"/>
    <n v="0.25"/>
    <n v="0.25"/>
    <n v="0.05"/>
    <n v="40"/>
    <x v="0"/>
    <b v="1"/>
    <b v="1"/>
    <b v="1"/>
    <s v="1302603"/>
    <x v="1"/>
    <n v="10"/>
    <n v="10"/>
    <n v="2"/>
    <n v="60000"/>
    <n v="600000"/>
    <n v="600000"/>
    <n v="120000"/>
    <s v="CULTURA VIVA"/>
  </r>
  <r>
    <x v="22"/>
    <s v="2024-03_MANAUS_FOMENTO.pdf"/>
    <n v="300000"/>
    <n v="0.25"/>
    <n v="0.25"/>
    <n v="0.05"/>
    <n v="15"/>
    <x v="3"/>
    <b v="1"/>
    <b v="1"/>
    <b v="1"/>
    <s v="1302603"/>
    <x v="1"/>
    <n v="4"/>
    <n v="4"/>
    <n v="1"/>
    <n v="20000"/>
    <n v="80000"/>
    <n v="80000"/>
    <n v="20000"/>
    <s v="FOMENTO"/>
  </r>
  <r>
    <x v="23"/>
    <s v="MA_CULTURAVIVA_022025.pdf"/>
    <n v="6450000"/>
    <n v="0.25"/>
    <n v="0.1"/>
    <n v="0.05"/>
    <n v="209"/>
    <x v="0"/>
    <b v="1"/>
    <b v="1"/>
    <b v="1"/>
    <s v="21"/>
    <x v="0"/>
    <n v="52"/>
    <n v="21"/>
    <n v="10"/>
    <n v="30861.244019138761"/>
    <n v="1604784.6889952151"/>
    <n v="648086.12440191396"/>
    <n v="308612.44019138749"/>
    <s v="CULTURA VIVA"/>
  </r>
  <r>
    <x v="23"/>
    <s v="MA_FOMENTO_012025.pdf"/>
    <n v="6300000"/>
    <n v="0.2031"/>
    <n v="0.1042"/>
    <n v="0"/>
    <n v="192"/>
    <x v="0"/>
    <b v="0"/>
    <b v="1"/>
    <b v="0"/>
    <s v="21"/>
    <x v="0"/>
    <n v="39"/>
    <n v="20"/>
    <n v="0"/>
    <n v="32812.5"/>
    <n v="1279687.5"/>
    <n v="656250"/>
    <n v="0"/>
    <s v="FOMENTO"/>
  </r>
  <r>
    <x v="23"/>
    <s v="MA_FOMENTO_042025.pdf"/>
    <n v="5700000"/>
    <n v="0.25"/>
    <n v="0.1"/>
    <n v="0.05"/>
    <n v="30"/>
    <x v="0"/>
    <b v="1"/>
    <b v="1"/>
    <b v="1"/>
    <s v="21"/>
    <x v="0"/>
    <n v="8"/>
    <n v="3"/>
    <n v="2"/>
    <n v="190000"/>
    <n v="1520000"/>
    <n v="570000"/>
    <n v="380000"/>
    <s v="FOMENTO"/>
  </r>
  <r>
    <x v="23"/>
    <s v="MA_FOMENTO_052025.pdf"/>
    <n v="4900000"/>
    <n v="0.25"/>
    <n v="0.1"/>
    <n v="0.05"/>
    <n v="35"/>
    <x v="0"/>
    <b v="1"/>
    <b v="1"/>
    <b v="1"/>
    <s v="21"/>
    <x v="0"/>
    <n v="9"/>
    <n v="4"/>
    <n v="2"/>
    <n v="140000"/>
    <n v="1260000"/>
    <n v="560000"/>
    <n v="280000"/>
    <s v="FOMENTO"/>
  </r>
  <r>
    <x v="23"/>
    <s v="MA_PRÊMIO_032025.pdf"/>
    <n v="5700000"/>
    <n v="0.25"/>
    <n v="0.1"/>
    <n v="0.05"/>
    <n v="310"/>
    <x v="0"/>
    <b v="1"/>
    <b v="1"/>
    <b v="1"/>
    <s v="21"/>
    <x v="0"/>
    <n v="78"/>
    <n v="31"/>
    <n v="16"/>
    <n v="18387.096774193549"/>
    <n v="1434193.548387097"/>
    <n v="570000"/>
    <n v="294193.54838709679"/>
    <s v="PRÊMIO"/>
  </r>
  <r>
    <x v="23"/>
    <s v="2025-06_MARANHÃO_PRÊMIO.pdf"/>
    <n v="2000000"/>
    <n v="0.25"/>
    <n v="0.1"/>
    <n v="0.05"/>
    <n v="400"/>
    <x v="11"/>
    <b v="1"/>
    <b v="1"/>
    <b v="1"/>
    <s v="21"/>
    <x v="0"/>
    <n v="100"/>
    <n v="40"/>
    <n v="20"/>
    <n v="5000"/>
    <n v="500000"/>
    <n v="200000"/>
    <n v="100000"/>
    <s v="PRÊMIO"/>
  </r>
  <r>
    <x v="24"/>
    <s v="MT_CULTURAVIVA_242024.pdf"/>
    <n v="2760000"/>
    <n v="0.25"/>
    <n v="0.1"/>
    <n v="0.05"/>
    <n v="23"/>
    <x v="0"/>
    <b v="1"/>
    <b v="1"/>
    <b v="1"/>
    <s v="51"/>
    <x v="0"/>
    <n v="6"/>
    <n v="2"/>
    <n v="1"/>
    <n v="120000"/>
    <n v="720000"/>
    <n v="240000"/>
    <n v="120000"/>
    <s v="CULTURA VIVA"/>
  </r>
  <r>
    <x v="24"/>
    <s v="MT_CULTURAVIVA_252024.pdf"/>
    <n v="488000"/>
    <n v="0"/>
    <n v="0"/>
    <n v="0"/>
    <n v="1"/>
    <x v="0"/>
    <b v="1"/>
    <b v="1"/>
    <b v="1"/>
    <s v="51"/>
    <x v="0"/>
    <n v="0"/>
    <n v="0"/>
    <n v="0"/>
    <n v="488000"/>
    <n v="0"/>
    <n v="0"/>
    <n v="0"/>
    <s v="CULTURA VIVA"/>
  </r>
  <r>
    <x v="24"/>
    <s v="MT_FOMENTO_132024.pdf"/>
    <n v="1000000"/>
    <n v="0.25"/>
    <n v="0.1"/>
    <n v="0.05"/>
    <n v="10"/>
    <x v="0"/>
    <b v="1"/>
    <b v="1"/>
    <b v="1"/>
    <s v="51"/>
    <x v="0"/>
    <n v="2"/>
    <n v="1"/>
    <n v="0"/>
    <n v="100000"/>
    <n v="200000"/>
    <n v="100000"/>
    <n v="0"/>
    <s v="FOMENTO"/>
  </r>
  <r>
    <x v="24"/>
    <s v="MT_FOMENTO_152024.pdf"/>
    <n v="640000"/>
    <n v="0.25"/>
    <n v="0.1"/>
    <n v="0.05"/>
    <n v="8"/>
    <x v="0"/>
    <b v="1"/>
    <b v="1"/>
    <b v="1"/>
    <s v="51"/>
    <x v="0"/>
    <n v="2"/>
    <n v="1"/>
    <n v="0"/>
    <n v="80000"/>
    <n v="160000"/>
    <n v="80000"/>
    <n v="0"/>
    <s v="FOMENTO"/>
  </r>
  <r>
    <x v="24"/>
    <s v="MT_FOMENTO_172024.pdf"/>
    <n v="4500000"/>
    <n v="0.25"/>
    <n v="0.1"/>
    <n v="0.05"/>
    <n v="53"/>
    <x v="0"/>
    <b v="1"/>
    <b v="1"/>
    <b v="1"/>
    <s v="51"/>
    <x v="0"/>
    <n v="13"/>
    <n v="5"/>
    <n v="3"/>
    <n v="84905.660377358494"/>
    <n v="1103773.58490566"/>
    <n v="424528.30188679253"/>
    <n v="254716.98113207551"/>
    <s v="FOMENTO"/>
  </r>
  <r>
    <x v="24"/>
    <s v="MT_FOMENTO_182024.pdf"/>
    <n v="7300000"/>
    <n v="0.21"/>
    <n v="0.1"/>
    <n v="0.05"/>
    <n v="100"/>
    <x v="0"/>
    <b v="1"/>
    <b v="1"/>
    <b v="1"/>
    <s v="51"/>
    <x v="0"/>
    <n v="21"/>
    <n v="10"/>
    <n v="5"/>
    <n v="73000"/>
    <n v="1533000"/>
    <n v="730000"/>
    <n v="365000"/>
    <s v="FOMENTO"/>
  </r>
  <r>
    <x v="24"/>
    <s v="MT_FOMENTO_232024.pdf"/>
    <n v="1400000"/>
    <n v="0.25"/>
    <n v="0.1"/>
    <n v="0.05"/>
    <n v="23"/>
    <x v="0"/>
    <b v="1"/>
    <b v="1"/>
    <b v="1"/>
    <s v="51"/>
    <x v="0"/>
    <n v="6"/>
    <n v="2"/>
    <n v="1"/>
    <n v="60869.565217391297"/>
    <n v="365217.39130434778"/>
    <n v="121739.13043478259"/>
    <n v="60869.565217391297"/>
    <s v="FOMENTO"/>
  </r>
  <r>
    <x v="24"/>
    <s v="MT_PRÊMIO_162024.pdf"/>
    <n v="360000"/>
    <n v="0.25"/>
    <n v="0.1"/>
    <n v="0.05"/>
    <n v="12"/>
    <x v="0"/>
    <b v="1"/>
    <b v="1"/>
    <b v="1"/>
    <s v="51"/>
    <x v="0"/>
    <n v="3"/>
    <n v="1"/>
    <n v="1"/>
    <n v="30000"/>
    <n v="90000"/>
    <n v="30000"/>
    <n v="30000"/>
    <s v="PRÊMIO"/>
  </r>
  <r>
    <x v="25"/>
    <s v="MS_BOLSA_042025.pdf"/>
    <n v="600000"/>
    <n v="0.25"/>
    <n v="0.1"/>
    <n v="0.05"/>
    <n v="32"/>
    <x v="0"/>
    <b v="1"/>
    <b v="1"/>
    <b v="1"/>
    <s v="50"/>
    <x v="0"/>
    <n v="8"/>
    <n v="3"/>
    <n v="2"/>
    <n v="18750"/>
    <n v="150000"/>
    <n v="56250"/>
    <n v="37500"/>
    <s v="BOLSA"/>
  </r>
  <r>
    <x v="25"/>
    <s v="MS_CULTURAVIVA_162024.pdf"/>
    <n v="2428000"/>
    <n v="0.25"/>
    <n v="0.15"/>
    <n v="7.4999999999999997E-2"/>
    <n v="40"/>
    <x v="0"/>
    <b v="1"/>
    <b v="1"/>
    <b v="1"/>
    <s v="50"/>
    <x v="0"/>
    <n v="10"/>
    <n v="6"/>
    <n v="3"/>
    <n v="60700"/>
    <n v="607000"/>
    <n v="364200"/>
    <n v="182100"/>
    <s v="CULTURA VIVA"/>
  </r>
  <r>
    <x v="25"/>
    <s v="MS_CULTURAVIVA_172024.pdf"/>
    <n v="600000"/>
    <n v="0.25"/>
    <n v="0.1"/>
    <n v="0.05"/>
    <n v="2"/>
    <x v="0"/>
    <b v="1"/>
    <b v="1"/>
    <b v="1"/>
    <s v="50"/>
    <x v="0"/>
    <n v="0"/>
    <n v="0"/>
    <n v="0"/>
    <n v="300000"/>
    <n v="0"/>
    <n v="0"/>
    <n v="0"/>
    <s v="CULTURA VIVA"/>
  </r>
  <r>
    <x v="25"/>
    <s v="MS_FOMENTO_012025.pdf"/>
    <n v="400000"/>
    <n v="0.25"/>
    <n v="0.1"/>
    <n v="0.05"/>
    <n v="4"/>
    <x v="0"/>
    <b v="1"/>
    <b v="1"/>
    <b v="1"/>
    <s v="50"/>
    <x v="0"/>
    <n v="1"/>
    <n v="0"/>
    <n v="0"/>
    <n v="100000"/>
    <n v="100000"/>
    <n v="0"/>
    <n v="0"/>
    <s v="FOMENTO"/>
  </r>
  <r>
    <x v="25"/>
    <s v="MS_FOMENTO_052025.pdf"/>
    <n v="1000000"/>
    <n v="0.2"/>
    <n v="0.1"/>
    <n v="0.05"/>
    <m/>
    <x v="0"/>
    <b v="0"/>
    <b v="1"/>
    <b v="1"/>
    <s v="50"/>
    <x v="0"/>
    <m/>
    <m/>
    <m/>
    <m/>
    <n v="200000"/>
    <n v="100000"/>
    <n v="50000"/>
    <s v="FOMENTO"/>
  </r>
  <r>
    <x v="25"/>
    <s v="MS_FOMENTO_062025.pdf"/>
    <n v="750000"/>
    <n v="0.25"/>
    <n v="0.1"/>
    <n v="0.05"/>
    <n v="50"/>
    <x v="0"/>
    <b v="1"/>
    <b v="1"/>
    <b v="1"/>
    <s v="50"/>
    <x v="0"/>
    <n v="12"/>
    <n v="5"/>
    <n v="2"/>
    <n v="15000"/>
    <n v="180000"/>
    <n v="75000"/>
    <n v="30000"/>
    <s v="FOMENTO"/>
  </r>
  <r>
    <x v="25"/>
    <s v="MS_FOMENTO_072025.pdf"/>
    <n v="500000"/>
    <n v="0.25"/>
    <n v="0.1"/>
    <n v="0.05"/>
    <n v="39"/>
    <x v="0"/>
    <b v="1"/>
    <b v="1"/>
    <b v="1"/>
    <s v="50"/>
    <x v="0"/>
    <n v="10"/>
    <n v="4"/>
    <n v="2"/>
    <n v="12820.51282051282"/>
    <n v="128205.1282051282"/>
    <n v="51282.051282051281"/>
    <n v="25641.025641025641"/>
    <s v="FOMENTO"/>
  </r>
  <r>
    <x v="25"/>
    <s v="MS_FOMENTO_082025.pdf"/>
    <n v="700000"/>
    <n v="0.25"/>
    <n v="0.1"/>
    <n v="0.05"/>
    <n v="32"/>
    <x v="5"/>
    <b v="1"/>
    <b v="1"/>
    <b v="1"/>
    <s v="50"/>
    <x v="0"/>
    <n v="8"/>
    <n v="3"/>
    <n v="2"/>
    <n v="21875"/>
    <n v="175000"/>
    <n v="65625"/>
    <n v="43750"/>
    <s v="FOMENTO"/>
  </r>
  <r>
    <x v="25"/>
    <s v="MS_FOMENTO_092025.pdf"/>
    <n v="300000"/>
    <n v="0.25"/>
    <n v="0.1"/>
    <n v="0.05"/>
    <n v="90"/>
    <x v="0"/>
    <b v="1"/>
    <b v="1"/>
    <b v="1"/>
    <s v="50"/>
    <x v="0"/>
    <n v="22"/>
    <n v="9"/>
    <n v="4"/>
    <n v="3333.333333333333"/>
    <n v="73333.333333333343"/>
    <n v="30000"/>
    <n v="13333.33333333333"/>
    <s v="FOMENTO"/>
  </r>
  <r>
    <x v="25"/>
    <s v="MS_FOMENTO_102025.pdf"/>
    <n v="2100000"/>
    <n v="0.25"/>
    <n v="0.1"/>
    <n v="0.05"/>
    <n v="7"/>
    <x v="0"/>
    <b v="1"/>
    <b v="1"/>
    <b v="1"/>
    <s v="50"/>
    <x v="0"/>
    <n v="2"/>
    <n v="1"/>
    <n v="0"/>
    <n v="300000"/>
    <n v="600000"/>
    <n v="300000"/>
    <n v="0"/>
    <s v="FOMENTO"/>
  </r>
  <r>
    <x v="25"/>
    <s v="MS_FOMENTO_132024.pdf"/>
    <n v="400000"/>
    <n v="0.25"/>
    <n v="0.1"/>
    <n v="0.05"/>
    <n v="40"/>
    <x v="9"/>
    <b v="1"/>
    <b v="1"/>
    <b v="1"/>
    <s v="50"/>
    <x v="0"/>
    <n v="10"/>
    <n v="4"/>
    <n v="2"/>
    <n v="10000"/>
    <n v="100000"/>
    <n v="40000"/>
    <n v="20000"/>
    <s v="FOMENTO"/>
  </r>
  <r>
    <x v="25"/>
    <s v="MS_FOMENTO_142024.pdf"/>
    <n v="200000"/>
    <n v="0.25"/>
    <n v="0.1"/>
    <n v="0.05"/>
    <n v="12"/>
    <x v="0"/>
    <b v="1"/>
    <b v="1"/>
    <b v="1"/>
    <s v="50"/>
    <x v="0"/>
    <n v="3"/>
    <n v="1"/>
    <n v="1"/>
    <n v="16666.666666666672"/>
    <n v="50000"/>
    <n v="16666.666666666672"/>
    <n v="16666.666666666672"/>
    <s v="FOMENTO"/>
  </r>
  <r>
    <x v="25"/>
    <s v="MS_FOMENTO_152024.pdf"/>
    <n v="300000"/>
    <n v="0.2"/>
    <n v="0.1"/>
    <n v="0.06"/>
    <n v="30"/>
    <x v="0"/>
    <b v="0"/>
    <b v="1"/>
    <b v="1"/>
    <s v="50"/>
    <x v="0"/>
    <n v="6"/>
    <n v="3"/>
    <n v="2"/>
    <n v="10000"/>
    <n v="60000"/>
    <n v="30000"/>
    <n v="20000"/>
    <s v="FOMENTO"/>
  </r>
  <r>
    <x v="25"/>
    <s v="MS_FOMENTO_182024.pdf"/>
    <n v="600000"/>
    <n v="0.25"/>
    <n v="0.1"/>
    <n v="0.05"/>
    <m/>
    <x v="12"/>
    <b v="1"/>
    <b v="1"/>
    <b v="1"/>
    <s v="50"/>
    <x v="0"/>
    <m/>
    <m/>
    <m/>
    <m/>
    <n v="150000"/>
    <n v="60000"/>
    <n v="30000"/>
    <s v="FOMENTO"/>
  </r>
  <r>
    <x v="25"/>
    <s v="MS_FOMENTO_192024.pdf"/>
    <n v="300000"/>
    <n v="0.2"/>
    <n v="0.2"/>
    <n v="0.16669999999999999"/>
    <n v="30"/>
    <x v="0"/>
    <b v="0"/>
    <b v="1"/>
    <b v="1"/>
    <s v="50"/>
    <x v="0"/>
    <n v="6"/>
    <n v="6"/>
    <n v="5"/>
    <n v="10000"/>
    <n v="60000"/>
    <n v="60000"/>
    <n v="50000"/>
    <s v="FOMENTO"/>
  </r>
  <r>
    <x v="25"/>
    <s v="MS_FOMENTO_202024.pdf"/>
    <n v="650000"/>
    <n v="0.25"/>
    <n v="0.2"/>
    <n v="0.05"/>
    <n v="130"/>
    <x v="0"/>
    <b v="1"/>
    <b v="1"/>
    <b v="1"/>
    <s v="50"/>
    <x v="0"/>
    <n v="32"/>
    <n v="26"/>
    <n v="6"/>
    <n v="5000"/>
    <n v="160000"/>
    <n v="130000"/>
    <n v="30000"/>
    <s v="FOMENTO"/>
  </r>
  <r>
    <x v="25"/>
    <s v="MS_FOMENTO_222024.pdf"/>
    <n v="900000"/>
    <n v="0.25"/>
    <n v="0.1"/>
    <n v="0.05"/>
    <m/>
    <x v="0"/>
    <b v="1"/>
    <b v="1"/>
    <b v="1"/>
    <s v="50"/>
    <x v="0"/>
    <m/>
    <m/>
    <m/>
    <m/>
    <n v="225000"/>
    <n v="90000"/>
    <n v="45000"/>
    <s v="FOMENTO"/>
  </r>
  <r>
    <x v="25"/>
    <s v="MS_FOMENTO_232024.pdf"/>
    <n v="300000"/>
    <n v="0.23"/>
    <n v="0.23"/>
    <n v="0.03"/>
    <n v="30"/>
    <x v="0"/>
    <b v="0"/>
    <b v="1"/>
    <b v="0"/>
    <s v="50"/>
    <x v="0"/>
    <n v="7"/>
    <n v="7"/>
    <n v="1"/>
    <n v="10000"/>
    <n v="70000"/>
    <n v="70000"/>
    <n v="10000"/>
    <s v="FOMENTO"/>
  </r>
  <r>
    <x v="25"/>
    <s v="MS_FOMENTO_242024.pdf"/>
    <n v="1500000"/>
    <n v="0.25"/>
    <n v="0.1"/>
    <n v="0.05"/>
    <n v="20"/>
    <x v="0"/>
    <b v="1"/>
    <b v="1"/>
    <b v="1"/>
    <s v="50"/>
    <x v="0"/>
    <n v="5"/>
    <n v="2"/>
    <n v="1"/>
    <n v="75000"/>
    <n v="375000"/>
    <n v="150000"/>
    <n v="75000"/>
    <s v="FOMENTO"/>
  </r>
  <r>
    <x v="25"/>
    <s v="MS_FOMENTO_252024.pdf"/>
    <n v="1000000"/>
    <n v="0.25"/>
    <n v="0.1"/>
    <n v="0.05"/>
    <n v="20"/>
    <x v="7"/>
    <b v="1"/>
    <b v="1"/>
    <b v="1"/>
    <s v="50"/>
    <x v="0"/>
    <n v="5"/>
    <n v="2"/>
    <n v="1"/>
    <n v="50000"/>
    <n v="250000"/>
    <n v="100000"/>
    <n v="50000"/>
    <s v="FOMENTO"/>
  </r>
  <r>
    <x v="25"/>
    <s v="MS_FOMENTO_262024.pdf"/>
    <n v="1500000"/>
    <n v="0.25"/>
    <n v="0.1"/>
    <n v="0.05"/>
    <n v="18"/>
    <x v="0"/>
    <b v="1"/>
    <b v="1"/>
    <b v="1"/>
    <s v="50"/>
    <x v="0"/>
    <n v="4"/>
    <n v="2"/>
    <n v="1"/>
    <n v="83333.333333333328"/>
    <n v="333333.33333333331"/>
    <n v="166666.66666666669"/>
    <n v="83333.333333333328"/>
    <s v="FOMENTO"/>
  </r>
  <r>
    <x v="25"/>
    <s v="MS_FOMENTO_272024.pdf"/>
    <n v="1000000"/>
    <n v="0.25"/>
    <n v="0.1"/>
    <n v="0.05"/>
    <n v="14"/>
    <x v="0"/>
    <b v="1"/>
    <b v="1"/>
    <b v="1"/>
    <s v="50"/>
    <x v="0"/>
    <n v="4"/>
    <n v="1"/>
    <n v="1"/>
    <n v="71428.571428571435"/>
    <n v="285714.28571428568"/>
    <n v="71428.571428571435"/>
    <n v="71428.571428571435"/>
    <s v="FOMENTO"/>
  </r>
  <r>
    <x v="25"/>
    <s v="MS_PRÊMIO_022025.pdf"/>
    <n v="100000"/>
    <n v="0.25"/>
    <n v="0.15"/>
    <n v="1"/>
    <n v="20"/>
    <x v="8"/>
    <b v="1"/>
    <b v="1"/>
    <b v="1"/>
    <s v="50"/>
    <x v="0"/>
    <n v="5"/>
    <n v="3"/>
    <n v="20"/>
    <n v="5000"/>
    <n v="25000"/>
    <n v="15000"/>
    <n v="100000"/>
    <s v="PRÊMIO"/>
  </r>
  <r>
    <x v="25"/>
    <s v="2024-10_MS_PRÊMIO.pdf"/>
    <n v="450000"/>
    <n v="0"/>
    <n v="1"/>
    <n v="0.06"/>
    <n v="75"/>
    <x v="13"/>
    <b v="1"/>
    <b v="1"/>
    <b v="1"/>
    <s v="50"/>
    <x v="0"/>
    <n v="0"/>
    <n v="75"/>
    <n v="4"/>
    <n v="6000"/>
    <n v="0"/>
    <n v="450000"/>
    <n v="24000"/>
    <s v="PRÊMIO"/>
  </r>
  <r>
    <x v="25"/>
    <s v="MS_PRÊMIO_112024.pdf"/>
    <n v="300000"/>
    <n v="0.2"/>
    <n v="0.1"/>
    <n v="0.05"/>
    <n v="20"/>
    <x v="1"/>
    <b v="1"/>
    <b v="1"/>
    <b v="1"/>
    <s v="50"/>
    <x v="0"/>
    <n v="4"/>
    <n v="2"/>
    <n v="1"/>
    <n v="15000"/>
    <n v="60000"/>
    <n v="30000"/>
    <n v="15000"/>
    <s v="PRÊMIO"/>
  </r>
  <r>
    <x v="25"/>
    <s v="MS_PRÊMIO_112025.pdf"/>
    <n v="100000"/>
    <n v="0.25"/>
    <n v="0.05"/>
    <n v="0.05"/>
    <n v="20"/>
    <x v="3"/>
    <b v="1"/>
    <b v="1"/>
    <b v="1"/>
    <s v="50"/>
    <x v="0"/>
    <n v="5"/>
    <n v="1"/>
    <n v="1"/>
    <n v="5000"/>
    <n v="25000"/>
    <n v="5000"/>
    <n v="5000"/>
    <s v="PRÊMIO"/>
  </r>
  <r>
    <x v="26"/>
    <s v="MG_BOLSA_122024.pdf"/>
    <n v="2275000"/>
    <n v="0.25640000000000002"/>
    <n v="0.1026"/>
    <n v="5.1299999999999998E-2"/>
    <n v="117"/>
    <x v="0"/>
    <b v="1"/>
    <b v="1"/>
    <b v="1"/>
    <s v="31"/>
    <x v="0"/>
    <n v="30"/>
    <n v="12"/>
    <n v="6"/>
    <n v="19444.444444444449"/>
    <n v="583333.33333333337"/>
    <n v="233333.33333333331"/>
    <n v="116666.6666666667"/>
    <s v="BOLSA"/>
  </r>
  <r>
    <x v="26"/>
    <s v="MG_BOLSA_132024.pdf"/>
    <n v="1462500"/>
    <n v="0.26"/>
    <n v="0.1"/>
    <n v="0.05"/>
    <n v="104"/>
    <x v="0"/>
    <b v="1"/>
    <b v="1"/>
    <b v="1"/>
    <s v="31"/>
    <x v="0"/>
    <n v="27"/>
    <n v="10"/>
    <n v="5"/>
    <n v="14062.5"/>
    <n v="379687.5"/>
    <n v="140625"/>
    <n v="70312.5"/>
    <s v="BOLSA"/>
  </r>
  <r>
    <x v="26"/>
    <s v="MG_CULTURAVIVA_032024.pdf"/>
    <n v="12600000"/>
    <n v="0.25"/>
    <n v="0.1"/>
    <n v="0.05"/>
    <n v="147"/>
    <x v="0"/>
    <b v="1"/>
    <b v="1"/>
    <b v="1"/>
    <s v="31"/>
    <x v="0"/>
    <n v="37"/>
    <n v="15"/>
    <n v="7"/>
    <n v="85714.28571428571"/>
    <n v="3171428.5714285709"/>
    <n v="1285714.2857142859"/>
    <n v="600000"/>
    <s v="CULTURA VIVA"/>
  </r>
  <r>
    <x v="26"/>
    <s v="MG_CULTURAVIVA_042024.pdf"/>
    <n v="4320000"/>
    <n v="0.25"/>
    <n v="0.1"/>
    <n v="0.05"/>
    <n v="144"/>
    <x v="0"/>
    <b v="1"/>
    <b v="1"/>
    <b v="1"/>
    <s v="31"/>
    <x v="0"/>
    <n v="36"/>
    <n v="14"/>
    <n v="7"/>
    <n v="30000"/>
    <n v="1080000"/>
    <n v="420000"/>
    <n v="210000"/>
    <s v="CULTURA VIVA"/>
  </r>
  <r>
    <x v="26"/>
    <s v="MG_FOMENTO_052024.pdf"/>
    <n v="9700000"/>
    <n v="0.25290000000000001"/>
    <n v="0.10340000000000001"/>
    <n v="5.1700000000000003E-2"/>
    <n v="174"/>
    <x v="0"/>
    <b v="1"/>
    <b v="1"/>
    <b v="1"/>
    <s v="31"/>
    <x v="0"/>
    <n v="44"/>
    <n v="18"/>
    <n v="9"/>
    <n v="55747.126436781611"/>
    <n v="2452873.563218391"/>
    <n v="1003448.275862069"/>
    <n v="501724.13793103449"/>
    <s v="FOMENTO"/>
  </r>
  <r>
    <x v="26"/>
    <s v="MG_FOMENTO_062024.pdf"/>
    <n v="7150000"/>
    <n v="0.25"/>
    <n v="0.1"/>
    <n v="0.05"/>
    <n v="286"/>
    <x v="0"/>
    <b v="1"/>
    <b v="1"/>
    <b v="1"/>
    <s v="31"/>
    <x v="0"/>
    <n v="72"/>
    <n v="29"/>
    <n v="14"/>
    <n v="25000"/>
    <n v="1800000"/>
    <n v="725000"/>
    <n v="350000"/>
    <s v="FOMENTO"/>
  </r>
  <r>
    <x v="26"/>
    <s v="MG_FOMENTO_072024.pdf"/>
    <n v="5340000"/>
    <n v="0.23"/>
    <n v="0.11"/>
    <n v="0.04"/>
    <n v="215"/>
    <x v="0"/>
    <b v="0"/>
    <b v="1"/>
    <b v="0"/>
    <s v="31"/>
    <x v="0"/>
    <n v="49"/>
    <n v="24"/>
    <n v="9"/>
    <n v="24837.20930232558"/>
    <n v="1217023.255813953"/>
    <n v="596093.02325581387"/>
    <n v="223534.8837209302"/>
    <s v="FOMENTO"/>
  </r>
  <r>
    <x v="26"/>
    <s v="MG_FOMENTO_082024.pdf"/>
    <n v="13262500"/>
    <n v="0.25"/>
    <n v="0.1"/>
    <n v="0.05"/>
    <n v="347"/>
    <x v="0"/>
    <b v="0"/>
    <b v="0"/>
    <b v="1"/>
    <s v="31"/>
    <x v="0"/>
    <n v="87"/>
    <n v="35"/>
    <n v="17"/>
    <n v="38220.461095100873"/>
    <n v="3325180.1152737751"/>
    <n v="1337716.1383285299"/>
    <n v="649747.8386167147"/>
    <s v="FOMENTO"/>
  </r>
  <r>
    <x v="26"/>
    <s v="MG_FOMENTO_102024.pdf"/>
    <n v="8820000"/>
    <n v="0.26"/>
    <n v="0.11"/>
    <n v="4.4999999999999998E-2"/>
    <n v="201"/>
    <x v="0"/>
    <b v="1"/>
    <b v="1"/>
    <b v="0"/>
    <s v="31"/>
    <x v="0"/>
    <n v="52"/>
    <n v="22"/>
    <n v="9"/>
    <n v="43880.59701492537"/>
    <n v="2281791.0447761188"/>
    <n v="965373.13432835811"/>
    <n v="394925.37313432829"/>
    <s v="FOMENTO"/>
  </r>
  <r>
    <x v="26"/>
    <s v="MG_FOMENTO_112024.pdf"/>
    <n v="16400000"/>
    <n v="0.25119999999999998"/>
    <n v="9.849999999999999E-2"/>
    <n v="5.4199999999999998E-2"/>
    <n v="203"/>
    <x v="0"/>
    <b v="1"/>
    <b v="1"/>
    <b v="1"/>
    <s v="31"/>
    <x v="0"/>
    <n v="51"/>
    <n v="20"/>
    <n v="11"/>
    <n v="80788.177339901478"/>
    <n v="4120197.044334976"/>
    <n v="1615763.546798029"/>
    <n v="888669.95073891629"/>
    <s v="FOMENTO"/>
  </r>
  <r>
    <x v="26"/>
    <s v="MG_PRÊMIO_022024.pdf"/>
    <n v="39787500"/>
    <n v="0.25"/>
    <n v="0.1"/>
    <n v="0.05"/>
    <n v="2114"/>
    <x v="0"/>
    <b v="1"/>
    <b v="1"/>
    <b v="1"/>
    <s v="31"/>
    <x v="0"/>
    <n v="528"/>
    <n v="211"/>
    <n v="106"/>
    <n v="18820.955534531691"/>
    <n v="9937464.5222327355"/>
    <n v="3971221.6177861881"/>
    <n v="1995021.2866603599"/>
    <s v="PRÊMIO"/>
  </r>
  <r>
    <x v="26"/>
    <s v="MG_SUBSÍDIO_092024.pdf"/>
    <n v="8895000"/>
    <n v="0.26"/>
    <n v="0.11"/>
    <n v="4.2999999999999997E-2"/>
    <n v="163"/>
    <x v="0"/>
    <b v="1"/>
    <b v="1"/>
    <b v="0"/>
    <s v="31"/>
    <x v="0"/>
    <n v="42"/>
    <n v="18"/>
    <n v="7"/>
    <n v="54570.552147239257"/>
    <n v="2291963.1901840488"/>
    <n v="982269.93865030678"/>
    <n v="381993.86503067479"/>
    <s v="SUBSÍDIO"/>
  </r>
  <r>
    <x v="27"/>
    <s v="2024-16_NATAL_CULTURAVIVA.pdf"/>
    <n v="900000"/>
    <n v="0.25"/>
    <n v="0.1"/>
    <n v="0.05"/>
    <n v="10"/>
    <x v="0"/>
    <b v="1"/>
    <b v="1"/>
    <b v="1"/>
    <s v="2408102"/>
    <x v="1"/>
    <n v="2"/>
    <n v="1"/>
    <n v="0"/>
    <n v="90000"/>
    <n v="180000"/>
    <n v="90000"/>
    <n v="0"/>
    <s v="CULTURA VIVA"/>
  </r>
  <r>
    <x v="27"/>
    <s v="2024-10_NATAL_SUBSÍDIO.pdf.pdf"/>
    <n v="500000"/>
    <n v="0.25"/>
    <n v="0.1"/>
    <n v="0.05"/>
    <n v="206"/>
    <x v="0"/>
    <b v="1"/>
    <b v="1"/>
    <b v="1"/>
    <s v="2408102"/>
    <x v="1"/>
    <n v="52"/>
    <n v="21"/>
    <n v="10"/>
    <n v="2427.184466019417"/>
    <n v="126213.59223300969"/>
    <n v="50970.873786407763"/>
    <n v="24271.84466019418"/>
    <s v="SUBSÍDIO"/>
  </r>
  <r>
    <x v="27"/>
    <s v="2024-12_NATAL_FOMENTO.pdf.pdf"/>
    <n v="1990000"/>
    <n v="0.25"/>
    <n v="0.1"/>
    <n v="0.05"/>
    <n v="206"/>
    <x v="0"/>
    <b v="1"/>
    <b v="1"/>
    <b v="1"/>
    <s v="2408102"/>
    <x v="1"/>
    <n v="52"/>
    <n v="21"/>
    <n v="10"/>
    <n v="9660.1941747572819"/>
    <n v="502330.09708737867"/>
    <n v="202864.07766990291"/>
    <n v="96601.941747572826"/>
    <s v="FOMENTO"/>
  </r>
  <r>
    <x v="27"/>
    <s v="2024-15_NATAL_CULTURAVIVA.pdf"/>
    <n v="900000"/>
    <n v="0.25"/>
    <n v="0.1"/>
    <n v="0.05"/>
    <n v="9"/>
    <x v="0"/>
    <b v="1"/>
    <b v="1"/>
    <b v="1"/>
    <s v="2408102"/>
    <x v="1"/>
    <n v="2"/>
    <n v="1"/>
    <n v="0"/>
    <n v="100000"/>
    <n v="200000"/>
    <n v="100000"/>
    <n v="0"/>
    <s v="CULTURA VIVA"/>
  </r>
  <r>
    <x v="27"/>
    <s v="2024-11_NATAL_PRÊMIO.pdf"/>
    <n v="138000"/>
    <n v="0.25"/>
    <n v="0.1"/>
    <n v="0.05"/>
    <n v="23"/>
    <x v="1"/>
    <b v="1"/>
    <b v="1"/>
    <b v="1"/>
    <s v="2408102"/>
    <x v="1"/>
    <n v="6"/>
    <n v="2"/>
    <n v="1"/>
    <n v="6000"/>
    <n v="36000"/>
    <n v="12000"/>
    <n v="6000"/>
    <s v="PRÊMIO"/>
  </r>
  <r>
    <x v="27"/>
    <s v="2024-08_NATAL_FOMENTO.pdf"/>
    <n v="500000"/>
    <n v="0.25"/>
    <n v="0.1"/>
    <n v="0.05"/>
    <n v="59"/>
    <x v="5"/>
    <b v="1"/>
    <b v="1"/>
    <b v="1"/>
    <s v="2408102"/>
    <x v="1"/>
    <n v="15"/>
    <n v="6"/>
    <n v="3"/>
    <n v="8474.5762711864409"/>
    <n v="127118.6440677966"/>
    <n v="50847.457627118652"/>
    <n v="25423.728813559319"/>
    <s v="FOMENTO"/>
  </r>
  <r>
    <x v="27"/>
    <s v="2024-09_NATAL_BOLSA.pdf"/>
    <n v="280000"/>
    <n v="0.25"/>
    <n v="0.1"/>
    <n v="0.05"/>
    <n v="206"/>
    <x v="0"/>
    <b v="1"/>
    <b v="1"/>
    <b v="1"/>
    <s v="2408102"/>
    <x v="1"/>
    <n v="52"/>
    <n v="21"/>
    <n v="10"/>
    <n v="1359.2233009708741"/>
    <n v="70679.611650485444"/>
    <n v="28543.689320388348"/>
    <n v="13592.23300970874"/>
    <s v="BOLSA"/>
  </r>
  <r>
    <x v="28"/>
    <s v="2024-17_PALMAS_CULTURAVIVA.pdf"/>
    <n v="542500"/>
    <n v="0.25"/>
    <n v="0.1"/>
    <n v="0.05"/>
    <n v="21"/>
    <x v="0"/>
    <b v="1"/>
    <b v="1"/>
    <b v="1"/>
    <s v="1721000"/>
    <x v="1"/>
    <n v="5"/>
    <n v="2"/>
    <n v="1"/>
    <n v="25833.333333333328"/>
    <n v="129166.6666666667"/>
    <n v="51666.666666666657"/>
    <n v="25833.333333333328"/>
    <s v="CULTURA VIVA"/>
  </r>
  <r>
    <x v="28"/>
    <s v="2024-15_PALMAS_FOMENTO.pdf"/>
    <n v="514000"/>
    <n v="0.25"/>
    <n v="0.1"/>
    <n v="0.05"/>
    <n v="22"/>
    <x v="5"/>
    <b v="1"/>
    <b v="1"/>
    <b v="1"/>
    <s v="1721000"/>
    <x v="1"/>
    <n v="6"/>
    <n v="2"/>
    <n v="1"/>
    <n v="23363.63636363636"/>
    <n v="140181.81818181821"/>
    <n v="46727.272727272728"/>
    <n v="23363.63636363636"/>
    <s v="FOMENTO"/>
  </r>
  <r>
    <x v="28"/>
    <s v="2024-16_PALMAS_FOMENTO.pdf"/>
    <n v="814000"/>
    <n v="0.25"/>
    <n v="0.1"/>
    <n v="0.05"/>
    <n v="35"/>
    <x v="0"/>
    <b v="1"/>
    <b v="1"/>
    <b v="1"/>
    <s v="1721000"/>
    <x v="1"/>
    <n v="9"/>
    <n v="4"/>
    <n v="2"/>
    <n v="23257.142857142859"/>
    <n v="209314.28571428571"/>
    <n v="93028.571428571435"/>
    <n v="46514.285714285717"/>
    <s v="FOMENTO"/>
  </r>
  <r>
    <x v="28"/>
    <s v="2024-18_PALMAS_CULTURAVIVA.pdf"/>
    <n v="100000"/>
    <n v="0.25"/>
    <n v="0.1"/>
    <n v="0.05"/>
    <n v="10"/>
    <x v="0"/>
    <b v="1"/>
    <b v="1"/>
    <b v="1"/>
    <s v="1721000"/>
    <x v="1"/>
    <n v="2"/>
    <n v="1"/>
    <n v="0"/>
    <n v="10000"/>
    <n v="20000"/>
    <n v="10000"/>
    <n v="0"/>
    <s v="CULTURA VIVA"/>
  </r>
  <r>
    <x v="28"/>
    <s v="2024-19_PALMAS_SUBSÍDIO.pdf"/>
    <n v="144000"/>
    <n v="0.25"/>
    <n v="0"/>
    <n v="0"/>
    <n v="4"/>
    <x v="0"/>
    <b v="1"/>
    <b v="1"/>
    <b v="1"/>
    <s v="1721000"/>
    <x v="1"/>
    <n v="1"/>
    <n v="0"/>
    <n v="0"/>
    <n v="36000"/>
    <n v="36000"/>
    <n v="0"/>
    <n v="0"/>
    <s v="SUBSÍDIO"/>
  </r>
  <r>
    <x v="29"/>
    <s v="PARÁ_CULTURA_VIVA_003.pdf"/>
    <n v="5000000"/>
    <n v="0.25"/>
    <n v="0.1"/>
    <n v="0.05"/>
    <n v="40"/>
    <x v="0"/>
    <b v="1"/>
    <b v="1"/>
    <b v="1"/>
    <s v="15"/>
    <x v="0"/>
    <n v="10"/>
    <n v="4"/>
    <n v="2"/>
    <n v="125000"/>
    <n v="1250000"/>
    <n v="500000"/>
    <n v="250000"/>
    <s v="CULTURA VIVA"/>
  </r>
  <r>
    <x v="29"/>
    <s v="PARÁ_FOMENTO_002_2025.pdf"/>
    <n v="18487819"/>
    <n v="0.25"/>
    <n v="0.1"/>
    <n v="0.1"/>
    <n v="474"/>
    <x v="0"/>
    <b v="1"/>
    <b v="1"/>
    <b v="1"/>
    <s v="15"/>
    <x v="0"/>
    <n v="118"/>
    <n v="47"/>
    <n v="47"/>
    <n v="39003.837552742618"/>
    <n v="4602452.8312236276"/>
    <n v="1833180.364978903"/>
    <n v="1833180.364978903"/>
    <s v="FOMENTO"/>
  </r>
  <r>
    <x v="29"/>
    <s v="PARÁ_FOMENTO_004.pdf"/>
    <n v="4621949.37"/>
    <n v="0.25"/>
    <n v="0.1"/>
    <n v="0.1"/>
    <n v="252"/>
    <x v="0"/>
    <b v="1"/>
    <b v="1"/>
    <b v="1"/>
    <s v="15"/>
    <x v="0"/>
    <n v="63"/>
    <n v="25"/>
    <n v="25"/>
    <n v="18341.068928571429"/>
    <n v="1155487.3425"/>
    <n v="458526.72321428568"/>
    <n v="458526.72321428568"/>
    <s v="FOMENTO"/>
  </r>
  <r>
    <x v="29"/>
    <s v="PARÁ_FOMENTO_005.pdf"/>
    <n v="18487819"/>
    <n v="0.25"/>
    <n v="0.1"/>
    <n v="0.1"/>
    <n v="308"/>
    <x v="0"/>
    <b v="1"/>
    <b v="1"/>
    <b v="1"/>
    <s v="15"/>
    <x v="0"/>
    <n v="77"/>
    <n v="31"/>
    <n v="31"/>
    <n v="60025.38636363636"/>
    <n v="4621954.75"/>
    <n v="1860786.9772727271"/>
    <n v="1860786.9772727271"/>
    <s v="FOMENTO"/>
  </r>
  <r>
    <x v="29"/>
    <s v="PARÁ_PREMIAÇÃO_006.pdf"/>
    <n v="5490000"/>
    <n v="0.25"/>
    <n v="0.1"/>
    <n v="0.05"/>
    <n v="183"/>
    <x v="0"/>
    <b v="1"/>
    <b v="1"/>
    <b v="1"/>
    <s v="15"/>
    <x v="0"/>
    <n v="46"/>
    <n v="18"/>
    <n v="9"/>
    <n v="30000"/>
    <n v="1380000"/>
    <n v="540000"/>
    <n v="270000"/>
    <s v="PRÊMIO"/>
  </r>
  <r>
    <x v="29"/>
    <s v="2025-08_PARÁ_PREMIAÇÃO.pdf"/>
    <n v="4621954.74"/>
    <n v="0.25"/>
    <n v="0.1"/>
    <n v="0.05"/>
    <n v="200"/>
    <x v="1"/>
    <b v="1"/>
    <b v="1"/>
    <b v="1"/>
    <s v="15"/>
    <x v="0"/>
    <n v="50"/>
    <n v="20"/>
    <n v="10"/>
    <n v="23109.773700000002"/>
    <n v="1155488.6850000001"/>
    <n v="462195.47399999999"/>
    <n v="231097.73699999999"/>
    <s v="PRÊMIO"/>
  </r>
  <r>
    <x v="29"/>
    <s v="PARÁ_SUBSÍDIO_007.pdf"/>
    <n v="2731708.8"/>
    <n v="0.25"/>
    <n v="0.1"/>
    <n v="0.05"/>
    <n v="30"/>
    <x v="0"/>
    <b v="1"/>
    <b v="1"/>
    <b v="1"/>
    <s v="15"/>
    <x v="0"/>
    <n v="8"/>
    <n v="3"/>
    <n v="2"/>
    <n v="91056.959999999992"/>
    <n v="728455.67999999993"/>
    <n v="273170.88"/>
    <n v="182113.92000000001"/>
    <s v="SUBSÍDIO"/>
  </r>
  <r>
    <x v="30"/>
    <s v="2025-12_PARAÍBA_CULTURAVIVA.pdf"/>
    <n v="4250000"/>
    <n v="0.25"/>
    <n v="0.1"/>
    <n v="0.05"/>
    <n v="75"/>
    <x v="0"/>
    <b v="1"/>
    <b v="1"/>
    <b v="1"/>
    <s v="25"/>
    <x v="0"/>
    <n v="19"/>
    <n v="8"/>
    <n v="4"/>
    <n v="56666.666666666657"/>
    <n v="1076666.666666667"/>
    <n v="453333.33333333331"/>
    <n v="226666.66666666669"/>
    <s v="CULTURA VIVA"/>
  </r>
  <r>
    <x v="30"/>
    <s v="2024-26_PARAÍBA_BOLSA.pdf"/>
    <n v="3500000"/>
    <n v="0.25"/>
    <n v="0.1"/>
    <n v="0.05"/>
    <n v="350"/>
    <x v="0"/>
    <b v="1"/>
    <b v="1"/>
    <b v="1"/>
    <s v="25"/>
    <x v="0"/>
    <n v="88"/>
    <n v="35"/>
    <n v="18"/>
    <n v="10000"/>
    <n v="880000"/>
    <n v="350000"/>
    <n v="180000"/>
    <s v="BOLSA"/>
  </r>
  <r>
    <x v="30"/>
    <s v="2024-10_PARAÍBA_PRÊMIO.pdf"/>
    <n v="1995000"/>
    <n v="0.25"/>
    <n v="0.1"/>
    <n v="0.05"/>
    <n v="35"/>
    <x v="0"/>
    <b v="1"/>
    <b v="1"/>
    <b v="1"/>
    <s v="25"/>
    <x v="0"/>
    <n v="9"/>
    <n v="4"/>
    <n v="2"/>
    <n v="57000"/>
    <n v="513000"/>
    <n v="228000"/>
    <n v="114000"/>
    <s v="PRÊMIO"/>
  </r>
  <r>
    <x v="30"/>
    <s v="2025-07_PARAÍBA_PRÊMIO.pdf"/>
    <n v="600000"/>
    <n v="0.25"/>
    <n v="0.1"/>
    <n v="0.05"/>
    <n v="120"/>
    <x v="0"/>
    <b v="1"/>
    <b v="1"/>
    <b v="1"/>
    <s v="25"/>
    <x v="0"/>
    <n v="30"/>
    <n v="12"/>
    <n v="6"/>
    <n v="5000"/>
    <n v="150000"/>
    <n v="60000"/>
    <n v="30000"/>
    <s v="PRÊMIO"/>
  </r>
  <r>
    <x v="30"/>
    <s v="2024-05_PARAÍBA_PRÊMIO.pdf"/>
    <n v="1000000"/>
    <n v="0.25"/>
    <n v="0.1"/>
    <n v="0.05"/>
    <n v="160"/>
    <x v="0"/>
    <b v="1"/>
    <b v="1"/>
    <b v="1"/>
    <s v="25"/>
    <x v="0"/>
    <n v="40"/>
    <n v="16"/>
    <n v="8"/>
    <n v="6250"/>
    <n v="250000"/>
    <n v="100000"/>
    <n v="50000"/>
    <s v="PRÊMIO"/>
  </r>
  <r>
    <x v="30"/>
    <s v="2024-02_PARAÍBA_PRÊMIO.pdf"/>
    <n v="2400000"/>
    <n v="0.25"/>
    <n v="0.1"/>
    <n v="0.05"/>
    <n v="240"/>
    <x v="0"/>
    <b v="1"/>
    <b v="1"/>
    <b v="1"/>
    <s v="25"/>
    <x v="0"/>
    <n v="60"/>
    <n v="24"/>
    <n v="12"/>
    <n v="10000"/>
    <n v="600000"/>
    <n v="240000"/>
    <n v="120000"/>
    <s v="PRÊMIO"/>
  </r>
  <r>
    <x v="30"/>
    <s v="2024-11_PARAÍBA_PRÊMIO.pdf"/>
    <n v="800000"/>
    <n v="0"/>
    <n v="1"/>
    <n v="0.05"/>
    <n v="55"/>
    <x v="13"/>
    <b v="1"/>
    <b v="1"/>
    <b v="1"/>
    <s v="25"/>
    <x v="0"/>
    <n v="0"/>
    <n v="55"/>
    <n v="3"/>
    <n v="14545.45454545455"/>
    <n v="0"/>
    <n v="800000"/>
    <n v="43636.36363636364"/>
    <s v="PRÊMIO"/>
  </r>
  <r>
    <x v="30"/>
    <s v="2024-08_PARAÍBA_PRÊMIO.pdf"/>
    <n v="2400000"/>
    <n v="0.25"/>
    <n v="0.1"/>
    <n v="0.05"/>
    <n v="120"/>
    <x v="0"/>
    <b v="1"/>
    <b v="1"/>
    <b v="1"/>
    <s v="25"/>
    <x v="0"/>
    <n v="30"/>
    <n v="12"/>
    <n v="6"/>
    <n v="20000"/>
    <n v="600000"/>
    <n v="240000"/>
    <n v="120000"/>
    <s v="PRÊMIO"/>
  </r>
  <r>
    <x v="30"/>
    <s v="2025-13_PARAÍBA_FOMENTO.pdf"/>
    <n v="8500000"/>
    <n v="0.25"/>
    <n v="0.1"/>
    <n v="0.05"/>
    <n v="222"/>
    <x v="0"/>
    <b v="1"/>
    <b v="1"/>
    <b v="1"/>
    <s v="25"/>
    <x v="0"/>
    <n v="56"/>
    <n v="22"/>
    <n v="11"/>
    <n v="38288.288288288291"/>
    <n v="2144144.1441441439"/>
    <n v="842342.34234234237"/>
    <n v="421171.17117117118"/>
    <s v="FOMENTO"/>
  </r>
  <r>
    <x v="30"/>
    <s v="2025-14_PARAÍBA_FOMENTO.pdf"/>
    <n v="1800000"/>
    <n v="0.25"/>
    <n v="0.1"/>
    <n v="0.05"/>
    <n v="90"/>
    <x v="0"/>
    <b v="1"/>
    <b v="1"/>
    <b v="1"/>
    <s v="25"/>
    <x v="0"/>
    <n v="22"/>
    <n v="9"/>
    <n v="4"/>
    <n v="20000"/>
    <n v="440000"/>
    <n v="180000"/>
    <n v="80000"/>
    <s v="FOMENTO"/>
  </r>
  <r>
    <x v="30"/>
    <s v="2025-09_PARAÍBA_PRÊMIO.pdf"/>
    <n v="600000"/>
    <n v="0.25"/>
    <n v="0.1"/>
    <n v="0.05"/>
    <n v="120"/>
    <x v="1"/>
    <b v="1"/>
    <b v="1"/>
    <b v="1"/>
    <s v="25"/>
    <x v="0"/>
    <n v="30"/>
    <n v="12"/>
    <n v="6"/>
    <n v="5000"/>
    <n v="150000"/>
    <n v="60000"/>
    <n v="30000"/>
    <s v="PRÊMIO"/>
  </r>
  <r>
    <x v="30"/>
    <s v="2025-18_PARAÍBA_PRÊMIO.pdf"/>
    <n v="1355000"/>
    <n v="0.25"/>
    <n v="0.1"/>
    <n v="0.05"/>
    <n v="131"/>
    <x v="0"/>
    <b v="1"/>
    <b v="1"/>
    <b v="1"/>
    <s v="25"/>
    <x v="0"/>
    <n v="33"/>
    <n v="13"/>
    <n v="7"/>
    <n v="10343.51145038168"/>
    <n v="341335.87786259537"/>
    <n v="134465.64885496179"/>
    <n v="72404.580152671755"/>
    <s v="PRÊMIO"/>
  </r>
  <r>
    <x v="30"/>
    <s v="2025-11_PARAÍBA_PRÊMIO.pdf"/>
    <n v="2400000"/>
    <n v="0.25"/>
    <n v="0.1"/>
    <n v="0.05"/>
    <n v="80"/>
    <x v="0"/>
    <b v="1"/>
    <b v="1"/>
    <b v="1"/>
    <s v="25"/>
    <x v="0"/>
    <n v="20"/>
    <n v="8"/>
    <n v="4"/>
    <n v="30000"/>
    <n v="600000"/>
    <n v="240000"/>
    <n v="120000"/>
    <s v="PRÊMIO"/>
  </r>
  <r>
    <x v="30"/>
    <s v="2025-10_PARAÍBA_PRÊMIO.pdf"/>
    <n v="2400000"/>
    <n v="0.25"/>
    <n v="0.1"/>
    <n v="0.05"/>
    <n v="120"/>
    <x v="0"/>
    <b v="1"/>
    <b v="1"/>
    <b v="1"/>
    <s v="25"/>
    <x v="0"/>
    <n v="30"/>
    <n v="12"/>
    <n v="6"/>
    <n v="20000"/>
    <n v="600000"/>
    <n v="240000"/>
    <n v="120000"/>
    <s v="PRÊMIO"/>
  </r>
  <r>
    <x v="30"/>
    <s v="2024-12_PARAÍBA_PRÊMIO.pdf"/>
    <n v="800000"/>
    <n v="0"/>
    <n v="1"/>
    <n v="0.05"/>
    <n v="55"/>
    <x v="2"/>
    <b v="1"/>
    <b v="1"/>
    <b v="1"/>
    <s v="25"/>
    <x v="0"/>
    <n v="0"/>
    <n v="55"/>
    <n v="3"/>
    <n v="14545.45454545455"/>
    <n v="0"/>
    <n v="800000"/>
    <n v="43636.36363636364"/>
    <s v="PRÊMIO"/>
  </r>
  <r>
    <x v="30"/>
    <s v="2024-13_PARAÍBA_PRÊMIO.pdf"/>
    <n v="800000"/>
    <n v="0"/>
    <n v="0"/>
    <n v="0.05"/>
    <n v="55"/>
    <x v="14"/>
    <b v="1"/>
    <b v="1"/>
    <b v="1"/>
    <s v="25"/>
    <x v="0"/>
    <n v="0"/>
    <n v="0"/>
    <n v="3"/>
    <n v="14545.45454545455"/>
    <n v="0"/>
    <n v="0"/>
    <n v="43636.36363636364"/>
    <s v="PRÊMIO"/>
  </r>
  <r>
    <x v="31"/>
    <s v="PARANÁ_CULTURA_VIVA_002.pdf"/>
    <n v="5825997.2400000002"/>
    <n v="0.25"/>
    <n v="0.1"/>
    <n v="0.05"/>
    <n v="24"/>
    <x v="0"/>
    <b v="1"/>
    <b v="1"/>
    <b v="1"/>
    <s v="41"/>
    <x v="0"/>
    <n v="6"/>
    <n v="2"/>
    <n v="1"/>
    <n v="242749.88500000001"/>
    <n v="1456499.31"/>
    <n v="485499.77"/>
    <n v="242749.88500000001"/>
    <s v="CULTURA VIVA"/>
  </r>
  <r>
    <x v="31"/>
    <s v="PARANÁ_CULTURA_VIVA_004.pdf"/>
    <n v="5475586.3399999999"/>
    <n v="0.25"/>
    <n v="0.1"/>
    <n v="0.05"/>
    <n v="38"/>
    <x v="0"/>
    <b v="1"/>
    <b v="1"/>
    <b v="1"/>
    <s v="41"/>
    <x v="0"/>
    <n v="10"/>
    <n v="4"/>
    <n v="2"/>
    <n v="144094.37736842109"/>
    <n v="1440943.7736842111"/>
    <n v="576377.50947368424"/>
    <n v="288188.75473684212"/>
    <s v="CULTURA VIVA"/>
  </r>
  <r>
    <x v="31"/>
    <s v="PARANÁ_CULTURA_VIVA_006.pdf"/>
    <n v="3300000"/>
    <n v="0.25"/>
    <n v="0.1"/>
    <n v="0.05"/>
    <n v="60"/>
    <x v="0"/>
    <b v="1"/>
    <b v="1"/>
    <b v="1"/>
    <s v="41"/>
    <x v="0"/>
    <n v="15"/>
    <n v="6"/>
    <n v="3"/>
    <n v="55000"/>
    <n v="825000"/>
    <n v="330000"/>
    <n v="165000"/>
    <s v="CULTURA VIVA"/>
  </r>
  <r>
    <x v="31"/>
    <s v="2024-01_PARANÁ_FOMENTO.pdf"/>
    <n v="34050000"/>
    <n v="0.25"/>
    <n v="0.1"/>
    <n v="0.05"/>
    <n v="280"/>
    <x v="0"/>
    <b v="1"/>
    <b v="1"/>
    <b v="1"/>
    <s v="41"/>
    <x v="0"/>
    <n v="70"/>
    <n v="28"/>
    <n v="14"/>
    <n v="121607.1428571429"/>
    <n v="8512500"/>
    <n v="3405000"/>
    <n v="1702500"/>
    <s v="FOMENTO"/>
  </r>
  <r>
    <x v="31"/>
    <s v="PARANÁ_FOMENTO_0022.pdf"/>
    <n v="571428.56000000006"/>
    <n v="0.25"/>
    <n v="0.1"/>
    <n v="0.05"/>
    <n v="120"/>
    <x v="0"/>
    <b v="1"/>
    <b v="1"/>
    <b v="1"/>
    <s v="41"/>
    <x v="0"/>
    <n v="30"/>
    <n v="12"/>
    <n v="6"/>
    <n v="4761.9046666666673"/>
    <n v="142857.14000000001"/>
    <n v="57142.856000000007"/>
    <n v="28571.428"/>
    <s v="FOMENTO"/>
  </r>
  <r>
    <x v="31"/>
    <s v="2025-01_PARANÁ_FOMENTO.pdf"/>
    <n v="8750000"/>
    <n v="0.25"/>
    <n v="0.1"/>
    <n v="0.05"/>
    <n v="53"/>
    <x v="0"/>
    <b v="1"/>
    <b v="1"/>
    <b v="1"/>
    <s v="41"/>
    <x v="0"/>
    <n v="13"/>
    <n v="5"/>
    <n v="3"/>
    <n v="165094.33962264151"/>
    <n v="2146226.4150943402"/>
    <n v="825471.69811320747"/>
    <n v="495283.01886792452"/>
    <s v="FOMENTO"/>
  </r>
  <r>
    <x v="31"/>
    <s v="PARANÁ_PREMIO_02.pdf"/>
    <n v="1500000"/>
    <n v="0.25"/>
    <n v="0.1"/>
    <n v="0.05"/>
    <n v="50"/>
    <x v="0"/>
    <b v="1"/>
    <b v="1"/>
    <b v="1"/>
    <s v="41"/>
    <x v="0"/>
    <n v="12"/>
    <n v="5"/>
    <n v="2"/>
    <n v="30000"/>
    <n v="360000"/>
    <n v="150000"/>
    <n v="60000"/>
    <s v="PRÊMIO"/>
  </r>
  <r>
    <x v="31"/>
    <s v="PARANÁ_SUBISIDIO_008.pdf"/>
    <n v="3300000"/>
    <n v="0.25"/>
    <n v="0.1"/>
    <n v="0.05"/>
    <n v="16"/>
    <x v="0"/>
    <b v="1"/>
    <b v="1"/>
    <b v="1"/>
    <s v="41"/>
    <x v="0"/>
    <n v="4"/>
    <n v="2"/>
    <n v="1"/>
    <n v="206250"/>
    <n v="825000"/>
    <n v="412500"/>
    <n v="206250"/>
    <s v="SUBSÍDIO"/>
  </r>
  <r>
    <x v="31"/>
    <s v="PARANÁ_SUBSÍDIO_X.pdf"/>
    <n v="1499999.84"/>
    <n v="0.4"/>
    <n v="0.1"/>
    <n v="0.05"/>
    <n v="4"/>
    <x v="0"/>
    <b v="1"/>
    <b v="1"/>
    <b v="1"/>
    <s v="41"/>
    <x v="0"/>
    <n v="2"/>
    <n v="0"/>
    <n v="0"/>
    <n v="374999.96"/>
    <n v="749999.92"/>
    <n v="0"/>
    <n v="0"/>
    <s v="SUBSÍDIO"/>
  </r>
  <r>
    <x v="32"/>
    <s v="PERNAMBUCO_Edital_de_Bolsas_1.pdf"/>
    <n v="9800000"/>
    <n v="0.25"/>
    <n v="0.1"/>
    <n v="0.05"/>
    <n v="260"/>
    <x v="0"/>
    <b v="1"/>
    <b v="1"/>
    <b v="1"/>
    <s v="26"/>
    <x v="0"/>
    <n v="65"/>
    <n v="26"/>
    <n v="13"/>
    <n v="37692.307692307702"/>
    <n v="2450000"/>
    <n v="980000.00000000012"/>
    <n v="490000.00000000012"/>
    <s v="BOLSA"/>
  </r>
  <r>
    <x v="32"/>
    <s v="PERNAMBUCO_Edital_de_Fomento_1.pdf"/>
    <n v="33950000"/>
    <n v="0.25"/>
    <n v="0.1"/>
    <n v="0.05"/>
    <n v="900"/>
    <x v="0"/>
    <b v="1"/>
    <b v="1"/>
    <b v="1"/>
    <s v="26"/>
    <x v="0"/>
    <n v="225"/>
    <n v="90"/>
    <n v="45"/>
    <n v="37722.222222222219"/>
    <n v="8487500"/>
    <n v="3395000"/>
    <n v="1697500"/>
    <s v="FOMENTO"/>
  </r>
  <r>
    <x v="32"/>
    <s v="PERNAMBUCO_Edital_de_Premiação_1.pdf"/>
    <n v="9177166.5999999996"/>
    <n v="0.25"/>
    <n v="0.1"/>
    <n v="0.05"/>
    <n v="780"/>
    <x v="0"/>
    <b v="1"/>
    <b v="1"/>
    <b v="1"/>
    <s v="26"/>
    <x v="0"/>
    <n v="195"/>
    <n v="78"/>
    <n v="39"/>
    <n v="11765.598205128201"/>
    <n v="2294291.65"/>
    <n v="917716.65999999992"/>
    <n v="458858.33"/>
    <s v="PRÊMIO"/>
  </r>
  <r>
    <x v="32"/>
    <s v="2024-04_PERNAMBUCO_PRÊMIO.pdf"/>
    <n v="1000000"/>
    <n v="1"/>
    <n v="0.1"/>
    <n v="0.05"/>
    <n v="100"/>
    <x v="15"/>
    <b v="1"/>
    <b v="1"/>
    <b v="1"/>
    <s v="26"/>
    <x v="0"/>
    <n v="100"/>
    <n v="10"/>
    <n v="5"/>
    <n v="10000"/>
    <n v="1000000"/>
    <n v="100000"/>
    <n v="50000"/>
    <s v="PRÊMIO"/>
  </r>
  <r>
    <x v="32"/>
    <s v="2024-05_PERNAMBUCO_PRÊMIO.pdf"/>
    <n v="2500000"/>
    <n v="0.25"/>
    <n v="0.1"/>
    <n v="0.05"/>
    <n v="100"/>
    <x v="4"/>
    <b v="1"/>
    <b v="1"/>
    <b v="1"/>
    <s v="26"/>
    <x v="0"/>
    <n v="25"/>
    <n v="10"/>
    <n v="5"/>
    <n v="25000"/>
    <n v="625000"/>
    <n v="250000"/>
    <n v="125000"/>
    <s v="PRÊMIO"/>
  </r>
  <r>
    <x v="32"/>
    <s v="PERNAMBUCO_Edital_TCC_-_Pontos_PNCV_1.pdf"/>
    <n v="7700000"/>
    <n v="0.25"/>
    <n v="0.1"/>
    <n v="0.05"/>
    <n v="80"/>
    <x v="0"/>
    <b v="1"/>
    <b v="1"/>
    <b v="1"/>
    <s v="26"/>
    <x v="0"/>
    <n v="20"/>
    <n v="8"/>
    <n v="4"/>
    <n v="96250"/>
    <n v="1925000"/>
    <n v="770000"/>
    <n v="385000"/>
    <s v="CULTURA VIVA"/>
  </r>
  <r>
    <x v="32"/>
    <s v="PERNAMBUCO_Edital_TCC_-_Pontões_PNCV_1.pdf"/>
    <n v="1800000"/>
    <n v="0.25"/>
    <n v="0.1"/>
    <n v="0.05"/>
    <n v="6"/>
    <x v="0"/>
    <b v="1"/>
    <b v="1"/>
    <b v="1"/>
    <s v="26"/>
    <x v="0"/>
    <n v="2"/>
    <n v="1"/>
    <n v="0"/>
    <n v="300000"/>
    <n v="600000"/>
    <n v="300000"/>
    <n v="0"/>
    <s v="CULTURA VIVA"/>
  </r>
  <r>
    <x v="33"/>
    <s v="2024-02_PIAUÍ_FOMENTO.pdf"/>
    <n v="6500000"/>
    <n v="0.25"/>
    <n v="0.1"/>
    <n v="0.05"/>
    <n v="130"/>
    <x v="5"/>
    <b v="1"/>
    <b v="1"/>
    <b v="1"/>
    <s v="22"/>
    <x v="0"/>
    <n v="32"/>
    <n v="13"/>
    <n v="6"/>
    <n v="50000"/>
    <n v="1600000"/>
    <n v="650000"/>
    <n v="300000"/>
    <s v="FOMENTO"/>
  </r>
  <r>
    <x v="33"/>
    <s v="PIAUÍ_Edital_de_Fomento_2.pdf"/>
    <n v="12000000"/>
    <n v="0.25"/>
    <n v="0.1"/>
    <n v="0.05"/>
    <n v="110"/>
    <x v="0"/>
    <b v="1"/>
    <b v="1"/>
    <b v="1"/>
    <s v="22"/>
    <x v="0"/>
    <n v="28"/>
    <n v="11"/>
    <n v="6"/>
    <n v="109090.9090909091"/>
    <n v="3054545.4545454551"/>
    <n v="1200000"/>
    <n v="654545.45454545459"/>
    <s v="FOMENTO"/>
  </r>
  <r>
    <x v="33"/>
    <s v="PIAUÍ_Edital_de_Premiação_1.pdf"/>
    <n v="2248000"/>
    <n v="0.25"/>
    <n v="0.1"/>
    <n v="0.05"/>
    <n v="251"/>
    <x v="0"/>
    <b v="1"/>
    <b v="1"/>
    <b v="1"/>
    <s v="22"/>
    <x v="0"/>
    <n v="63"/>
    <n v="25"/>
    <n v="13"/>
    <n v="8956.1752988047811"/>
    <n v="564239.04382470122"/>
    <n v="223904.38247011951"/>
    <n v="116430.2788844622"/>
    <s v="PRÊMIO"/>
  </r>
  <r>
    <x v="33"/>
    <s v="PIAUÍ_Edital_TCC_-_Pontos_PNCV_1.pdf"/>
    <n v="2700000"/>
    <n v="0.25"/>
    <n v="0.1"/>
    <n v="0.05"/>
    <n v="27"/>
    <x v="0"/>
    <b v="1"/>
    <b v="1"/>
    <b v="1"/>
    <s v="22"/>
    <x v="0"/>
    <n v="7"/>
    <n v="3"/>
    <n v="1"/>
    <n v="100000"/>
    <n v="700000"/>
    <n v="300000"/>
    <n v="100000"/>
    <s v="CULTURA VIVA"/>
  </r>
  <r>
    <x v="33"/>
    <s v="PIAUÍ_Edital_TCC_-_Pontões_PNCV_1.pdf"/>
    <n v="600000"/>
    <n v="0.25"/>
    <n v="0.1"/>
    <n v="0.05"/>
    <n v="2"/>
    <x v="0"/>
    <b v="1"/>
    <b v="1"/>
    <b v="1"/>
    <s v="22"/>
    <x v="0"/>
    <n v="0"/>
    <n v="0"/>
    <n v="0"/>
    <n v="300000"/>
    <n v="0"/>
    <n v="0"/>
    <n v="0"/>
    <s v="CULTURA VIVA"/>
  </r>
  <r>
    <x v="34"/>
    <s v="2024-05_PORTOALEGRE_PRÊMIO.pdf"/>
    <n v="3980000"/>
    <n v="0.25"/>
    <n v="0.1"/>
    <n v="0.05"/>
    <n v="55"/>
    <x v="0"/>
    <b v="1"/>
    <b v="1"/>
    <b v="1"/>
    <s v="4314902"/>
    <x v="1"/>
    <n v="14"/>
    <n v="6"/>
    <n v="3"/>
    <n v="72363.636363636368"/>
    <n v="1013090.9090909089"/>
    <n v="434181.81818181818"/>
    <n v="217090.90909090909"/>
    <s v="PRÊMIO"/>
  </r>
  <r>
    <x v="34"/>
    <s v="2024-02_PORTOALEGRE_PRÊMIO.pdf"/>
    <n v="1000000"/>
    <n v="0.25"/>
    <n v="0.1"/>
    <n v="0.05"/>
    <n v="50"/>
    <x v="0"/>
    <b v="1"/>
    <b v="1"/>
    <b v="1"/>
    <s v="4314902"/>
    <x v="1"/>
    <n v="12"/>
    <n v="5"/>
    <n v="2"/>
    <n v="20000"/>
    <n v="240000"/>
    <n v="100000"/>
    <n v="40000"/>
    <s v="PRÊMIO"/>
  </r>
  <r>
    <x v="34"/>
    <s v="2024-03_PORTOALEGRE_CULTURAVIVA.pdf"/>
    <n v="1800000"/>
    <n v="0.25"/>
    <n v="0.1"/>
    <n v="0.05"/>
    <n v="30"/>
    <x v="0"/>
    <b v="1"/>
    <b v="1"/>
    <b v="1"/>
    <s v="4314902"/>
    <x v="1"/>
    <n v="8"/>
    <n v="3"/>
    <n v="2"/>
    <n v="60000"/>
    <n v="480000"/>
    <n v="180000"/>
    <n v="120000"/>
    <s v="CULTURA VIVA"/>
  </r>
  <r>
    <x v="34"/>
    <s v="2024-04_PORTOALEGRE_PRÊMIO.pdf.pdf"/>
    <n v="1036000"/>
    <n v="0.25"/>
    <n v="0.1"/>
    <n v="0.05"/>
    <n v="97"/>
    <x v="0"/>
    <b v="1"/>
    <b v="1"/>
    <b v="1"/>
    <s v="4314902"/>
    <x v="1"/>
    <n v="24"/>
    <n v="10"/>
    <n v="5"/>
    <n v="10680.41237113402"/>
    <n v="256329.89690721649"/>
    <n v="106804.1237113402"/>
    <n v="53402.061855670101"/>
    <s v="PRÊMIO"/>
  </r>
  <r>
    <x v="34"/>
    <s v="2025-01_PORTOALEGRE_CULTURAVIVA.pdf"/>
    <n v="780000"/>
    <n v="0"/>
    <n v="0"/>
    <n v="0"/>
    <n v="1"/>
    <x v="0"/>
    <b v="1"/>
    <b v="1"/>
    <b v="1"/>
    <s v="4314902"/>
    <x v="1"/>
    <n v="0"/>
    <n v="0"/>
    <n v="0"/>
    <n v="780000"/>
    <n v="0"/>
    <n v="0"/>
    <n v="0"/>
    <s v="CULTURA VIVA"/>
  </r>
  <r>
    <x v="35"/>
    <s v="2025-08_PORTOVELHO_FOMENTO.pdf"/>
    <n v="2121592.46"/>
    <n v="0.25"/>
    <n v="0.1"/>
    <n v="0.05"/>
    <n v="64"/>
    <x v="0"/>
    <b v="1"/>
    <b v="1"/>
    <b v="1"/>
    <s v="1100205"/>
    <x v="1"/>
    <n v="16"/>
    <n v="6"/>
    <n v="3"/>
    <n v="33149.882187499999"/>
    <n v="530398.11499999999"/>
    <n v="198899.293125"/>
    <n v="99449.646562499998"/>
    <s v="FOMENTO"/>
  </r>
  <r>
    <x v="35"/>
    <s v="2025-07_PORTOVELHO_CULTURAVIVA.pdf"/>
    <n v="510000"/>
    <n v="0.25"/>
    <n v="0.1"/>
    <n v="0.05"/>
    <n v="26"/>
    <x v="0"/>
    <b v="1"/>
    <b v="1"/>
    <b v="1"/>
    <s v="1100205"/>
    <x v="1"/>
    <n v="6"/>
    <n v="3"/>
    <n v="1"/>
    <n v="19615.384615384621"/>
    <n v="117692.3076923077"/>
    <n v="58846.153846153851"/>
    <n v="19615.384615384621"/>
    <s v="CULTURA VIVA"/>
  </r>
  <r>
    <x v="35"/>
    <s v="2025-05_PORTOVELHO_CULTURAVIVA.pdf"/>
    <n v="571216.27"/>
    <n v="0.25"/>
    <n v="0.1"/>
    <n v="0.05"/>
    <n v="6"/>
    <x v="0"/>
    <b v="1"/>
    <b v="1"/>
    <b v="1"/>
    <s v="1100205"/>
    <x v="1"/>
    <n v="2"/>
    <n v="1"/>
    <n v="0"/>
    <n v="95202.71166666667"/>
    <n v="190405.42333333331"/>
    <n v="95202.71166666667"/>
    <n v="0"/>
    <s v="CULTURA VIVA"/>
  </r>
  <r>
    <x v="35"/>
    <s v="2025-06_PORTOVELHO_SUBSÍDIO.pdf"/>
    <n v="470000"/>
    <n v="0.19"/>
    <n v="0.19"/>
    <n v="0.05"/>
    <n v="21"/>
    <x v="0"/>
    <b v="0"/>
    <b v="1"/>
    <b v="1"/>
    <s v="1100205"/>
    <x v="1"/>
    <n v="4"/>
    <n v="4"/>
    <n v="1"/>
    <n v="22380.952380952382"/>
    <n v="89523.809523809527"/>
    <n v="89523.809523809527"/>
    <n v="22380.952380952382"/>
    <s v="SUBSÍDIO"/>
  </r>
  <r>
    <x v="36"/>
    <s v="2024-01_RECIFE_FOMENTO.pdf"/>
    <n v="500000"/>
    <n v="0.3"/>
    <n v="0.1"/>
    <n v="0.05"/>
    <n v="10"/>
    <x v="0"/>
    <b v="1"/>
    <b v="1"/>
    <b v="1"/>
    <s v="2611606"/>
    <x v="1"/>
    <n v="3"/>
    <n v="1"/>
    <n v="0"/>
    <n v="50000"/>
    <n v="150000"/>
    <n v="50000"/>
    <n v="0"/>
    <s v="FOMENTO"/>
  </r>
  <r>
    <x v="36"/>
    <s v="2024-02_RECIFE_FOMENTO.pdf.pdf"/>
    <n v="2099141.2999999998"/>
    <n v="0.3"/>
    <n v="0.1"/>
    <n v="0.05"/>
    <m/>
    <x v="0"/>
    <b v="1"/>
    <b v="1"/>
    <b v="1"/>
    <s v="2611606"/>
    <x v="1"/>
    <m/>
    <m/>
    <m/>
    <m/>
    <n v="629742.3899999999"/>
    <n v="209914.13"/>
    <n v="104957.065"/>
    <s v="FOMENTO"/>
  </r>
  <r>
    <x v="36"/>
    <s v="2025-01_RECIFE_CULTURAVIVA.pdf.pdf"/>
    <n v="2800000"/>
    <n v="0.3"/>
    <n v="0.1"/>
    <n v="0.05"/>
    <n v="36"/>
    <x v="0"/>
    <b v="1"/>
    <b v="1"/>
    <b v="1"/>
    <s v="2611606"/>
    <x v="1"/>
    <n v="11"/>
    <n v="4"/>
    <n v="2"/>
    <n v="77777.777777777781"/>
    <n v="855555.55555555562"/>
    <n v="311111.11111111112"/>
    <n v="155555.55555555559"/>
    <s v="CULTURA VIVA"/>
  </r>
  <r>
    <x v="36"/>
    <s v="2024-03_RECIFE_FOMENTO.pdf.pdf"/>
    <n v="4747853.3"/>
    <n v="0.3"/>
    <n v="0.1"/>
    <n v="0.05"/>
    <m/>
    <x v="0"/>
    <b v="1"/>
    <b v="1"/>
    <b v="1"/>
    <s v="2611606"/>
    <x v="1"/>
    <m/>
    <m/>
    <m/>
    <m/>
    <n v="1424355.99"/>
    <n v="474785.33"/>
    <n v="237392.66500000001"/>
    <s v="FOMENTO"/>
  </r>
  <r>
    <x v="37"/>
    <s v="2024-06_RIOBRANCO_BOLSA.pdf"/>
    <n v="976000"/>
    <n v="0.25"/>
    <n v="0"/>
    <n v="0.05"/>
    <n v="49"/>
    <x v="0"/>
    <b v="1"/>
    <b v="1"/>
    <b v="1"/>
    <s v="1200401"/>
    <x v="1"/>
    <n v="12"/>
    <n v="0"/>
    <n v="2"/>
    <n v="19918.36734693878"/>
    <n v="239020.4081632653"/>
    <n v="0"/>
    <n v="39836.734693877552"/>
    <s v="BOLSA"/>
  </r>
  <r>
    <x v="37"/>
    <s v="2024-08_RIOBRANCO_FOMENTO.pdf"/>
    <n v="230000"/>
    <n v="0.2"/>
    <n v="0"/>
    <n v="0.05"/>
    <n v="23"/>
    <x v="16"/>
    <b v="1"/>
    <b v="1"/>
    <b v="1"/>
    <s v="1200401"/>
    <x v="1"/>
    <n v="5"/>
    <n v="0"/>
    <n v="1"/>
    <n v="10000"/>
    <n v="50000"/>
    <n v="0"/>
    <n v="10000"/>
    <s v="FOMENTO"/>
  </r>
  <r>
    <x v="37"/>
    <s v="2024-11_RIOBRANCO_CULTURAVIVA.pdf"/>
    <n v="800000"/>
    <n v="0.25"/>
    <n v="0.1"/>
    <n v="0.05"/>
    <n v="32"/>
    <x v="0"/>
    <b v="1"/>
    <b v="1"/>
    <b v="1"/>
    <s v="1200401"/>
    <x v="1"/>
    <n v="8"/>
    <n v="3"/>
    <n v="2"/>
    <n v="25000"/>
    <n v="200000"/>
    <n v="75000"/>
    <n v="50000"/>
    <s v="CULTURA VIVA"/>
  </r>
  <r>
    <x v="37"/>
    <s v="2024-09_RIOBRANCO_PRÊMIO.pdf"/>
    <n v="220000"/>
    <n v="0"/>
    <n v="1"/>
    <n v="0"/>
    <n v="22"/>
    <x v="2"/>
    <b v="1"/>
    <b v="1"/>
    <b v="0"/>
    <s v="1200401"/>
    <x v="1"/>
    <n v="0"/>
    <n v="22"/>
    <n v="0"/>
    <n v="10000"/>
    <n v="0"/>
    <n v="220000"/>
    <n v="0"/>
    <s v="PRÊMIO"/>
  </r>
  <r>
    <x v="37"/>
    <s v="2024-10_RIOBRANCO_PRÊMIO.pdf"/>
    <n v="220000"/>
    <n v="0.2"/>
    <n v="0"/>
    <n v="0.05"/>
    <n v="22"/>
    <x v="1"/>
    <b v="1"/>
    <b v="1"/>
    <b v="1"/>
    <s v="1200401"/>
    <x v="1"/>
    <n v="4"/>
    <n v="0"/>
    <n v="1"/>
    <n v="10000"/>
    <n v="40000"/>
    <n v="0"/>
    <n v="10000"/>
    <s v="PRÊMIO"/>
  </r>
  <r>
    <x v="37"/>
    <s v="2025-01_RIOBRANCO_CULTURAVIVA.pdf"/>
    <n v="960000"/>
    <n v="0.25"/>
    <n v="0.1"/>
    <n v="0.05"/>
    <n v="32"/>
    <x v="0"/>
    <b v="1"/>
    <b v="1"/>
    <b v="1"/>
    <s v="1200401"/>
    <x v="1"/>
    <n v="8"/>
    <n v="3"/>
    <n v="2"/>
    <n v="30000"/>
    <n v="240000"/>
    <n v="90000"/>
    <n v="60000"/>
    <s v="CULTURA VIVA"/>
  </r>
  <r>
    <x v="37"/>
    <s v="2024-07_RIOBRANCO_FOMENTO.pdf"/>
    <n v="682000"/>
    <n v="0.2"/>
    <n v="0"/>
    <n v="0.05"/>
    <n v="34"/>
    <x v="0"/>
    <b v="1"/>
    <b v="0"/>
    <b v="1"/>
    <s v="1200401"/>
    <x v="1"/>
    <n v="7"/>
    <n v="0"/>
    <n v="2"/>
    <n v="20058.823529411769"/>
    <n v="140411.76470588229"/>
    <n v="0"/>
    <n v="40117.647058823532"/>
    <s v="FOMENTO"/>
  </r>
  <r>
    <x v="38"/>
    <s v="RIO DE JANEIRO_CULTURA VIVA_2.pdf"/>
    <n v="17730000"/>
    <n v="0.25"/>
    <n v="0.1"/>
    <n v="0.05"/>
    <n v="373"/>
    <x v="0"/>
    <b v="1"/>
    <b v="1"/>
    <b v="1"/>
    <s v="33"/>
    <x v="0"/>
    <n v="93"/>
    <n v="37"/>
    <n v="19"/>
    <n v="47533.512064343173"/>
    <n v="4420616.6219839146"/>
    <n v="1758739.946380697"/>
    <n v="903136.72922252014"/>
    <s v="CULTURA VIVA"/>
  </r>
  <r>
    <x v="38"/>
    <s v="RIO DE JANEIRO_CULTURA_VIVA.pdf"/>
    <n v="4800000"/>
    <n v="0"/>
    <n v="0"/>
    <n v="0"/>
    <n v="2"/>
    <x v="0"/>
    <b v="1"/>
    <b v="1"/>
    <b v="1"/>
    <s v="33"/>
    <x v="0"/>
    <n v="0"/>
    <n v="0"/>
    <n v="0"/>
    <n v="2400000"/>
    <n v="0"/>
    <n v="0"/>
    <n v="0"/>
    <s v="CULTURA VIVA"/>
  </r>
  <r>
    <x v="38"/>
    <s v="RIO DE JANEIRO_Edital_de_Fomento_1.pdf"/>
    <n v="5000000"/>
    <n v="0.25"/>
    <n v="0.1"/>
    <n v="0.05"/>
    <n v="55"/>
    <x v="0"/>
    <b v="1"/>
    <b v="1"/>
    <b v="1"/>
    <s v="33"/>
    <x v="0"/>
    <n v="14"/>
    <n v="6"/>
    <n v="3"/>
    <n v="90909.090909090912"/>
    <n v="1272727.2727272729"/>
    <n v="545454.54545454541"/>
    <n v="272727.27272727271"/>
    <s v="FOMENTO"/>
  </r>
  <r>
    <x v="38"/>
    <s v="RIO DE JANEIRO_Edital_de_Fomento_2.pdf"/>
    <n v="21000000"/>
    <n v="0.25"/>
    <n v="0.1"/>
    <n v="0.05"/>
    <n v="300"/>
    <x v="0"/>
    <b v="1"/>
    <b v="1"/>
    <b v="1"/>
    <s v="33"/>
    <x v="0"/>
    <n v="75"/>
    <n v="30"/>
    <n v="15"/>
    <n v="70000"/>
    <n v="5250000"/>
    <n v="2100000"/>
    <n v="1050000"/>
    <s v="FOMENTO"/>
  </r>
  <r>
    <x v="38"/>
    <s v="RIO DE JANEIRO_Edital_de_Fomento_3.pdf"/>
    <n v="21000000"/>
    <n v="0.25"/>
    <n v="0.1"/>
    <n v="0.05"/>
    <n v="92"/>
    <x v="0"/>
    <b v="1"/>
    <b v="1"/>
    <b v="1"/>
    <s v="33"/>
    <x v="0"/>
    <n v="23"/>
    <n v="9"/>
    <n v="5"/>
    <n v="228260.86956521741"/>
    <n v="5250000"/>
    <n v="2054347.8260869561"/>
    <n v="1141304.3478260869"/>
    <s v="FOMENTO"/>
  </r>
  <r>
    <x v="38"/>
    <s v="RIO DE JANEIRO_Edital_de_Fomento_4.pdf"/>
    <n v="6500000"/>
    <n v="0.25"/>
    <n v="0.1"/>
    <n v="0.05"/>
    <n v="30"/>
    <x v="0"/>
    <b v="1"/>
    <b v="1"/>
    <b v="1"/>
    <s v="33"/>
    <x v="0"/>
    <n v="8"/>
    <n v="3"/>
    <n v="2"/>
    <n v="216666.66666666669"/>
    <n v="1733333.333333333"/>
    <n v="650000"/>
    <n v="433333.33333333331"/>
    <s v="FOMENTO"/>
  </r>
  <r>
    <x v="38"/>
    <s v="RIO DE JANEIRO_Edital_de_Fomento_5.pdf"/>
    <n v="11000000"/>
    <n v="0.25"/>
    <n v="0.1"/>
    <n v="0.05"/>
    <n v="200"/>
    <x v="5"/>
    <b v="1"/>
    <b v="1"/>
    <b v="1"/>
    <s v="33"/>
    <x v="0"/>
    <n v="50"/>
    <n v="20"/>
    <n v="10"/>
    <n v="55000"/>
    <n v="2750000"/>
    <n v="1100000"/>
    <n v="550000"/>
    <s v="FOMENTO"/>
  </r>
  <r>
    <x v="39"/>
    <s v="2024-07_RIODEJANEIRO_CULTURAVIVA.pdf"/>
    <n v="6600000"/>
    <n v="0.25"/>
    <n v="0.1"/>
    <n v="0.05"/>
    <n v="30"/>
    <x v="0"/>
    <b v="1"/>
    <b v="1"/>
    <b v="1"/>
    <s v="2111300"/>
    <x v="1"/>
    <n v="8"/>
    <n v="3"/>
    <n v="2"/>
    <n v="220000"/>
    <n v="1760000"/>
    <n v="660000"/>
    <n v="440000"/>
    <s v="CULTURA VIVA"/>
  </r>
  <r>
    <x v="39"/>
    <s v="2023-07_RIODEJANEIRO_FOMENTO.pdf"/>
    <n v="25000000"/>
    <n v="0.2"/>
    <n v="0.1"/>
    <n v="0.05"/>
    <n v="162"/>
    <x v="0"/>
    <b v="1"/>
    <b v="1"/>
    <b v="1"/>
    <s v="2111300"/>
    <x v="1"/>
    <n v="32"/>
    <n v="16"/>
    <n v="8"/>
    <n v="154320.98765432101"/>
    <n v="4938271.6049382715"/>
    <n v="2469135.8024691362"/>
    <n v="1234567.9012345681"/>
    <s v="FOMENTO"/>
  </r>
  <r>
    <x v="39"/>
    <s v="2024-06_RIODEJANEIRO_CULTURAVIVA.pdf"/>
    <n v="2840000"/>
    <n v="0.25"/>
    <n v="0.1"/>
    <n v="0.05"/>
    <n v="21"/>
    <x v="0"/>
    <b v="1"/>
    <b v="1"/>
    <b v="1"/>
    <s v="2111300"/>
    <x v="1"/>
    <n v="5"/>
    <n v="2"/>
    <n v="1"/>
    <n v="135238.09523809521"/>
    <n v="676190.47619047621"/>
    <n v="270476.19047619047"/>
    <n v="135238.09523809521"/>
    <s v="CULTURA VIVA"/>
  </r>
  <r>
    <x v="39"/>
    <s v="2024-11_RIODEJANEIRO_CULTURAVIVA.pdf"/>
    <n v="600000"/>
    <n v="0"/>
    <n v="0"/>
    <n v="0"/>
    <n v="1"/>
    <x v="0"/>
    <b v="1"/>
    <b v="1"/>
    <b v="1"/>
    <s v="2111300"/>
    <x v="1"/>
    <n v="0"/>
    <n v="0"/>
    <n v="0"/>
    <n v="600000"/>
    <n v="0"/>
    <n v="0"/>
    <n v="0"/>
    <s v="CULTURA VIVA"/>
  </r>
  <r>
    <x v="39"/>
    <s v="2024-12_RIODEJANEIRO_FOMENTO.pdf"/>
    <n v="700000"/>
    <n v="0.25"/>
    <n v="0.1"/>
    <n v="0.05"/>
    <m/>
    <x v="0"/>
    <b v="1"/>
    <b v="1"/>
    <b v="1"/>
    <s v="2111300"/>
    <x v="1"/>
    <m/>
    <m/>
    <m/>
    <m/>
    <n v="175000"/>
    <n v="70000"/>
    <n v="35000"/>
    <s v="FOMENTO"/>
  </r>
  <r>
    <x v="39"/>
    <s v="2024-13_RIODEJANEIRO_FOMENTO.pdf"/>
    <n v="1000000"/>
    <n v="0.25"/>
    <n v="0.1"/>
    <n v="0.05"/>
    <m/>
    <x v="0"/>
    <b v="1"/>
    <b v="1"/>
    <b v="1"/>
    <s v="2111300"/>
    <x v="1"/>
    <m/>
    <m/>
    <m/>
    <m/>
    <n v="250000"/>
    <n v="100000"/>
    <n v="50000"/>
    <s v="FOMENTO"/>
  </r>
  <r>
    <x v="39"/>
    <s v="2025-03_RIODEJANEIRO_FOMENTO.pdf"/>
    <n v="425000"/>
    <n v="0.3"/>
    <n v="0.1"/>
    <n v="0.1"/>
    <n v="20"/>
    <x v="0"/>
    <b v="1"/>
    <b v="1"/>
    <b v="1"/>
    <s v="2111300"/>
    <x v="1"/>
    <n v="6"/>
    <n v="2"/>
    <n v="2"/>
    <n v="21250"/>
    <n v="127500"/>
    <n v="42500"/>
    <n v="42500"/>
    <s v="FOMENTO"/>
  </r>
  <r>
    <x v="40"/>
    <s v="RIO GRANDE DO NORTE_Edital_de_Fomento_1.pdf"/>
    <n v="1480000"/>
    <n v="0.25"/>
    <n v="0.1"/>
    <n v="0.05"/>
    <n v="34"/>
    <x v="0"/>
    <b v="1"/>
    <b v="1"/>
    <b v="1"/>
    <s v="24"/>
    <x v="0"/>
    <n v="8"/>
    <n v="3"/>
    <n v="2"/>
    <n v="43529.411764705881"/>
    <n v="348235.29411764699"/>
    <n v="130588.23529411769"/>
    <n v="87058.823529411762"/>
    <s v="FOMENTO"/>
  </r>
  <r>
    <x v="40"/>
    <s v="2024-08_IN_FOMENTO.pdf"/>
    <n v="1240000"/>
    <n v="0.25"/>
    <n v="0.1"/>
    <n v="0.05"/>
    <n v="34"/>
    <x v="0"/>
    <b v="1"/>
    <b v="1"/>
    <b v="1"/>
    <s v="24"/>
    <x v="0"/>
    <n v="8"/>
    <n v="3"/>
    <n v="2"/>
    <n v="36470.588235294119"/>
    <n v="291764.70588235301"/>
    <n v="109411.76470588231"/>
    <n v="72941.176470588238"/>
    <s v="FOMENTO"/>
  </r>
  <r>
    <x v="40"/>
    <s v="2024-09_IN_FOMENTO.pdf"/>
    <n v="1360000"/>
    <n v="0.25"/>
    <n v="0.1"/>
    <n v="0.05"/>
    <n v="66"/>
    <x v="0"/>
    <b v="1"/>
    <b v="1"/>
    <b v="1"/>
    <s v="24"/>
    <x v="0"/>
    <n v="16"/>
    <n v="7"/>
    <n v="3"/>
    <n v="20606.060606060611"/>
    <n v="329696.96969696973"/>
    <n v="144242.42424242431"/>
    <n v="61818.181818181823"/>
    <s v="FOMENTO"/>
  </r>
  <r>
    <x v="40"/>
    <s v="2024-10_IN_FOMENTO.pdf"/>
    <n v="1800000"/>
    <n v="0.25"/>
    <n v="0.1"/>
    <n v="0.05"/>
    <n v="47"/>
    <x v="0"/>
    <b v="1"/>
    <b v="1"/>
    <b v="1"/>
    <s v="24"/>
    <x v="0"/>
    <n v="12"/>
    <n v="5"/>
    <n v="2"/>
    <n v="38297.872340425529"/>
    <n v="459574.46808510629"/>
    <n v="191489.36170212759"/>
    <n v="76595.744680851058"/>
    <s v="FOMENTO"/>
  </r>
  <r>
    <x v="40"/>
    <s v="RIO GRANDE DO NORTE_Edital_de_Fomento_5.pdf"/>
    <n v="920000"/>
    <n v="0.25"/>
    <n v="0.1"/>
    <n v="0.05"/>
    <n v="38"/>
    <x v="0"/>
    <b v="1"/>
    <b v="1"/>
    <b v="1"/>
    <s v="24"/>
    <x v="0"/>
    <n v="10"/>
    <n v="4"/>
    <n v="2"/>
    <n v="24210.52631578947"/>
    <n v="242105.26315789469"/>
    <n v="96842.105263157893"/>
    <n v="48421.052631578947"/>
    <s v="FOMENTO"/>
  </r>
  <r>
    <x v="40"/>
    <s v="RIO GRANDE DO NORTE_Edital_de_Fomento_6.pdf"/>
    <n v="1680000"/>
    <n v="0.25"/>
    <n v="0.1"/>
    <n v="0.05"/>
    <n v="58"/>
    <x v="0"/>
    <b v="1"/>
    <b v="1"/>
    <b v="1"/>
    <s v="24"/>
    <x v="0"/>
    <n v="14"/>
    <n v="6"/>
    <n v="3"/>
    <n v="28965.517241379312"/>
    <n v="405517.24137931038"/>
    <n v="173793.10344827591"/>
    <n v="86896.551724137942"/>
    <s v="FOMENTO"/>
  </r>
  <r>
    <x v="40"/>
    <s v="RIO GRANDE DO NORTE_Edital_de_Fomento_7.pdf"/>
    <n v="1480000"/>
    <n v="0.25"/>
    <n v="0.1"/>
    <n v="0.05"/>
    <n v="62"/>
    <x v="0"/>
    <b v="1"/>
    <b v="1"/>
    <b v="1"/>
    <s v="24"/>
    <x v="0"/>
    <n v="16"/>
    <n v="6"/>
    <n v="3"/>
    <n v="23870.967741935481"/>
    <n v="381935.48387096782"/>
    <n v="143225.80645161291"/>
    <n v="71612.903225806454"/>
    <s v="FOMENTO"/>
  </r>
  <r>
    <x v="40"/>
    <s v="2024-02_RN_PRÊMIO.pdf"/>
    <n v="1200000"/>
    <n v="0.25"/>
    <n v="0.1"/>
    <n v="0.05"/>
    <n v="120"/>
    <x v="0"/>
    <b v="1"/>
    <b v="1"/>
    <b v="1"/>
    <s v="24"/>
    <x v="0"/>
    <n v="30"/>
    <n v="12"/>
    <n v="6"/>
    <n v="10000"/>
    <n v="300000"/>
    <n v="120000"/>
    <n v="60000"/>
    <s v="PRÊMIO"/>
  </r>
  <r>
    <x v="40"/>
    <s v="2024-01_RN_Premio"/>
    <n v="1125000"/>
    <n v="0.25"/>
    <n v="0.1"/>
    <n v="0.05"/>
    <n v="89"/>
    <x v="0"/>
    <b v="1"/>
    <b v="1"/>
    <b v="1"/>
    <s v="24"/>
    <x v="0"/>
    <n v="22"/>
    <n v="9"/>
    <n v="4"/>
    <n v="12640.449438202249"/>
    <n v="278089.88764044951"/>
    <n v="113764.0449438202"/>
    <n v="50561.79775280899"/>
    <s v="PRÊMIO"/>
  </r>
  <r>
    <x v="40"/>
    <s v="2024-06_RN_CulturaViva.pdf"/>
    <n v="3360000"/>
    <n v="0.25"/>
    <n v="0.1"/>
    <n v="0.05"/>
    <n v="84"/>
    <x v="0"/>
    <b v="1"/>
    <b v="1"/>
    <b v="1"/>
    <s v="24"/>
    <x v="0"/>
    <n v="21"/>
    <n v="8"/>
    <n v="4"/>
    <n v="40000"/>
    <n v="840000"/>
    <n v="320000"/>
    <n v="160000"/>
    <s v="CULTURA VIVA"/>
  </r>
  <r>
    <x v="40"/>
    <s v="2024-17_RN_FOMENTO.pdf"/>
    <n v="920000"/>
    <n v="0.25"/>
    <n v="0.1"/>
    <n v="0.05"/>
    <n v="46"/>
    <x v="5"/>
    <b v="1"/>
    <b v="1"/>
    <b v="1"/>
    <s v="24"/>
    <x v="0"/>
    <n v="12"/>
    <n v="5"/>
    <n v="2"/>
    <n v="20000"/>
    <n v="240000"/>
    <n v="100000"/>
    <n v="40000"/>
    <s v="FOMENTO"/>
  </r>
  <r>
    <x v="40"/>
    <s v="RIO GRANDE DO NORTE_FOMENTO_01.pdf"/>
    <n v="750000"/>
    <n v="0.25"/>
    <n v="0.1"/>
    <n v="0.05"/>
    <n v="110"/>
    <x v="0"/>
    <b v="1"/>
    <b v="1"/>
    <b v="1"/>
    <s v="24"/>
    <x v="0"/>
    <n v="28"/>
    <n v="11"/>
    <n v="6"/>
    <n v="6818.181818181818"/>
    <n v="190909.09090909091"/>
    <n v="75000"/>
    <n v="40909.090909090912"/>
    <s v="FOMENTO"/>
  </r>
  <r>
    <x v="40"/>
    <s v="RIO GRANDE DO NORTE_FOMENTO_2.pdf"/>
    <n v="620000"/>
    <n v="0.25"/>
    <n v="0.1"/>
    <n v="0.05"/>
    <n v="30"/>
    <x v="0"/>
    <b v="1"/>
    <b v="1"/>
    <b v="1"/>
    <s v="24"/>
    <x v="0"/>
    <n v="8"/>
    <n v="3"/>
    <n v="2"/>
    <n v="20666.666666666672"/>
    <n v="165333.33333333331"/>
    <n v="62000"/>
    <n v="41333.333333333343"/>
    <s v="FOMENTO"/>
  </r>
  <r>
    <x v="40"/>
    <s v="2024-16_RN_FOMENTO.pdf"/>
    <n v="3660000"/>
    <n v="0.25"/>
    <n v="0.1"/>
    <n v="0.05"/>
    <n v="140"/>
    <x v="4"/>
    <b v="1"/>
    <b v="1"/>
    <b v="1"/>
    <s v="24"/>
    <x v="0"/>
    <n v="35"/>
    <n v="14"/>
    <n v="7"/>
    <n v="26142.857142857141"/>
    <n v="915000"/>
    <n v="366000"/>
    <n v="183000"/>
    <s v="FOMENTO"/>
  </r>
  <r>
    <x v="40"/>
    <s v="2024-19_RN_FOMENTO.pdf"/>
    <n v="920000"/>
    <n v="0.25"/>
    <n v="0.1"/>
    <n v="0.05"/>
    <n v="30"/>
    <x v="3"/>
    <b v="1"/>
    <b v="1"/>
    <b v="1"/>
    <s v="24"/>
    <x v="0"/>
    <n v="8"/>
    <n v="3"/>
    <n v="2"/>
    <n v="30666.666666666672"/>
    <n v="245333.33333333331"/>
    <n v="92000"/>
    <n v="61333.333333333343"/>
    <s v="FOMENTO"/>
  </r>
  <r>
    <x v="40"/>
    <s v="2024-03_RN_PRÊMIO.pdf"/>
    <n v="400000"/>
    <n v="0.25"/>
    <n v="0.1"/>
    <n v="0.05"/>
    <n v="40"/>
    <x v="5"/>
    <b v="1"/>
    <b v="1"/>
    <b v="1"/>
    <s v="24"/>
    <x v="0"/>
    <n v="10"/>
    <n v="4"/>
    <n v="2"/>
    <n v="10000"/>
    <n v="100000"/>
    <n v="40000"/>
    <n v="20000"/>
    <s v="PRÊMIO"/>
  </r>
  <r>
    <x v="40"/>
    <s v="RIO GRANDE DO NORTE_SUBSÍDIO_24.pdf"/>
    <n v="960000"/>
    <n v="0.25"/>
    <n v="0.1"/>
    <n v="0.05"/>
    <n v="24"/>
    <x v="0"/>
    <b v="1"/>
    <b v="1"/>
    <b v="1"/>
    <s v="24"/>
    <x v="0"/>
    <n v="6"/>
    <n v="2"/>
    <n v="1"/>
    <n v="40000"/>
    <n v="240000"/>
    <n v="80000"/>
    <n v="40000"/>
    <s v="SUBSÍDIO"/>
  </r>
  <r>
    <x v="40"/>
    <s v="2024-05_RN_PRÊMIO.pdf"/>
    <n v="1200000"/>
    <n v="0"/>
    <n v="0"/>
    <n v="0.05"/>
    <n v="40"/>
    <x v="14"/>
    <b v="1"/>
    <b v="1"/>
    <b v="1"/>
    <s v="24"/>
    <x v="0"/>
    <n v="0"/>
    <n v="0"/>
    <n v="2"/>
    <n v="30000"/>
    <n v="0"/>
    <n v="0"/>
    <n v="60000"/>
    <s v="PRÊMIO"/>
  </r>
  <r>
    <x v="40"/>
    <s v="2024-04_RN_PRÊMIO.pdf"/>
    <n v="660000"/>
    <n v="0"/>
    <n v="1"/>
    <n v="0.05"/>
    <n v="22"/>
    <x v="2"/>
    <b v="1"/>
    <b v="1"/>
    <b v="1"/>
    <s v="24"/>
    <x v="0"/>
    <n v="0"/>
    <n v="22"/>
    <n v="1"/>
    <n v="30000"/>
    <n v="0"/>
    <n v="660000"/>
    <n v="30000"/>
    <s v="PRÊMIO"/>
  </r>
  <r>
    <x v="40"/>
    <s v="2024-07_RN_CulturaViva.pdf"/>
    <n v="600000"/>
    <n v="0.5"/>
    <n v="0"/>
    <n v="0"/>
    <n v="2"/>
    <x v="0"/>
    <b v="1"/>
    <b v="1"/>
    <b v="1"/>
    <s v="24"/>
    <x v="0"/>
    <n v="1"/>
    <n v="0"/>
    <n v="0"/>
    <n v="300000"/>
    <n v="300000"/>
    <n v="0"/>
    <n v="0"/>
    <s v="CULTURA VIVA"/>
  </r>
  <r>
    <x v="40"/>
    <s v="2024-18_RN_FOMENTO.pdf"/>
    <n v="620000"/>
    <n v="1"/>
    <n v="0"/>
    <n v="0.05"/>
    <n v="30"/>
    <x v="6"/>
    <b v="1"/>
    <b v="1"/>
    <b v="1"/>
    <s v="24"/>
    <x v="0"/>
    <n v="30"/>
    <n v="0"/>
    <n v="2"/>
    <n v="20666.666666666672"/>
    <n v="620000"/>
    <n v="0"/>
    <n v="41333.333333333343"/>
    <s v="FOMENTO"/>
  </r>
  <r>
    <x v="41"/>
    <s v="RIO GRANDE DO SUL_Edital_de_Fomento_2.pdf"/>
    <n v="4100000"/>
    <n v="0.26319999999999999"/>
    <n v="0.1053"/>
    <n v="5.2600000000000001E-2"/>
    <n v="38"/>
    <x v="0"/>
    <b v="1"/>
    <b v="1"/>
    <b v="1"/>
    <s v="43"/>
    <x v="0"/>
    <n v="10"/>
    <n v="4"/>
    <n v="2"/>
    <n v="107894.7368421053"/>
    <n v="1078947.368421053"/>
    <n v="431578.94736842113"/>
    <n v="215789.4736842105"/>
    <s v="FOMENTO"/>
  </r>
  <r>
    <x v="41"/>
    <s v="2024-29_RS_FOMENTO.pdf"/>
    <n v="8000000"/>
    <n v="0.25"/>
    <n v="0.08"/>
    <n v="0.04"/>
    <n v="86"/>
    <x v="4"/>
    <b v="1"/>
    <b v="1"/>
    <b v="1"/>
    <s v="43"/>
    <x v="0"/>
    <n v="22"/>
    <n v="7"/>
    <n v="3"/>
    <n v="93023.255813953481"/>
    <n v="2046511.627906977"/>
    <n v="651162.79069767438"/>
    <n v="279069.76744186052"/>
    <s v="FOMENTO"/>
  </r>
  <r>
    <x v="41"/>
    <s v="2024-26_RS_FOMENTO.pdf"/>
    <n v="7900000"/>
    <n v="0.26800000000000002"/>
    <n v="0.1"/>
    <n v="0.05"/>
    <n v="67"/>
    <x v="0"/>
    <b v="1"/>
    <b v="1"/>
    <b v="1"/>
    <s v="43"/>
    <x v="0"/>
    <n v="18"/>
    <n v="7"/>
    <n v="3"/>
    <n v="117910.44776119399"/>
    <n v="2122388.059701493"/>
    <n v="825373.13432835811"/>
    <n v="353731.34328358207"/>
    <s v="FOMENTO"/>
  </r>
  <r>
    <x v="41"/>
    <s v="2024-28_RS_FOMENTO.pdf"/>
    <n v="4000000"/>
    <n v="0.26600000000000001"/>
    <n v="0.1"/>
    <n v="3.3000000000000002E-2"/>
    <n v="30"/>
    <x v="0"/>
    <b v="1"/>
    <b v="1"/>
    <b v="1"/>
    <s v="43"/>
    <x v="0"/>
    <n v="8"/>
    <n v="3"/>
    <n v="1"/>
    <n v="133333.33333333331"/>
    <n v="1066666.666666667"/>
    <n v="400000"/>
    <n v="133333.33333333331"/>
    <s v="FOMENTO"/>
  </r>
  <r>
    <x v="41"/>
    <s v="2024-30_RS_FOMENTO.pdf"/>
    <n v="4000000"/>
    <n v="0.26600000000000001"/>
    <n v="0.1"/>
    <n v="6.6000000000000003E-2"/>
    <n v="30"/>
    <x v="0"/>
    <b v="1"/>
    <b v="1"/>
    <b v="1"/>
    <s v="43"/>
    <x v="0"/>
    <n v="8"/>
    <n v="3"/>
    <n v="2"/>
    <n v="133333.33333333331"/>
    <n v="1066666.666666667"/>
    <n v="400000"/>
    <n v="266666.66666666669"/>
    <s v="FOMENTO"/>
  </r>
  <r>
    <x v="41"/>
    <s v="2024-31_RS_FOMENTO.pdf"/>
    <n v="10650000"/>
    <n v="0.26090000000000002"/>
    <n v="8.6999999999999994E-2"/>
    <n v="4.3499999999999997E-2"/>
    <n v="69"/>
    <x v="0"/>
    <b v="1"/>
    <b v="0"/>
    <b v="1"/>
    <s v="43"/>
    <x v="0"/>
    <n v="18"/>
    <n v="6"/>
    <n v="3"/>
    <n v="154347.82608695651"/>
    <n v="2778260.8695652168"/>
    <n v="926086.95652173902"/>
    <n v="463043.47826086951"/>
    <s v="FOMENTO"/>
  </r>
  <r>
    <x v="41"/>
    <s v="2024-32_RS_FOMENTO.pdf"/>
    <n v="7800000"/>
    <n v="0.26500000000000001"/>
    <n v="0.1"/>
    <n v="0.04"/>
    <n v="49"/>
    <x v="0"/>
    <b v="1"/>
    <b v="1"/>
    <b v="1"/>
    <s v="43"/>
    <x v="0"/>
    <n v="13"/>
    <n v="5"/>
    <n v="2"/>
    <n v="159183.67346938781"/>
    <n v="2069387.7551020409"/>
    <n v="795918.3673469387"/>
    <n v="318367.3469387755"/>
    <s v="FOMENTO"/>
  </r>
  <r>
    <x v="41"/>
    <s v="RIO GRANDE DO SUL_Edital_TCC_-_Pontos_e_Pontões_PNCV_1.pdf"/>
    <n v="9000000"/>
    <n v="0.25"/>
    <n v="0.1"/>
    <n v="0.05"/>
    <n v="63"/>
    <x v="0"/>
    <b v="1"/>
    <b v="1"/>
    <b v="1"/>
    <s v="43"/>
    <x v="0"/>
    <n v="16"/>
    <n v="6"/>
    <n v="3"/>
    <n v="142857.1428571429"/>
    <n v="2285714.2857142859"/>
    <n v="857142.85714285728"/>
    <n v="428571.42857142858"/>
    <s v="CULTURA VIVA"/>
  </r>
  <r>
    <x v="42"/>
    <s v="2025-03_RO_CULTURAVIVA.pdf"/>
    <n v="3060000"/>
    <n v="0.16"/>
    <n v="0.03"/>
    <n v="0.03"/>
    <n v="30"/>
    <x v="0"/>
    <b v="0"/>
    <b v="0"/>
    <b v="0"/>
    <s v="11"/>
    <x v="0"/>
    <n v="5"/>
    <n v="1"/>
    <n v="1"/>
    <n v="102000"/>
    <n v="510000"/>
    <n v="102000"/>
    <n v="102000"/>
    <s v="CULTURA VIVA"/>
  </r>
  <r>
    <x v="42"/>
    <s v="2025-04_RO_CULTURAVIVA.pdf"/>
    <n v="1200000"/>
    <n v="0.2"/>
    <n v="0.05"/>
    <n v="0.05"/>
    <n v="40"/>
    <x v="0"/>
    <b v="0"/>
    <b v="0"/>
    <b v="1"/>
    <s v="11"/>
    <x v="0"/>
    <n v="8"/>
    <n v="2"/>
    <n v="2"/>
    <n v="30000"/>
    <n v="240000"/>
    <n v="60000"/>
    <n v="60000"/>
    <s v="CULTURA VIVA"/>
  </r>
  <r>
    <x v="42"/>
    <s v="2025-05_RO_PRÊMIO.pdf"/>
    <n v="500000"/>
    <n v="0.26"/>
    <n v="0.1"/>
    <n v="0.04"/>
    <n v="50"/>
    <x v="0"/>
    <b v="1"/>
    <b v="1"/>
    <b v="0"/>
    <s v="11"/>
    <x v="0"/>
    <n v="13"/>
    <n v="5"/>
    <n v="2"/>
    <n v="10000"/>
    <n v="130000"/>
    <n v="50000"/>
    <n v="20000"/>
    <s v="PRÊMIO"/>
  </r>
  <r>
    <x v="42"/>
    <s v="2025-08_RO_PRÊMIO.pdf"/>
    <n v="1100000"/>
    <n v="0.25"/>
    <n v="0.1"/>
    <n v="0.05"/>
    <n v="40"/>
    <x v="4"/>
    <b v="1"/>
    <b v="1"/>
    <b v="1"/>
    <s v="11"/>
    <x v="0"/>
    <n v="10"/>
    <n v="4"/>
    <n v="2"/>
    <n v="27500"/>
    <n v="275000"/>
    <n v="110000"/>
    <n v="55000"/>
    <s v="PRÊMIO"/>
  </r>
  <r>
    <x v="43"/>
    <s v="001_2025-fomento-edital-de-chamamento-pablico-nao-0012025.pdf"/>
    <n v="8178650"/>
    <n v="0.25"/>
    <n v="0.15"/>
    <n v="0.05"/>
    <n v="241"/>
    <x v="0"/>
    <b v="1"/>
    <b v="1"/>
    <b v="1"/>
    <s v="14"/>
    <x v="0"/>
    <n v="60"/>
    <n v="36"/>
    <n v="12"/>
    <n v="33936.307053941913"/>
    <n v="2036178.423236514"/>
    <n v="1221707.053941909"/>
    <n v="407235.68464730278"/>
    <s v="FOMENTO"/>
  </r>
  <r>
    <x v="43"/>
    <s v="002_2025-premiacao-edital-de-chamamento-pablico-nao-0022025-premiacao.pdf"/>
    <n v="2782706"/>
    <n v="0.25"/>
    <n v="0.15"/>
    <n v="0.05"/>
    <n v="243"/>
    <x v="0"/>
    <b v="1"/>
    <b v="1"/>
    <b v="1"/>
    <s v="14"/>
    <x v="0"/>
    <n v="61"/>
    <n v="36"/>
    <n v="12"/>
    <n v="11451.46502057613"/>
    <n v="698539.36625514401"/>
    <n v="412252.74074074067"/>
    <n v="137417.5802469136"/>
    <s v="PRÊMIO"/>
  </r>
  <r>
    <x v="43"/>
    <s v="003_2025-subsidio-edital-de-chamamento-pablico-nao-0032025-subsadio.pdf"/>
    <n v="1000000"/>
    <n v="0.25"/>
    <n v="0.15"/>
    <n v="0.05"/>
    <n v="16"/>
    <x v="0"/>
    <b v="1"/>
    <b v="1"/>
    <b v="1"/>
    <s v="14"/>
    <x v="0"/>
    <n v="4"/>
    <n v="2"/>
    <n v="1"/>
    <n v="62500"/>
    <n v="250000"/>
    <n v="125000"/>
    <n v="62500"/>
    <s v="SUBSÍDIO"/>
  </r>
  <r>
    <x v="43"/>
    <s v="004_2025-pontos-edital-chamamento-pablico-nao-0042025-pontos-de-cultura.pdf"/>
    <n v="1444328.08"/>
    <n v="0.25"/>
    <n v="0.15"/>
    <n v="0.05"/>
    <n v="20"/>
    <x v="0"/>
    <b v="1"/>
    <b v="1"/>
    <b v="1"/>
    <s v="14"/>
    <x v="0"/>
    <n v="5"/>
    <n v="3"/>
    <n v="1"/>
    <n v="72216.40400000001"/>
    <n v="361082.02"/>
    <n v="216649.212"/>
    <n v="72216.40400000001"/>
    <s v="CULTURA VIVA"/>
  </r>
  <r>
    <x v="43"/>
    <s v="005_2025-pontao-edital-chamamento-pablico-nao-0052025-pontao-de-cultura.pdf"/>
    <n v="361082.01"/>
    <n v="0.25"/>
    <n v="0.15"/>
    <n v="0.05"/>
    <n v="1"/>
    <x v="0"/>
    <b v="1"/>
    <b v="1"/>
    <b v="1"/>
    <s v="14"/>
    <x v="0"/>
    <n v="0"/>
    <n v="0"/>
    <n v="0"/>
    <n v="361082.01"/>
    <n v="0"/>
    <n v="0"/>
    <n v="0"/>
    <s v="CULTURA VIVA"/>
  </r>
  <r>
    <x v="44"/>
    <s v="2024-09_SALVADOR_FOMENTO.pdf"/>
    <n v="2000000"/>
    <n v="0.5"/>
    <n v="0.1"/>
    <n v="0.05"/>
    <n v="40"/>
    <x v="0"/>
    <b v="1"/>
    <b v="1"/>
    <b v="1"/>
    <s v="2927408"/>
    <x v="1"/>
    <n v="20"/>
    <n v="4"/>
    <n v="2"/>
    <n v="50000"/>
    <n v="1000000"/>
    <n v="200000"/>
    <n v="100000"/>
    <s v="FOMENTO"/>
  </r>
  <r>
    <x v="44"/>
    <s v="2025-01_SALVADOR_FOMENTO.pdf"/>
    <n v="400000"/>
    <n v="0.5"/>
    <n v="0.1"/>
    <n v="0.05"/>
    <n v="25"/>
    <x v="0"/>
    <b v="1"/>
    <b v="1"/>
    <b v="1"/>
    <s v="2927408"/>
    <x v="1"/>
    <n v="12"/>
    <n v="2"/>
    <n v="1"/>
    <n v="16000"/>
    <n v="192000"/>
    <n v="32000"/>
    <n v="16000"/>
    <s v="FOMENTO"/>
  </r>
  <r>
    <x v="44"/>
    <s v="2024-03_SALVADOR_FOMENTO.pdf"/>
    <n v="5600000"/>
    <n v="0.5"/>
    <n v="0.1"/>
    <n v="0.05"/>
    <n v="30"/>
    <x v="0"/>
    <b v="1"/>
    <b v="1"/>
    <b v="1"/>
    <s v="2927408"/>
    <x v="1"/>
    <n v="15"/>
    <n v="3"/>
    <n v="2"/>
    <n v="186666.66666666669"/>
    <n v="2800000"/>
    <n v="560000"/>
    <n v="373333.33333333331"/>
    <s v="FOMENTO"/>
  </r>
  <r>
    <x v="44"/>
    <s v="2024-04_SALVADOR_BOLSA.pdf"/>
    <n v="800000"/>
    <n v="0.5"/>
    <n v="0.1"/>
    <n v="0.05"/>
    <m/>
    <x v="0"/>
    <b v="1"/>
    <b v="1"/>
    <b v="1"/>
    <s v="2927408"/>
    <x v="1"/>
    <m/>
    <m/>
    <m/>
    <m/>
    <n v="400000"/>
    <n v="80000"/>
    <n v="40000"/>
    <s v="BOLSA"/>
  </r>
  <r>
    <x v="44"/>
    <s v="2024-07_SALVADOR_FOMENTO.pdf"/>
    <n v="800000"/>
    <n v="0.5"/>
    <n v="0.1"/>
    <n v="0.05"/>
    <n v="60"/>
    <x v="0"/>
    <b v="1"/>
    <b v="1"/>
    <b v="1"/>
    <s v="2927408"/>
    <x v="1"/>
    <n v="30"/>
    <n v="6"/>
    <n v="3"/>
    <n v="13333.33333333333"/>
    <n v="400000"/>
    <n v="80000"/>
    <n v="40000"/>
    <s v="FOMENTO"/>
  </r>
  <r>
    <x v="44"/>
    <s v="2024-08_SALVADOR_SUBSÍDIO.pdf"/>
    <n v="400000"/>
    <n v="0.5"/>
    <n v="0.1"/>
    <n v="0.05"/>
    <n v="20"/>
    <x v="0"/>
    <b v="1"/>
    <b v="1"/>
    <b v="1"/>
    <s v="2927408"/>
    <x v="1"/>
    <n v="10"/>
    <n v="2"/>
    <n v="1"/>
    <n v="20000"/>
    <n v="200000"/>
    <n v="40000"/>
    <n v="20000"/>
    <s v="SUBSÍDIO"/>
  </r>
  <r>
    <x v="44"/>
    <s v="2025-02_SALVADOR_CULTURAVIVA.pdf"/>
    <n v="4260000"/>
    <n v="0.5"/>
    <n v="0.1"/>
    <n v="0.05"/>
    <n v="82"/>
    <x v="0"/>
    <b v="1"/>
    <b v="1"/>
    <b v="1"/>
    <s v="2927408"/>
    <x v="1"/>
    <n v="41"/>
    <n v="8"/>
    <n v="4"/>
    <n v="51951.219512195123"/>
    <n v="2130000"/>
    <n v="415609.75609756098"/>
    <n v="207804.87804878049"/>
    <s v="CULTURA VIVA"/>
  </r>
  <r>
    <x v="44"/>
    <s v="2024-10_SALVADOR_FOMENTO.pdf"/>
    <n v="1950000"/>
    <n v="0.5"/>
    <n v="0.1"/>
    <n v="0.05"/>
    <n v="2"/>
    <x v="0"/>
    <b v="1"/>
    <b v="1"/>
    <b v="1"/>
    <s v="2927408"/>
    <x v="1"/>
    <n v="1"/>
    <n v="0"/>
    <n v="0"/>
    <n v="975000"/>
    <n v="975000"/>
    <n v="0"/>
    <n v="0"/>
    <s v="FOMENTO"/>
  </r>
  <r>
    <x v="44"/>
    <s v="2024-05_SALVADOR_FOMENTO.pdf"/>
    <n v="2000000"/>
    <n v="0.5"/>
    <n v="0.1"/>
    <n v="0.05"/>
    <n v="20"/>
    <x v="0"/>
    <b v="1"/>
    <b v="1"/>
    <b v="1"/>
    <s v="2927408"/>
    <x v="1"/>
    <n v="10"/>
    <n v="2"/>
    <n v="1"/>
    <n v="100000"/>
    <n v="1000000"/>
    <n v="200000"/>
    <n v="100000"/>
    <s v="FOMENTO"/>
  </r>
  <r>
    <x v="45"/>
    <s v="SANTA CATARINA_Cultura Viva.pdf"/>
    <n v="900000"/>
    <n v="0.5"/>
    <n v="0.5"/>
    <n v="0.5"/>
    <n v="3"/>
    <x v="0"/>
    <b v="1"/>
    <b v="1"/>
    <b v="1"/>
    <s v="42"/>
    <x v="0"/>
    <n v="2"/>
    <n v="2"/>
    <n v="2"/>
    <n v="300000"/>
    <n v="600000"/>
    <n v="600000"/>
    <n v="600000"/>
    <s v="CULTURA VIVA"/>
  </r>
  <r>
    <x v="45"/>
    <s v="SANTA CATARINA_CULTURA_VIVA_02.pdf"/>
    <n v="4950000"/>
    <n v="0.25"/>
    <n v="0.1"/>
    <n v="0.05"/>
    <n v="110"/>
    <x v="0"/>
    <b v="1"/>
    <b v="1"/>
    <b v="1"/>
    <s v="42"/>
    <x v="0"/>
    <n v="28"/>
    <n v="11"/>
    <n v="6"/>
    <n v="45000"/>
    <n v="1260000"/>
    <n v="495000"/>
    <n v="270000"/>
    <s v="CULTURA VIVA"/>
  </r>
  <r>
    <x v="45"/>
    <s v="SANTA CATARINA_FOMENTO_435.pdf"/>
    <n v="22220000"/>
    <n v="0.25650000000000001"/>
    <n v="0.1017"/>
    <n v="5.3100000000000008E-2"/>
    <n v="659"/>
    <x v="0"/>
    <b v="1"/>
    <b v="1"/>
    <b v="1"/>
    <s v="42"/>
    <x v="0"/>
    <n v="169"/>
    <n v="67"/>
    <n v="35"/>
    <n v="33717.754172989378"/>
    <n v="5698300.4552352047"/>
    <n v="2259089.5295902882"/>
    <n v="1180121.3960546281"/>
    <s v="FOMENTO"/>
  </r>
  <r>
    <x v="45"/>
    <s v="2024-51_SC_PRÊMIO.pdf"/>
    <n v="3150000"/>
    <n v="0.25"/>
    <n v="0.1"/>
    <n v="0.05"/>
    <n v="140"/>
    <x v="4"/>
    <b v="1"/>
    <b v="1"/>
    <b v="1"/>
    <s v="42"/>
    <x v="0"/>
    <n v="35"/>
    <n v="14"/>
    <n v="7"/>
    <n v="22500"/>
    <n v="787500"/>
    <n v="315000"/>
    <n v="157500"/>
    <s v="PRÊMIO"/>
  </r>
  <r>
    <x v="45"/>
    <s v="2024-52_SC_PRÊMIO.pdf"/>
    <n v="1050000"/>
    <n v="0.25"/>
    <n v="0.1"/>
    <n v="0.05"/>
    <n v="35"/>
    <x v="1"/>
    <b v="1"/>
    <b v="1"/>
    <b v="1"/>
    <s v="42"/>
    <x v="0"/>
    <n v="9"/>
    <n v="4"/>
    <n v="2"/>
    <n v="30000"/>
    <n v="270000"/>
    <n v="120000"/>
    <n v="60000"/>
    <s v="PRÊMIO"/>
  </r>
  <r>
    <x v="45"/>
    <s v="2024-55_SC_FOMENTO.pdf"/>
    <n v="9600000"/>
    <n v="0.24"/>
    <n v="0.09"/>
    <n v="0.09"/>
    <n v="96"/>
    <x v="0"/>
    <b v="1"/>
    <b v="1"/>
    <b v="1"/>
    <s v="42"/>
    <x v="0"/>
    <n v="23"/>
    <n v="9"/>
    <n v="9"/>
    <n v="100000"/>
    <n v="2300000"/>
    <n v="900000"/>
    <n v="900000"/>
    <s v="FOMENTO"/>
  </r>
  <r>
    <x v="46"/>
    <s v="2025-05_SAOLUIS_CULTURAVIVA.pdf"/>
    <n v="1000000"/>
    <n v="0.25"/>
    <n v="0.1"/>
    <n v="0.05"/>
    <n v="10"/>
    <x v="0"/>
    <b v="1"/>
    <b v="1"/>
    <b v="1"/>
    <s v="2111300"/>
    <x v="1"/>
    <n v="2"/>
    <n v="1"/>
    <n v="0"/>
    <n v="100000"/>
    <n v="200000"/>
    <n v="100000"/>
    <n v="0"/>
    <s v="CULTURA VIVA"/>
  </r>
  <r>
    <x v="46"/>
    <s v="2025-08_SAOLUIS_PRÊMIO.pdf"/>
    <n v="500000"/>
    <n v="0.25"/>
    <n v="0.1"/>
    <n v="0.05"/>
    <n v="74"/>
    <x v="0"/>
    <b v="1"/>
    <b v="1"/>
    <b v="1"/>
    <s v="2111300"/>
    <x v="1"/>
    <n v="18"/>
    <n v="7"/>
    <n v="4"/>
    <n v="6756.7567567567567"/>
    <n v="121621.6216216216"/>
    <n v="47297.297297297293"/>
    <n v="27027.02702702703"/>
    <s v="PRÊMIO"/>
  </r>
  <r>
    <x v="46"/>
    <s v="2025-06_SAOLUIS_FOMENTO.pdf"/>
    <n v="4500000"/>
    <n v="0.25"/>
    <n v="0.1"/>
    <n v="0.05"/>
    <n v="182"/>
    <x v="0"/>
    <b v="1"/>
    <b v="1"/>
    <b v="1"/>
    <s v="2111300"/>
    <x v="1"/>
    <n v="46"/>
    <n v="18"/>
    <n v="9"/>
    <n v="24725.274725274721"/>
    <n v="1137362.6373626371"/>
    <n v="445054.94505494513"/>
    <n v="222527.47252747251"/>
    <s v="FOMENTO"/>
  </r>
  <r>
    <x v="46"/>
    <s v="2025-07_SAOLUIS_CULTURAVIVA.pdf"/>
    <n v="950500"/>
    <n v="0.25"/>
    <n v="0.1"/>
    <n v="0.05"/>
    <n v="28"/>
    <x v="0"/>
    <b v="1"/>
    <b v="1"/>
    <b v="1"/>
    <s v="2111300"/>
    <x v="1"/>
    <n v="7"/>
    <n v="3"/>
    <n v="1"/>
    <n v="33946.428571428572"/>
    <n v="237625"/>
    <n v="101839.2857142857"/>
    <n v="33946.428571428572"/>
    <s v="CULTURA VIVA"/>
  </r>
  <r>
    <x v="47"/>
    <s v="SÃO PAULO_Edital_de_Fomento_10.pdf"/>
    <n v="20000000"/>
    <n v="0.25"/>
    <n v="0.1"/>
    <n v="0.05"/>
    <n v="40"/>
    <x v="0"/>
    <b v="1"/>
    <b v="1"/>
    <b v="1"/>
    <s v="35"/>
    <x v="0"/>
    <n v="10"/>
    <n v="4"/>
    <n v="2"/>
    <n v="500000"/>
    <n v="5000000"/>
    <n v="2000000"/>
    <n v="1000000"/>
    <s v="FOMENTO"/>
  </r>
  <r>
    <x v="47"/>
    <s v="SÃO PAULO_Edital_de_Fomento_12.pdf"/>
    <n v="5000000"/>
    <n v="0.25"/>
    <n v="0.1"/>
    <n v="0.05"/>
    <n v="20"/>
    <x v="0"/>
    <b v="1"/>
    <b v="1"/>
    <b v="1"/>
    <s v="35"/>
    <x v="0"/>
    <n v="5"/>
    <n v="2"/>
    <n v="1"/>
    <n v="250000"/>
    <n v="1250000"/>
    <n v="500000"/>
    <n v="250000"/>
    <s v="FOMENTO"/>
  </r>
  <r>
    <x v="47"/>
    <s v="SÃO PAULO_Edital_de_Fomento_13.pdf"/>
    <n v="15000000"/>
    <n v="0.25"/>
    <n v="0.1"/>
    <n v="0.05"/>
    <n v="40"/>
    <x v="0"/>
    <b v="1"/>
    <b v="1"/>
    <b v="1"/>
    <s v="35"/>
    <x v="0"/>
    <n v="10"/>
    <n v="4"/>
    <n v="2"/>
    <n v="375000"/>
    <n v="3750000"/>
    <n v="1500000"/>
    <n v="750000"/>
    <s v="FOMENTO"/>
  </r>
  <r>
    <x v="47"/>
    <s v="SÃO PAULO_Edital_de_Fomento_15.pdf"/>
    <n v="9000000"/>
    <n v="0.25"/>
    <n v="0.1"/>
    <n v="0.05"/>
    <n v="30"/>
    <x v="0"/>
    <b v="1"/>
    <b v="1"/>
    <b v="1"/>
    <s v="35"/>
    <x v="0"/>
    <n v="8"/>
    <n v="3"/>
    <n v="2"/>
    <n v="300000"/>
    <n v="2400000"/>
    <n v="900000"/>
    <n v="600000"/>
    <s v="FOMENTO"/>
  </r>
  <r>
    <x v="47"/>
    <s v="2024-19_SP_FOMENTO.pdf"/>
    <n v="3000000"/>
    <n v="0.25"/>
    <n v="0.1"/>
    <n v="0.05"/>
    <n v="20"/>
    <x v="5"/>
    <b v="1"/>
    <b v="1"/>
    <b v="1"/>
    <s v="35"/>
    <x v="0"/>
    <n v="5"/>
    <n v="2"/>
    <n v="1"/>
    <n v="150000"/>
    <n v="750000"/>
    <n v="300000"/>
    <n v="150000"/>
    <s v="FOMENTO"/>
  </r>
  <r>
    <x v="47"/>
    <s v="2024-20_SP_FOMENTO.pdf"/>
    <n v="3000000"/>
    <n v="0.25"/>
    <n v="0.1"/>
    <n v="0.05"/>
    <n v="20"/>
    <x v="9"/>
    <b v="1"/>
    <b v="1"/>
    <b v="1"/>
    <s v="35"/>
    <x v="0"/>
    <n v="5"/>
    <n v="2"/>
    <n v="1"/>
    <n v="150000"/>
    <n v="750000"/>
    <n v="300000"/>
    <n v="150000"/>
    <s v="FOMENTO"/>
  </r>
  <r>
    <x v="47"/>
    <s v="2024-21_SP_FOMENTO.pdf"/>
    <n v="3000000"/>
    <n v="0.25"/>
    <n v="0.1"/>
    <n v="0.05"/>
    <n v="20"/>
    <x v="12"/>
    <b v="1"/>
    <b v="1"/>
    <b v="1"/>
    <s v="35"/>
    <x v="0"/>
    <n v="5"/>
    <n v="2"/>
    <n v="1"/>
    <n v="150000"/>
    <n v="750000"/>
    <n v="300000"/>
    <n v="150000"/>
    <s v="FOMENTO"/>
  </r>
  <r>
    <x v="47"/>
    <s v="SÃO PAULO_Edital_de_Fomento_19.pdf"/>
    <n v="3000000"/>
    <n v="0.25"/>
    <n v="0.1"/>
    <n v="0.05"/>
    <n v="20"/>
    <x v="17"/>
    <b v="1"/>
    <b v="1"/>
    <b v="1"/>
    <s v="35"/>
    <x v="0"/>
    <n v="5"/>
    <n v="2"/>
    <n v="1"/>
    <n v="150000"/>
    <n v="750000"/>
    <n v="300000"/>
    <n v="150000"/>
    <s v="FOMENTO"/>
  </r>
  <r>
    <x v="47"/>
    <s v="SÃO PAULO_Edital_de_Fomento_2.pdf"/>
    <n v="22500000"/>
    <n v="0.25"/>
    <n v="0.1"/>
    <n v="0.05"/>
    <n v="30"/>
    <x v="0"/>
    <b v="1"/>
    <b v="1"/>
    <b v="1"/>
    <s v="35"/>
    <x v="0"/>
    <n v="8"/>
    <n v="3"/>
    <n v="2"/>
    <n v="750000"/>
    <n v="6000000"/>
    <n v="2250000"/>
    <n v="1500000"/>
    <s v="FOMENTO"/>
  </r>
  <r>
    <x v="47"/>
    <s v="SÃO PAULO_Edital_de_Fomento_20.pdf"/>
    <n v="3000000"/>
    <n v="0.25"/>
    <n v="0.1"/>
    <n v="0.05"/>
    <n v="20"/>
    <x v="0"/>
    <b v="1"/>
    <b v="1"/>
    <b v="1"/>
    <s v="35"/>
    <x v="0"/>
    <n v="5"/>
    <n v="2"/>
    <n v="1"/>
    <n v="150000"/>
    <n v="750000"/>
    <n v="300000"/>
    <n v="150000"/>
    <s v="FOMENTO"/>
  </r>
  <r>
    <x v="47"/>
    <s v="SÃO PAULO_Edital_de_Fomento_25.pdf"/>
    <n v="33000000"/>
    <n v="0.25"/>
    <n v="0.1"/>
    <n v="0.05"/>
    <n v="22"/>
    <x v="0"/>
    <b v="1"/>
    <b v="1"/>
    <b v="1"/>
    <s v="35"/>
    <x v="0"/>
    <n v="6"/>
    <n v="2"/>
    <n v="1"/>
    <n v="1500000"/>
    <n v="9000000"/>
    <n v="3000000"/>
    <n v="1500000"/>
    <s v="FOMENTO"/>
  </r>
  <r>
    <x v="47"/>
    <s v="SÃO PAULO_Edital_de_Fomento_32.pdf"/>
    <n v="9000000"/>
    <n v="0.25"/>
    <n v="0.1"/>
    <n v="0.05"/>
    <n v="10"/>
    <x v="0"/>
    <b v="1"/>
    <b v="1"/>
    <b v="1"/>
    <s v="35"/>
    <x v="0"/>
    <n v="2"/>
    <n v="1"/>
    <n v="0"/>
    <n v="900000"/>
    <n v="1800000"/>
    <n v="900000"/>
    <n v="0"/>
    <s v="FOMENTO"/>
  </r>
  <r>
    <x v="47"/>
    <s v="SÃO PAULO_Edital_de_Fomento_33.pdf"/>
    <n v="3750000"/>
    <n v="0.25"/>
    <n v="0.1"/>
    <n v="0.05"/>
    <n v="10"/>
    <x v="0"/>
    <b v="1"/>
    <b v="1"/>
    <b v="1"/>
    <s v="35"/>
    <x v="0"/>
    <n v="2"/>
    <n v="1"/>
    <n v="0"/>
    <n v="375000"/>
    <n v="750000"/>
    <n v="375000"/>
    <n v="0"/>
    <s v="FOMENTO"/>
  </r>
  <r>
    <x v="47"/>
    <s v="SÃO PAULO_Edital_de_Fomento_5.pdf"/>
    <n v="700000"/>
    <n v="0.25"/>
    <n v="0.1"/>
    <n v="0.05"/>
    <n v="14"/>
    <x v="0"/>
    <b v="1"/>
    <b v="1"/>
    <b v="1"/>
    <s v="35"/>
    <x v="0"/>
    <n v="4"/>
    <n v="1"/>
    <n v="1"/>
    <n v="50000"/>
    <n v="200000"/>
    <n v="50000"/>
    <n v="50000"/>
    <s v="FOMENTO"/>
  </r>
  <r>
    <x v="47"/>
    <s v="SÃO PAULO_Edital_de_Fomento_6.pdf"/>
    <n v="6600000"/>
    <n v="0.25"/>
    <n v="0.1"/>
    <n v="0.05"/>
    <n v="22"/>
    <x v="17"/>
    <b v="1"/>
    <b v="1"/>
    <b v="1"/>
    <s v="35"/>
    <x v="0"/>
    <n v="6"/>
    <n v="2"/>
    <n v="1"/>
    <n v="300000"/>
    <n v="1800000"/>
    <n v="600000"/>
    <n v="300000"/>
    <s v="FOMENTO"/>
  </r>
  <r>
    <x v="47"/>
    <s v="SÃO PAULO_Edital_de_Fomento_7.pdf"/>
    <n v="3000000"/>
    <n v="0.25"/>
    <n v="0.1"/>
    <n v="0.05"/>
    <n v="20"/>
    <x v="0"/>
    <b v="1"/>
    <b v="1"/>
    <b v="1"/>
    <s v="35"/>
    <x v="0"/>
    <n v="5"/>
    <n v="2"/>
    <n v="1"/>
    <n v="150000"/>
    <n v="750000"/>
    <n v="300000"/>
    <n v="150000"/>
    <s v="FOMENTO"/>
  </r>
  <r>
    <x v="47"/>
    <s v="SÃO PAULO_Edital_de_Fomento_8.pdf"/>
    <n v="2000000"/>
    <n v="0.25"/>
    <n v="0.1"/>
    <n v="0.05"/>
    <n v="20"/>
    <x v="17"/>
    <b v="1"/>
    <b v="1"/>
    <b v="1"/>
    <s v="35"/>
    <x v="0"/>
    <n v="5"/>
    <n v="2"/>
    <n v="1"/>
    <n v="100000"/>
    <n v="500000"/>
    <n v="200000"/>
    <n v="100000"/>
    <s v="FOMENTO"/>
  </r>
  <r>
    <x v="47"/>
    <s v="SÃO PAULO_Edital_de_Fomento_9.pdf"/>
    <n v="6000000"/>
    <n v="0.25"/>
    <n v="0.1"/>
    <n v="0.05"/>
    <n v="60"/>
    <x v="0"/>
    <b v="1"/>
    <b v="1"/>
    <b v="1"/>
    <s v="35"/>
    <x v="0"/>
    <n v="15"/>
    <n v="6"/>
    <n v="3"/>
    <n v="100000"/>
    <n v="1500000"/>
    <n v="600000"/>
    <n v="300000"/>
    <s v="FOMENTO"/>
  </r>
  <r>
    <x v="47"/>
    <s v="SÃO PAULO_Edital_de_Premiação_1.pdf"/>
    <n v="2000000"/>
    <n v="0.25"/>
    <n v="0.1"/>
    <n v="0.05"/>
    <n v="20"/>
    <x v="0"/>
    <b v="1"/>
    <b v="1"/>
    <b v="1"/>
    <s v="35"/>
    <x v="0"/>
    <n v="5"/>
    <n v="2"/>
    <n v="1"/>
    <n v="100000"/>
    <n v="500000"/>
    <n v="200000"/>
    <n v="100000"/>
    <s v="PRÊMIO"/>
  </r>
  <r>
    <x v="47"/>
    <s v="2024-42_SP_PRÊMIO.pdf"/>
    <n v="1600000"/>
    <n v="0.25"/>
    <n v="0.1"/>
    <n v="0.05"/>
    <n v="20"/>
    <x v="9"/>
    <b v="1"/>
    <b v="1"/>
    <b v="1"/>
    <s v="35"/>
    <x v="0"/>
    <n v="5"/>
    <n v="2"/>
    <n v="1"/>
    <n v="80000"/>
    <n v="400000"/>
    <n v="160000"/>
    <n v="80000"/>
    <s v="PRÊMIO"/>
  </r>
  <r>
    <x v="47"/>
    <s v="SÃO PAULO_Edital_de_Subsídio_1.pdf"/>
    <n v="6000000"/>
    <n v="0.25"/>
    <n v="0.1"/>
    <n v="0.05"/>
    <n v="20"/>
    <x v="0"/>
    <b v="1"/>
    <b v="1"/>
    <b v="1"/>
    <s v="35"/>
    <x v="0"/>
    <n v="5"/>
    <n v="2"/>
    <n v="1"/>
    <n v="300000"/>
    <n v="1500000"/>
    <n v="600000"/>
    <n v="300000"/>
    <s v="SUBSÍDIO"/>
  </r>
  <r>
    <x v="47"/>
    <s v="SÃO PAULO_Edital_de_Subsídio_2.pdf"/>
    <n v="4000000"/>
    <n v="0.25"/>
    <n v="0.1"/>
    <n v="0.05"/>
    <n v="20"/>
    <x v="0"/>
    <b v="1"/>
    <b v="1"/>
    <b v="1"/>
    <s v="35"/>
    <x v="0"/>
    <n v="5"/>
    <n v="2"/>
    <n v="1"/>
    <n v="200000"/>
    <n v="1000000"/>
    <n v="400000"/>
    <n v="200000"/>
    <s v="SUBSÍDIO"/>
  </r>
  <r>
    <x v="47"/>
    <s v="SÃO PAULO_Edital_de_Fomento_1.pdf"/>
    <n v="3000000"/>
    <n v="0.25"/>
    <n v="0.1"/>
    <n v="0.05"/>
    <n v="30"/>
    <x v="0"/>
    <b v="1"/>
    <b v="1"/>
    <b v="1"/>
    <s v="35"/>
    <x v="0"/>
    <n v="8"/>
    <n v="3"/>
    <n v="2"/>
    <n v="100000"/>
    <n v="800000"/>
    <n v="300000"/>
    <n v="200000"/>
    <s v="FOMENTO"/>
  </r>
  <r>
    <x v="47"/>
    <s v="SÃO PAULO_Edital_de_Subsídio_a_Espaços_Culturais_1.pdf"/>
    <n v="40000000"/>
    <n v="0.25"/>
    <n v="0.1"/>
    <n v="0.05"/>
    <n v="80"/>
    <x v="0"/>
    <b v="1"/>
    <b v="1"/>
    <b v="1"/>
    <s v="35"/>
    <x v="0"/>
    <n v="20"/>
    <n v="8"/>
    <n v="4"/>
    <n v="500000"/>
    <n v="10000000"/>
    <n v="4000000"/>
    <n v="2000000"/>
    <s v="SUBSÍDIO"/>
  </r>
  <r>
    <x v="47"/>
    <s v="SÃO PAULO_Edital_de_Subsídio_a_Espaços_Culturais_2.pdf"/>
    <n v="15000000"/>
    <n v="0.25"/>
    <n v="0.1"/>
    <n v="0.05"/>
    <n v="20"/>
    <x v="0"/>
    <b v="1"/>
    <b v="1"/>
    <b v="1"/>
    <s v="35"/>
    <x v="0"/>
    <n v="5"/>
    <n v="2"/>
    <n v="1"/>
    <n v="750000"/>
    <n v="3750000"/>
    <n v="1500000"/>
    <n v="750000"/>
    <s v="SUBSÍDIO"/>
  </r>
  <r>
    <x v="47"/>
    <s v="SÃO PAULO_Edital_de_Subsídio_a_Espaços_Culturais_3.pdf"/>
    <n v="3000000"/>
    <n v="0.25"/>
    <n v="0.1"/>
    <n v="0.05"/>
    <n v="10"/>
    <x v="0"/>
    <b v="1"/>
    <b v="1"/>
    <b v="1"/>
    <s v="35"/>
    <x v="0"/>
    <n v="2"/>
    <n v="1"/>
    <n v="0"/>
    <n v="300000"/>
    <n v="600000"/>
    <n v="300000"/>
    <n v="0"/>
    <s v="SUBSÍDIO"/>
  </r>
  <r>
    <x v="47"/>
    <s v="SÃO PAULO_Edital_de_Subsídio_a_Espaços_Culturais_4.pdf"/>
    <n v="12000000"/>
    <n v="0.25"/>
    <n v="0.1"/>
    <n v="0.05"/>
    <n v="40"/>
    <x v="0"/>
    <b v="1"/>
    <b v="1"/>
    <b v="1"/>
    <s v="35"/>
    <x v="0"/>
    <n v="10"/>
    <n v="4"/>
    <n v="2"/>
    <n v="300000"/>
    <n v="3000000"/>
    <n v="1200000"/>
    <n v="600000"/>
    <s v="SUBSÍDIO"/>
  </r>
  <r>
    <x v="47"/>
    <s v="SÃO PAULO_Edital_Premiação_-_Pontos_e_Pontões_PNCV_1.pdf"/>
    <n v="6300000"/>
    <n v="0.25"/>
    <n v="0.1"/>
    <n v="0.05"/>
    <n v="150"/>
    <x v="0"/>
    <b v="1"/>
    <b v="1"/>
    <b v="1"/>
    <s v="35"/>
    <x v="0"/>
    <n v="38"/>
    <n v="15"/>
    <n v="8"/>
    <n v="42000"/>
    <n v="1596000"/>
    <n v="630000"/>
    <n v="336000"/>
    <s v="CULTURA VIVA"/>
  </r>
  <r>
    <x v="47"/>
    <s v="SÃO PAULO_Edital_TCC_-_Pontos_PNCV_1.pdf"/>
    <n v="22100000"/>
    <n v="0.25"/>
    <n v="0.1"/>
    <n v="0.05"/>
    <n v="130"/>
    <x v="0"/>
    <b v="1"/>
    <b v="1"/>
    <b v="1"/>
    <s v="35"/>
    <x v="0"/>
    <n v="32"/>
    <n v="13"/>
    <n v="6"/>
    <n v="170000"/>
    <n v="5440000"/>
    <n v="2210000"/>
    <n v="1020000"/>
    <s v="CULTURA VIVA"/>
  </r>
  <r>
    <x v="47"/>
    <s v="SÃO PAULO_Edital_TCC_-_Pontões_PNCV_1.pdf"/>
    <n v="5200000"/>
    <n v="0.25"/>
    <n v="0.1"/>
    <n v="0.05"/>
    <n v="8"/>
    <x v="0"/>
    <b v="1"/>
    <b v="1"/>
    <b v="1"/>
    <s v="35"/>
    <x v="0"/>
    <n v="2"/>
    <n v="1"/>
    <n v="0"/>
    <n v="650000"/>
    <n v="1300000"/>
    <n v="650000"/>
    <n v="0"/>
    <s v="CULTURA VIVA"/>
  </r>
  <r>
    <x v="48"/>
    <s v="2025-02_SAOPAULO_FOMENTO.pdf.pdf"/>
    <n v="8000000"/>
    <n v="0.25"/>
    <n v="0.1"/>
    <n v="0.05"/>
    <n v="2"/>
    <x v="0"/>
    <b v="1"/>
    <b v="1"/>
    <b v="1"/>
    <s v="3550308"/>
    <x v="1"/>
    <n v="0"/>
    <n v="0"/>
    <n v="0"/>
    <n v="4000000"/>
    <n v="0"/>
    <n v="0"/>
    <n v="0"/>
    <s v="FOMENTO"/>
  </r>
  <r>
    <x v="48"/>
    <s v="2025-09_SAOPAULO_FOMENTO.pdf"/>
    <n v="7000000"/>
    <n v="0.25"/>
    <n v="0.1"/>
    <n v="0.05"/>
    <n v="10"/>
    <x v="0"/>
    <b v="1"/>
    <b v="1"/>
    <b v="1"/>
    <s v="3550308"/>
    <x v="1"/>
    <n v="2"/>
    <n v="1"/>
    <n v="0"/>
    <n v="700000"/>
    <n v="1400000"/>
    <n v="700000"/>
    <n v="0"/>
    <s v="FOMENTO"/>
  </r>
  <r>
    <x v="48"/>
    <s v="2025-03_SAOPAULO_FOMENTO.pdf"/>
    <n v="685200"/>
    <n v="0.25"/>
    <n v="0.1"/>
    <n v="0.05"/>
    <n v="23"/>
    <x v="0"/>
    <b v="1"/>
    <b v="1"/>
    <b v="1"/>
    <s v="3550308"/>
    <x v="1"/>
    <n v="6"/>
    <n v="2"/>
    <n v="1"/>
    <n v="29791.304347826092"/>
    <n v="178747.82608695651"/>
    <n v="59582.608695652183"/>
    <n v="29791.304347826092"/>
    <s v="FOMENTO"/>
  </r>
  <r>
    <x v="48"/>
    <s v="2025-06_SAOPAULO_FOMENTO.pdf"/>
    <n v="400000"/>
    <n v="0.25"/>
    <n v="0.1"/>
    <n v="0.05"/>
    <n v="1"/>
    <x v="0"/>
    <b v="1"/>
    <b v="1"/>
    <b v="1"/>
    <s v="3550308"/>
    <x v="1"/>
    <n v="0"/>
    <n v="0"/>
    <n v="0"/>
    <n v="400000"/>
    <n v="0"/>
    <n v="0"/>
    <n v="0"/>
    <s v="FOMENTO"/>
  </r>
  <r>
    <x v="48"/>
    <s v="2024-36_SAOPAULO_CULTURAVIVA.pdf"/>
    <n v="24300000"/>
    <n v="0.25"/>
    <n v="0.1"/>
    <n v="0.05"/>
    <n v="510"/>
    <x v="0"/>
    <b v="1"/>
    <b v="1"/>
    <b v="1"/>
    <s v="3550308"/>
    <x v="1"/>
    <n v="128"/>
    <n v="51"/>
    <n v="26"/>
    <n v="47647.058823529413"/>
    <n v="6098823.5294117648"/>
    <n v="2430000"/>
    <n v="1238823.529411765"/>
    <s v="CULTURA VIVA"/>
  </r>
  <r>
    <x v="48"/>
    <s v="2025-08_SAOPAULO_FOMENTO.pdf"/>
    <n v="3000000"/>
    <n v="0.25"/>
    <n v="0.1"/>
    <n v="0.05"/>
    <n v="8"/>
    <x v="0"/>
    <b v="1"/>
    <b v="1"/>
    <b v="1"/>
    <s v="3550308"/>
    <x v="1"/>
    <n v="2"/>
    <n v="1"/>
    <n v="0"/>
    <n v="375000"/>
    <n v="750000"/>
    <n v="375000"/>
    <n v="0"/>
    <s v="FOMENTO"/>
  </r>
  <r>
    <x v="48"/>
    <s v="2025-01_SAOPAULO_FOMENTO.pdf"/>
    <n v="4000000"/>
    <n v="0.25"/>
    <n v="0.1"/>
    <n v="0.05"/>
    <n v="15"/>
    <x v="0"/>
    <b v="1"/>
    <b v="1"/>
    <b v="1"/>
    <s v="3550308"/>
    <x v="1"/>
    <n v="4"/>
    <n v="2"/>
    <n v="1"/>
    <n v="266666.66666666669"/>
    <n v="1066666.666666667"/>
    <n v="533333.33333333337"/>
    <n v="266666.66666666669"/>
    <s v="FOMENTO"/>
  </r>
  <r>
    <x v="48"/>
    <s v="2025-05_SAOPAULO_FOMENTO.pdf"/>
    <n v="800000"/>
    <n v="0.25"/>
    <n v="0.1"/>
    <n v="0.05"/>
    <n v="10"/>
    <x v="0"/>
    <b v="1"/>
    <b v="1"/>
    <b v="1"/>
    <s v="3550308"/>
    <x v="1"/>
    <n v="2"/>
    <n v="1"/>
    <n v="0"/>
    <n v="80000"/>
    <n v="160000"/>
    <n v="80000"/>
    <n v="0"/>
    <s v="FOMENTO"/>
  </r>
  <r>
    <x v="48"/>
    <s v="2025-04_SAOPAULO_FOMENTO.pdf"/>
    <n v="800000"/>
    <n v="0.25"/>
    <n v="0.37"/>
    <n v="0.06"/>
    <n v="16"/>
    <x v="4"/>
    <b v="1"/>
    <b v="1"/>
    <b v="1"/>
    <s v="3550308"/>
    <x v="1"/>
    <n v="4"/>
    <n v="6"/>
    <n v="1"/>
    <n v="50000"/>
    <n v="200000"/>
    <n v="300000"/>
    <n v="50000"/>
    <s v="FOMENTO"/>
  </r>
  <r>
    <x v="48"/>
    <s v="2024-22_SAOPAULO_FOMENTO.pdf"/>
    <n v="2500000"/>
    <n v="0"/>
    <n v="0"/>
    <n v="0"/>
    <n v="15"/>
    <x v="0"/>
    <b v="1"/>
    <b v="1"/>
    <b v="0"/>
    <s v="3550308"/>
    <x v="1"/>
    <n v="0"/>
    <n v="0"/>
    <n v="0"/>
    <n v="166666.66666666669"/>
    <n v="0"/>
    <n v="0"/>
    <n v="0"/>
    <s v="FOMENTO"/>
  </r>
  <r>
    <x v="48"/>
    <s v="2024-27_SAOPAULO_FOMENTO.pdf"/>
    <n v="13700000"/>
    <n v="0"/>
    <n v="0"/>
    <n v="0"/>
    <m/>
    <x v="5"/>
    <b v="1"/>
    <b v="1"/>
    <b v="0"/>
    <s v="3550308"/>
    <x v="1"/>
    <m/>
    <m/>
    <m/>
    <m/>
    <n v="0"/>
    <n v="0"/>
    <n v="0"/>
    <s v="FOMENTO"/>
  </r>
  <r>
    <x v="49"/>
    <s v="SERGIPE_CULTURA VIVA_03.pdf"/>
    <n v="1500000"/>
    <n v="0.25"/>
    <n v="0.1"/>
    <n v="0.05"/>
    <n v="15"/>
    <x v="0"/>
    <b v="1"/>
    <b v="1"/>
    <b v="1"/>
    <s v="28"/>
    <x v="0"/>
    <n v="4"/>
    <n v="2"/>
    <n v="1"/>
    <n v="100000"/>
    <n v="400000"/>
    <n v="200000"/>
    <n v="100000"/>
    <s v="CULTURA VIVA"/>
  </r>
  <r>
    <x v="49"/>
    <s v="SERGIPE_CULTURA VIVA_04.pdf"/>
    <n v="600000"/>
    <n v="0.25"/>
    <n v="0.1"/>
    <n v="0.05"/>
    <n v="2"/>
    <x v="0"/>
    <b v="1"/>
    <b v="1"/>
    <b v="1"/>
    <s v="28"/>
    <x v="0"/>
    <n v="0"/>
    <n v="0"/>
    <n v="0"/>
    <n v="300000"/>
    <n v="0"/>
    <n v="0"/>
    <n v="0"/>
    <s v="CULTURA VIVA"/>
  </r>
  <r>
    <x v="49"/>
    <s v="SERGIPE_CULTURA VIVA_05.pdf"/>
    <n v="950000"/>
    <n v="0.25"/>
    <n v="0.1"/>
    <n v="0.05"/>
    <n v="80"/>
    <x v="0"/>
    <b v="1"/>
    <b v="1"/>
    <b v="1"/>
    <s v="28"/>
    <x v="0"/>
    <n v="20"/>
    <n v="8"/>
    <n v="4"/>
    <n v="11875"/>
    <n v="237500"/>
    <n v="95000"/>
    <n v="47500"/>
    <s v="CULTURA VIVA"/>
  </r>
  <r>
    <x v="49"/>
    <s v="SERGIPE_FOMENTO_02.pdf"/>
    <n v="400000"/>
    <n v="0.25"/>
    <n v="0.1"/>
    <n v="0.05"/>
    <n v="10"/>
    <x v="0"/>
    <b v="1"/>
    <b v="1"/>
    <b v="1"/>
    <s v="28"/>
    <x v="0"/>
    <n v="2"/>
    <n v="1"/>
    <n v="0"/>
    <n v="40000"/>
    <n v="80000"/>
    <n v="40000"/>
    <n v="0"/>
    <s v="FOMENTO"/>
  </r>
  <r>
    <x v="49"/>
    <s v="SERGIPE_FOMENTO_06.pdf"/>
    <n v="3000000"/>
    <n v="0.25"/>
    <n v="0.1"/>
    <n v="0.05"/>
    <n v="21"/>
    <x v="0"/>
    <b v="1"/>
    <b v="1"/>
    <b v="1"/>
    <s v="28"/>
    <x v="0"/>
    <n v="5"/>
    <n v="2"/>
    <n v="1"/>
    <n v="142857.1428571429"/>
    <n v="714285.71428571432"/>
    <n v="285714.28571428568"/>
    <n v="142857.1428571429"/>
    <s v="FOMENTO"/>
  </r>
  <r>
    <x v="49"/>
    <s v="SERGIPE_FOMENTO_07.pdf"/>
    <n v="1040000"/>
    <n v="0.25"/>
    <n v="0.1"/>
    <n v="0.05"/>
    <n v="40"/>
    <x v="0"/>
    <b v="1"/>
    <b v="1"/>
    <b v="1"/>
    <s v="28"/>
    <x v="0"/>
    <n v="10"/>
    <n v="4"/>
    <n v="2"/>
    <n v="26000"/>
    <n v="260000"/>
    <n v="104000"/>
    <n v="52000"/>
    <s v="FOMENTO"/>
  </r>
  <r>
    <x v="49"/>
    <s v="SERGIPE_FOMENTO_09.pdf"/>
    <n v="1440000"/>
    <n v="0.25"/>
    <n v="0.1"/>
    <n v="0.05"/>
    <n v="25"/>
    <x v="0"/>
    <b v="1"/>
    <b v="1"/>
    <b v="1"/>
    <s v="28"/>
    <x v="0"/>
    <n v="6"/>
    <n v="2"/>
    <n v="1"/>
    <n v="57600"/>
    <n v="345600"/>
    <n v="115200"/>
    <n v="57600"/>
    <s v="FOMENTO"/>
  </r>
  <r>
    <x v="49"/>
    <s v="SERGIPE_Subsidio-08_2025.pdf"/>
    <n v="3120000"/>
    <n v="0.25"/>
    <n v="0.1"/>
    <n v="0.05"/>
    <n v="39"/>
    <x v="0"/>
    <b v="1"/>
    <b v="1"/>
    <b v="1"/>
    <s v="28"/>
    <x v="0"/>
    <n v="10"/>
    <n v="4"/>
    <n v="2"/>
    <n v="80000"/>
    <n v="800000"/>
    <n v="320000"/>
    <n v="160000"/>
    <s v="SUBSÍDIO"/>
  </r>
  <r>
    <x v="50"/>
    <s v="2024-09_TERESINA_CULTURAVIVA.pdf"/>
    <n v="1000000"/>
    <n v="0.2"/>
    <n v="0.2"/>
    <n v="0.2"/>
    <n v="5"/>
    <x v="0"/>
    <b v="0"/>
    <b v="1"/>
    <b v="1"/>
    <s v="2211001"/>
    <x v="1"/>
    <n v="1"/>
    <n v="1"/>
    <n v="1"/>
    <n v="200000"/>
    <n v="200000"/>
    <n v="200000"/>
    <n v="200000"/>
    <s v="CULTURA VIVA"/>
  </r>
  <r>
    <x v="50"/>
    <s v="2024-07_TERESINA_FOMENTO.pdf"/>
    <n v="3500000"/>
    <n v="0.25"/>
    <n v="0.1"/>
    <n v="0.05"/>
    <n v="37"/>
    <x v="0"/>
    <b v="1"/>
    <b v="1"/>
    <b v="1"/>
    <s v="2211001"/>
    <x v="1"/>
    <n v="9"/>
    <n v="4"/>
    <n v="2"/>
    <n v="94594.5945945946"/>
    <n v="851351.35135135136"/>
    <n v="378378.3783783784"/>
    <n v="189189.1891891892"/>
    <s v="FOMENTO"/>
  </r>
  <r>
    <x v="50"/>
    <s v="2024-08_TERESINA_PRÊMIO.pdf"/>
    <n v="353008.73"/>
    <n v="0.25"/>
    <n v="0.1"/>
    <n v="0.05"/>
    <n v="71"/>
    <x v="1"/>
    <b v="1"/>
    <b v="1"/>
    <b v="1"/>
    <s v="2211001"/>
    <x v="1"/>
    <n v="18"/>
    <n v="7"/>
    <n v="4"/>
    <n v="4971.9539436619716"/>
    <n v="89495.170985915494"/>
    <n v="34803.677605633799"/>
    <n v="19887.81577464789"/>
    <s v="PRÊMIO"/>
  </r>
  <r>
    <x v="50"/>
    <s v="2024-10_TERESINA_CULTURAVIVA.pdf"/>
    <n v="600000"/>
    <n v="0.25"/>
    <n v="0.1"/>
    <n v="0.05"/>
    <n v="30"/>
    <x v="0"/>
    <b v="1"/>
    <b v="1"/>
    <b v="1"/>
    <s v="2211001"/>
    <x v="1"/>
    <n v="8"/>
    <n v="3"/>
    <n v="2"/>
    <n v="20000"/>
    <n v="160000"/>
    <n v="60000"/>
    <n v="40000"/>
    <s v="CULTURA VIVA"/>
  </r>
  <r>
    <x v="51"/>
    <s v="2024-34_TOCANTINS_BOLSA.pdf"/>
    <n v="500000"/>
    <n v="0.25"/>
    <n v="0.1"/>
    <n v="0.05"/>
    <m/>
    <x v="0"/>
    <b v="1"/>
    <b v="1"/>
    <b v="1"/>
    <s v="17"/>
    <x v="0"/>
    <m/>
    <m/>
    <m/>
    <m/>
    <n v="125000"/>
    <n v="50000"/>
    <n v="25000"/>
    <s v="BOLSA"/>
  </r>
  <r>
    <x v="51"/>
    <s v="TOCANTINS_Edital_de_Fomento_1.pdf"/>
    <n v="4825000"/>
    <n v="0.25"/>
    <n v="0.1"/>
    <n v="0.05"/>
    <n v="86"/>
    <x v="0"/>
    <b v="1"/>
    <b v="1"/>
    <b v="1"/>
    <s v="17"/>
    <x v="0"/>
    <n v="22"/>
    <n v="9"/>
    <n v="4"/>
    <n v="56104.651162790688"/>
    <n v="1234302.3255813951"/>
    <n v="504941.86046511628"/>
    <n v="224418.60465116281"/>
    <s v="FOMENTO"/>
  </r>
  <r>
    <x v="51"/>
    <s v="TOCANTINS_Edital_de_Fomento_2.pdf"/>
    <n v="2360000"/>
    <n v="0.25"/>
    <n v="0.1"/>
    <n v="0.05"/>
    <n v="77"/>
    <x v="0"/>
    <b v="1"/>
    <b v="1"/>
    <b v="1"/>
    <s v="17"/>
    <x v="0"/>
    <n v="19"/>
    <n v="8"/>
    <n v="4"/>
    <n v="30649.35064935065"/>
    <n v="582337.6623376623"/>
    <n v="245194.8051948052"/>
    <n v="122597.4025974026"/>
    <s v="FOMENTO"/>
  </r>
  <r>
    <x v="51"/>
    <s v="TOCANTINS_Edital_de_Fomento_3.pdf"/>
    <n v="2360000"/>
    <n v="0.25"/>
    <n v="0.1"/>
    <n v="0.05"/>
    <n v="77"/>
    <x v="0"/>
    <b v="1"/>
    <b v="1"/>
    <b v="1"/>
    <s v="17"/>
    <x v="0"/>
    <n v="19"/>
    <n v="8"/>
    <n v="4"/>
    <n v="30649.35064935065"/>
    <n v="582337.6623376623"/>
    <n v="245194.8051948052"/>
    <n v="122597.4025974026"/>
    <s v="FOMENTO"/>
  </r>
  <r>
    <x v="51"/>
    <s v="TOCANTINS_Edital_de_Fomento_4.pdf"/>
    <n v="2360000"/>
    <n v="0.25"/>
    <n v="0.1"/>
    <n v="0.05"/>
    <n v="77"/>
    <x v="0"/>
    <b v="1"/>
    <b v="1"/>
    <b v="1"/>
    <s v="17"/>
    <x v="0"/>
    <n v="19"/>
    <n v="8"/>
    <n v="4"/>
    <n v="30649.35064935065"/>
    <n v="582337.6623376623"/>
    <n v="245194.8051948052"/>
    <n v="122597.4025974026"/>
    <s v="FOMENTO"/>
  </r>
  <r>
    <x v="51"/>
    <s v="TOCANTINS_Edital_de_Fomento_5.pdf"/>
    <n v="3570000"/>
    <n v="0.25"/>
    <n v="0.1"/>
    <n v="0.05"/>
    <n v="22"/>
    <x v="0"/>
    <b v="1"/>
    <b v="1"/>
    <b v="1"/>
    <s v="17"/>
    <x v="0"/>
    <n v="6"/>
    <n v="2"/>
    <n v="1"/>
    <n v="162272.72727272729"/>
    <n v="973636.36363636353"/>
    <n v="324545.45454545447"/>
    <n v="162272.72727272729"/>
    <s v="FOMENTO"/>
  </r>
  <r>
    <x v="51"/>
    <s v="2024-33_TOCANTINS_BOLSA.pdf"/>
    <n v="1125000"/>
    <n v="0.25"/>
    <n v="0"/>
    <n v="0.05"/>
    <n v="70"/>
    <x v="4"/>
    <b v="1"/>
    <b v="1"/>
    <b v="1"/>
    <s v="17"/>
    <x v="0"/>
    <n v="18"/>
    <n v="0"/>
    <n v="4"/>
    <n v="16071.428571428571"/>
    <n v="289285.71428571432"/>
    <n v="0"/>
    <n v="64285.714285714283"/>
    <s v="FOMENTO"/>
  </r>
  <r>
    <x v="51"/>
    <s v="2024-31_TOCANTINS_BOLSA.pdf"/>
    <n v="600000"/>
    <n v="0"/>
    <n v="1"/>
    <n v="0.05"/>
    <n v="40"/>
    <x v="2"/>
    <b v="1"/>
    <b v="1"/>
    <b v="1"/>
    <s v="17"/>
    <x v="0"/>
    <n v="0"/>
    <n v="40"/>
    <n v="2"/>
    <n v="15000"/>
    <n v="0"/>
    <n v="600000"/>
    <n v="30000"/>
    <s v="BOLSA"/>
  </r>
  <r>
    <x v="51"/>
    <s v="2024-32_TOCANTINS_BOLSA.pdf"/>
    <n v="600000"/>
    <n v="0"/>
    <n v="0"/>
    <n v="0.05"/>
    <n v="40"/>
    <x v="14"/>
    <b v="1"/>
    <b v="1"/>
    <b v="1"/>
    <s v="17"/>
    <x v="0"/>
    <n v="0"/>
    <n v="0"/>
    <n v="2"/>
    <n v="15000"/>
    <n v="0"/>
    <n v="0"/>
    <n v="30000"/>
    <s v="BOLSA"/>
  </r>
  <r>
    <x v="51"/>
    <s v="TOCANTINS_Edital_de_Subsídio_a_Espaços_Culturais_1.pdf"/>
    <n v="4000000"/>
    <n v="0.25"/>
    <n v="0.1"/>
    <n v="0.05"/>
    <n v="50"/>
    <x v="0"/>
    <b v="1"/>
    <b v="1"/>
    <b v="1"/>
    <s v="17"/>
    <x v="0"/>
    <n v="12"/>
    <n v="5"/>
    <n v="2"/>
    <n v="80000"/>
    <n v="960000"/>
    <n v="400000"/>
    <n v="160000"/>
    <s v="SUBSÍDIO"/>
  </r>
  <r>
    <x v="51"/>
    <s v="TOCANTINS_Edital_Premiação_-_Pontos_e_Pontões_PNCV_1.pdf"/>
    <n v="1230000"/>
    <n v="0.25"/>
    <n v="0.1"/>
    <n v="0.05"/>
    <n v="35"/>
    <x v="0"/>
    <b v="1"/>
    <b v="1"/>
    <b v="1"/>
    <s v="17"/>
    <x v="0"/>
    <n v="9"/>
    <n v="4"/>
    <n v="2"/>
    <n v="35142.857142857138"/>
    <n v="316285.71428571432"/>
    <n v="140571.42857142861"/>
    <n v="70285.71428571429"/>
    <s v="CULTURA VIVA"/>
  </r>
  <r>
    <x v="51"/>
    <s v="TOCANTINS_Edital_TCC_-_Pontos_PNCV_1.pdf"/>
    <n v="780000"/>
    <n v="0.25"/>
    <n v="0.1"/>
    <n v="0.05"/>
    <n v="6"/>
    <x v="0"/>
    <b v="1"/>
    <b v="1"/>
    <b v="1"/>
    <s v="17"/>
    <x v="0"/>
    <n v="2"/>
    <n v="1"/>
    <n v="0"/>
    <n v="130000"/>
    <n v="260000"/>
    <n v="130000"/>
    <n v="0"/>
    <s v="CULTURA VIVA"/>
  </r>
  <r>
    <x v="51"/>
    <s v="TOCANTINS_Edital_TCC_-_Pontões_PNCV_1.pdf"/>
    <n v="360000"/>
    <n v="0"/>
    <n v="0"/>
    <n v="0"/>
    <n v="1"/>
    <x v="0"/>
    <b v="1"/>
    <b v="1"/>
    <b v="1"/>
    <s v="17"/>
    <x v="0"/>
    <n v="0"/>
    <n v="0"/>
    <n v="0"/>
    <n v="360000"/>
    <n v="0"/>
    <n v="0"/>
    <n v="0"/>
    <s v="CULTURA VIVA"/>
  </r>
  <r>
    <x v="52"/>
    <s v="2024-04_VITÓRIA_FOMENTO.pdf"/>
    <n v="600000"/>
    <n v="0.25"/>
    <n v="0.1"/>
    <n v="0.05"/>
    <n v="50"/>
    <x v="0"/>
    <b v="1"/>
    <b v="1"/>
    <b v="1"/>
    <s v="3205309"/>
    <x v="1"/>
    <n v="12"/>
    <n v="5"/>
    <n v="2"/>
    <n v="12000"/>
    <n v="144000"/>
    <n v="60000"/>
    <n v="24000"/>
    <s v="FOMENTO"/>
  </r>
  <r>
    <x v="52"/>
    <s v="2024-02_VITÓRIA_CULTURAVIVA.pdf"/>
    <n v="610558.69999999995"/>
    <n v="0.25"/>
    <n v="0.1"/>
    <n v="0.05"/>
    <n v="21"/>
    <x v="0"/>
    <b v="1"/>
    <b v="1"/>
    <b v="1"/>
    <s v="3205309"/>
    <x v="1"/>
    <n v="5"/>
    <n v="2"/>
    <n v="1"/>
    <n v="29074.22380952381"/>
    <n v="145371.11904761899"/>
    <n v="58148.447619047613"/>
    <n v="29074.22380952381"/>
    <s v="CULTURA VIVA"/>
  </r>
  <r>
    <x v="52"/>
    <s v="2024-06_VITÓRIA_FOMENTO.pdf"/>
    <n v="200000"/>
    <n v="0.25"/>
    <n v="0.1"/>
    <n v="0.05"/>
    <n v="6"/>
    <x v="0"/>
    <b v="1"/>
    <b v="1"/>
    <b v="1"/>
    <s v="3205309"/>
    <x v="1"/>
    <n v="2"/>
    <n v="1"/>
    <n v="0"/>
    <n v="33333.333333333343"/>
    <n v="66666.666666666672"/>
    <n v="33333.333333333343"/>
    <n v="0"/>
    <s v="FOMENTO"/>
  </r>
  <r>
    <x v="52"/>
    <s v="2024-05_VITÓRIA_SUBSÍDIO.pdf"/>
    <n v="210000"/>
    <n v="0.25"/>
    <n v="0.1"/>
    <n v="0.05"/>
    <n v="18"/>
    <x v="0"/>
    <b v="1"/>
    <b v="1"/>
    <b v="1"/>
    <s v="3205309"/>
    <x v="1"/>
    <n v="4"/>
    <n v="2"/>
    <n v="1"/>
    <n v="11666.66666666667"/>
    <n v="46666.666666666657"/>
    <n v="23333.333333333328"/>
    <n v="11666.66666666667"/>
    <s v="SUBSÍDIO"/>
  </r>
  <r>
    <x v="52"/>
    <s v="2024-07_VITÓRIA_FOMENTO.pdf"/>
    <n v="420000"/>
    <n v="0.25"/>
    <n v="0.1"/>
    <n v="0"/>
    <n v="7"/>
    <x v="0"/>
    <b v="1"/>
    <b v="1"/>
    <b v="1"/>
    <s v="3205309"/>
    <x v="1"/>
    <n v="2"/>
    <n v="1"/>
    <n v="0"/>
    <n v="60000"/>
    <n v="120000"/>
    <n v="60000"/>
    <n v="0"/>
    <s v="FOMENTO"/>
  </r>
  <r>
    <x v="52"/>
    <s v="2024-03_VITÓRIA_FOMENTO.pdf"/>
    <n v="300000"/>
    <n v="0"/>
    <n v="0"/>
    <n v="0"/>
    <n v="4"/>
    <x v="0"/>
    <b v="1"/>
    <b v="1"/>
    <b v="1"/>
    <s v="3205309"/>
    <x v="1"/>
    <n v="0"/>
    <n v="0"/>
    <n v="0"/>
    <n v="75000"/>
    <n v="0"/>
    <n v="0"/>
    <n v="0"/>
    <s v="FOMEN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B351B-8D9B-4B34-A3D7-418DDFB7004E}" name="Tabela dinâ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B22" firstHeaderRow="1" firstDataRow="1" firstDataCol="1"/>
  <pivotFields count="21">
    <pivotField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numFmtId="44" showAll="0"/>
    <pivotField numFmtId="9" showAll="0"/>
    <pivotField numFmtId="9" showAll="0"/>
    <pivotField numFmtId="9" showAll="0"/>
    <pivotField showAll="0"/>
    <pivotField axis="axisRow" dataField="1" showAll="0">
      <items count="22">
        <item n="PESSOAS IDOSAS" x="9"/>
        <item n="PESSOAS E POVOS INDÍGENAS" x="2"/>
        <item n="PESSOAS LGBTQIAPN+" x="3"/>
        <item x="10"/>
        <item x="1"/>
        <item x="11"/>
        <item x="12"/>
        <item x="15"/>
        <item n="PESSOAS NEGRAS " x="6"/>
        <item n="PESSOAS COM DEFICIÊNCIA (PCD)" x="8"/>
        <item x="5"/>
        <item m="1" x="18"/>
        <item x="4"/>
        <item m="1" x="20"/>
        <item m="1" x="19"/>
        <item x="14"/>
        <item x="0"/>
        <item x="7"/>
        <item x="13"/>
        <item x="16"/>
        <item x="17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44" showAll="0"/>
    <pivotField numFmtId="44" showAll="0"/>
    <pivotField numFmtId="44" showAll="0"/>
    <pivotField showAll="0"/>
  </pivotFields>
  <rowFields count="1">
    <field x="7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ntagem de específico" fld="7" subtotal="count" baseField="0" baseItem="0"/>
  </dataFields>
  <formats count="3">
    <format dxfId="141">
      <pivotArea field="12" type="button" dataOnly="0" labelOnly="1" outline="0"/>
    </format>
    <format dxfId="140">
      <pivotArea field="0" type="button" dataOnly="0" labelOnly="1" outline="0"/>
    </format>
    <format dxfId="13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03898-9479-4E66-A342-CF59CC82966B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M6" firstHeaderRow="0" firstDataRow="1" firstDataCol="1"/>
  <pivotFields count="21">
    <pivotField axis="axisRow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dataField="1" showAll="0"/>
    <pivotField dataField="1" numFmtId="44" showAll="0"/>
    <pivotField dataField="1" numFmtId="9" showAll="0"/>
    <pivotField dataField="1" numFmtId="9" showAll="0"/>
    <pivotField dataField="1" numFmtId="9"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sd="0" x="1"/>
        <item sd="0" x="0"/>
        <item t="default" sd="0"/>
      </items>
    </pivotField>
    <pivotField dataField="1" showAll="0"/>
    <pivotField dataField="1" showAll="0"/>
    <pivotField dataField="1" showAll="0"/>
    <pivotField showAll="0"/>
    <pivotField dataField="1" numFmtId="44" showAll="0"/>
    <pivotField dataField="1" numFmtId="44" showAll="0"/>
    <pivotField dataField="1" numFmtId="44" showAll="0"/>
    <pivotField showAll="0"/>
  </pivotFields>
  <rowFields count="2">
    <field x="12"/>
    <field x="0"/>
  </rowFields>
  <rowItems count="3">
    <i>
      <x/>
    </i>
    <i>
      <x v="1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oma de valor_total" fld="2" baseField="0" baseItem="0"/>
    <dataField name="Soma de valor_cotas_negras" fld="17" baseField="0" baseItem="0"/>
    <dataField name="Soma de valor_cotas_indigenas" fld="18" baseField="0" baseItem="0"/>
    <dataField name="Soma de valor_cotas_pcd" fld="19" baseField="0" baseItem="0"/>
    <dataField name="Média de perc_cotas_negras" fld="3" subtotal="average" baseField="12" baseItem="0" numFmtId="9"/>
    <dataField name="Média de perc_cotas_indigenas" fld="4" subtotal="average" baseField="12" baseItem="0" numFmtId="9"/>
    <dataField name="Média de perc_cotas_pcd" fld="5" subtotal="average" baseField="12" baseItem="0" numFmtId="9"/>
    <dataField name="Soma de vagas_totais" fld="6" baseField="0" baseItem="0"/>
    <dataField name="Soma de vagas_cotas_negras" fld="13" baseField="0" baseItem="0"/>
    <dataField name="Soma de vagas_cotas_indigenas" fld="14" baseField="0" baseItem="0"/>
    <dataField name="Soma de vagas_cotas_pcd" fld="15" baseField="0" baseItem="0"/>
    <dataField name="Contagem de nome_pdf_pk" fld="1" subtotal="count" baseField="0" baseItem="0"/>
  </dataFields>
  <formats count="12">
    <format dxfId="138">
      <pivotArea collapsedLevelsAreSubtotals="1" fieldPosition="0">
        <references count="2">
          <reference field="4294967294" count="1" selected="0">
            <x v="0"/>
          </reference>
          <reference field="12" count="1">
            <x v="0"/>
          </reference>
        </references>
      </pivotArea>
    </format>
    <format dxfId="137">
      <pivotArea collapsedLevelsAreSubtotals="1" fieldPosition="0">
        <references count="2">
          <reference field="4294967294" count="1" selected="0">
            <x v="0"/>
          </reference>
          <reference field="12" count="1">
            <x v="1"/>
          </reference>
        </references>
      </pivotArea>
    </format>
    <format dxfId="136">
      <pivotArea collapsedLevelsAreSubtotals="1" fieldPosition="0">
        <references count="2">
          <reference field="4294967294" count="2" selected="0">
            <x v="2"/>
            <x v="3"/>
          </reference>
          <reference field="12" count="1">
            <x v="0"/>
          </reference>
        </references>
      </pivotArea>
    </format>
    <format dxfId="135">
      <pivotArea collapsedLevelsAreSubtotals="1" fieldPosition="0">
        <references count="2">
          <reference field="4294967294" count="2" selected="0">
            <x v="2"/>
            <x v="3"/>
          </reference>
          <reference field="12" count="1">
            <x v="1"/>
          </reference>
        </references>
      </pivotArea>
    </format>
    <format dxfId="134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33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32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131">
      <pivotArea field="12" type="button" dataOnly="0" labelOnly="1" outline="0" axis="axisRow" fieldPosition="0"/>
    </format>
    <format dxfId="130">
      <pivotArea dataOnly="0" labelOnly="1" outline="0" fieldPosition="0">
        <references count="1">
          <reference field="4294967294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29">
      <pivotArea collapsedLevelsAreSubtotals="1" fieldPosition="0">
        <references count="2">
          <reference field="4294967294" count="1" selected="0">
            <x v="1"/>
          </reference>
          <reference field="12" count="1">
            <x v="0"/>
          </reference>
        </references>
      </pivotArea>
    </format>
    <format dxfId="128">
      <pivotArea collapsedLevelsAreSubtotals="1" fieldPosition="0">
        <references count="2">
          <reference field="4294967294" count="1" selected="0">
            <x v="1"/>
          </reference>
          <reference field="12" count="1">
            <x v="1"/>
          </reference>
        </references>
      </pivotArea>
    </format>
    <format dxfId="127">
      <pivotArea field="12" grandRow="1" outline="0" collapsedLevelsAreSubtotals="1" axis="axisRow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18AB3-4480-4904-8825-260F4B40A786}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13">
  <location ref="A3:B9" firstHeaderRow="1" firstDataRow="1" firstDataCol="1" rowPageCount="1" colPageCount="1"/>
  <pivotFields count="21">
    <pivotField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dataField="1" numFmtId="44" showAll="0"/>
    <pivotField numFmtId="9" showAll="0"/>
    <pivotField numFmtId="9" showAll="0"/>
    <pivotField numFmtId="9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numFmtId="44" showAll="0"/>
    <pivotField numFmtId="44" showAll="0"/>
    <pivotField numFmtId="44"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2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2" hier="-1"/>
  </pageFields>
  <dataFields count="1">
    <dataField name="Soma de valor_total" fld="2" baseField="0" baseItem="0"/>
  </dataFields>
  <formats count="2">
    <format dxfId="126">
      <pivotArea collapsedLevelsAreSubtotals="1" fieldPosition="0">
        <references count="1">
          <reference field="20" count="0"/>
        </references>
      </pivotArea>
    </format>
    <format dxfId="125">
      <pivotArea grandRow="1" outline="0" collapsedLevelsAreSubtotals="1" fieldPosition="0"/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F48BD-772F-B542-8070-CA42D22D1F64}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 chartFormat="11">
  <location ref="A3:B9" firstHeaderRow="1" firstDataRow="1" firstDataCol="1" rowPageCount="1" colPageCount="1"/>
  <pivotFields count="21">
    <pivotField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dataField="1" numFmtId="44" showAll="0"/>
    <pivotField numFmtId="9" showAll="0"/>
    <pivotField numFmtId="9" showAll="0"/>
    <pivotField numFmtId="9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numFmtId="44" showAll="0"/>
    <pivotField numFmtId="44" showAll="0"/>
    <pivotField numFmtId="44"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2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2" hier="-1"/>
  </pageFields>
  <dataFields count="1">
    <dataField name="Soma de valor_total" fld="2" baseField="0" baseItem="0"/>
  </dataFields>
  <formats count="2">
    <format dxfId="124">
      <pivotArea collapsedLevelsAreSubtotals="1" fieldPosition="0">
        <references count="1">
          <reference field="20" count="0"/>
        </references>
      </pivotArea>
    </format>
    <format dxfId="123">
      <pivotArea grandRow="1" outline="0" collapsedLevelsAreSubtotals="1" fieldPosition="0"/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A341B6-93A2-4CF0-9308-DD16420798BB}" name="Tabela2" displayName="Tabela2" ref="A1:H29" totalsRowShown="0" headerRowDxfId="122" dataDxfId="121" headerRowCellStyle="Porcentagem" dataCellStyle="Porcentagem">
  <autoFilter ref="A1:H29" xr:uid="{615FEC53-44B2-445C-B335-48435CF7EE4D}"/>
  <tableColumns count="8">
    <tableColumn id="1" xr3:uid="{10AFBEB5-0971-4591-929B-F5DE96F92CEB}" name="Estados " dataDxfId="120"/>
    <tableColumn id="2" xr3:uid="{57DB2F68-CD90-4577-BC01-B0B30889E7F7}" name="Valor total editais (R$) " dataDxfId="119"/>
    <tableColumn id="3" xr3:uid="{5292F435-612F-445B-92C9-50827103B79B}" name="Valor Cotas PCD " dataDxfId="118"/>
    <tableColumn id="4" xr3:uid="{FE586456-414B-4F10-9108-2BC72A457EC6}" name="% Cotas PCD " dataDxfId="117" dataCellStyle="Porcentagem"/>
    <tableColumn id="5" xr3:uid="{99FC52C8-2DB2-4E37-8770-B4C2CCA07375}" name="Valor Cotas Pessoas Indígenas (R$) " dataDxfId="116"/>
    <tableColumn id="6" xr3:uid="{35C61981-5F32-463B-B418-C9A766EB77AB}" name="% Cotas Pessoas Indígenas " dataDxfId="115" dataCellStyle="Porcentagem"/>
    <tableColumn id="7" xr3:uid="{05A57E94-E21A-42F6-9437-E170713A398D}" name="Valor Cotas Pessoa Negra (R$) " dataDxfId="114" dataCellStyle="Moeda"/>
    <tableColumn id="8" xr3:uid="{0BBAC609-D4ED-4C4F-B897-E5DD2CF0AADA}" name="% Cotas Pessoa Negra " dataDxfId="113" dataCellStyle="Porcentagem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E2A1B5-E07B-445D-89A7-ACAD6465B594}" name="Tabela4" displayName="Tabela4" ref="A36:E63" totalsRowShown="0" tableBorderDxfId="112">
  <autoFilter ref="A36:E63" xr:uid="{B732629A-9222-43B4-AC78-777BC3C9AE6E}"/>
  <sortState xmlns:xlrd2="http://schemas.microsoft.com/office/spreadsheetml/2017/richdata2" ref="A37:E63">
    <sortCondition descending="1" ref="E36:E63"/>
  </sortState>
  <tableColumns count="5">
    <tableColumn id="1" xr3:uid="{ABB99CC6-4062-473C-B50D-D01C26678577}" name="Estados "/>
    <tableColumn id="2" xr3:uid="{ADA53361-6A05-4CB0-B79B-2FEAE864B178}" name="% Cotas PCD " dataDxfId="111"/>
    <tableColumn id="3" xr3:uid="{AD7DDE4D-C6A7-4691-8794-1C13E408425C}" name="% Cotas Pessoas Indígenas " dataDxfId="110"/>
    <tableColumn id="4" xr3:uid="{A2934A73-B7B6-4276-B5FC-2D1B2DE1321A}" name="% Cotas Pessoa Negra " dataDxfId="109"/>
    <tableColumn id="5" xr3:uid="{97534F1B-E6AC-44F0-BDDC-04892C920CAD}" name="Soma" dataDxfId="108">
      <calculatedColumnFormula>SUM(Tabela4[[#This Row],[% Cotas PCD ]:[% Cotas Pessoa Negra ]])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B8E340-4753-4CB3-8A02-A570D3457571}" name="Tabela26" displayName="Tabela26" ref="A69:F96" totalsRowShown="0" headerRowDxfId="107" dataDxfId="106" headerRowCellStyle="Porcentagem" dataCellStyle="Porcentagem">
  <autoFilter ref="A69:F96" xr:uid="{CBDECDF3-313D-4D86-9D63-0A27A0C69A7D}"/>
  <sortState xmlns:xlrd2="http://schemas.microsoft.com/office/spreadsheetml/2017/richdata2" ref="A70:F96">
    <sortCondition descending="1" ref="F69:F96"/>
  </sortState>
  <tableColumns count="6">
    <tableColumn id="1" xr3:uid="{D913DF0C-C514-48F9-BB6C-17D673CE92EF}" name="Estados " dataDxfId="105"/>
    <tableColumn id="2" xr3:uid="{3776C223-C32C-4581-8EBD-BE26A4E09BE3}" name="Valor total editais (R$) " dataDxfId="104"/>
    <tableColumn id="3" xr3:uid="{3FB6C5D4-AE64-43F4-87E0-8138EC696E18}" name="Valor Cotas PCD (R$)" dataDxfId="103"/>
    <tableColumn id="5" xr3:uid="{692F9F48-5CEB-4907-ABEE-A07009431127}" name="Valor Cotas Pessoa Indígena (R$) " dataDxfId="102"/>
    <tableColumn id="7" xr3:uid="{2FD1EB11-22B3-487C-8062-FD06C5D7EF1A}" name="Valor Cotas Pessoa Negra (R$) " dataDxfId="101" dataCellStyle="Moeda"/>
    <tableColumn id="9" xr3:uid="{CFE700E6-3AF7-4688-9D6C-45E244B52BF2}" name="Soma Valor Cotas" dataDxfId="100" dataCellStyle="Porcentagem">
      <calculatedColumnFormula>SUM(Tabela26[[#This Row],[Valor Cotas PCD (R$)]:[Valor Cotas Pessoa Negra (R$) ]])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D9283EA-63C9-449E-8DB6-A86463BB845F}" name="Tabela215" displayName="Tabela215" ref="A1:D29" totalsRowShown="0" headerRowDxfId="99" dataDxfId="98" headerRowCellStyle="Porcentagem" dataCellStyle="Porcentagem">
  <autoFilter ref="A1:D29" xr:uid="{615FEC53-44B2-445C-B335-48435CF7EE4D}"/>
  <tableColumns count="4">
    <tableColumn id="1" xr3:uid="{95D1C692-9F66-44D4-BFC8-8ED524759DCA}" name="Estados " dataDxfId="97"/>
    <tableColumn id="2" xr3:uid="{8CFEB6A2-0104-440F-B438-EAAB2F243B63}" name="Valor total editais (R$) " dataDxfId="96"/>
    <tableColumn id="7" xr3:uid="{D65D326E-02B8-4F9E-8C45-31072B3B43C9}" name="Valor Cotas Pessoa Negra (R$) " dataDxfId="95" dataCellStyle="Moeda"/>
    <tableColumn id="8" xr3:uid="{EF740CFD-B62D-4E85-BC7D-F02E89EB4A52}" name="% Cotas Pessoa Negra " dataDxfId="94" dataCellStyle="Porcentagem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CE9BD2F-BAD6-4E1D-AB01-B4F86C87E41F}" name="Tabela18" displayName="Tabela18" ref="A33:E60" totalsRowShown="0">
  <autoFilter ref="A33:E60" xr:uid="{78F51AAF-43D2-48C7-A2F2-E34D5B39EA8D}"/>
  <sortState xmlns:xlrd2="http://schemas.microsoft.com/office/spreadsheetml/2017/richdata2" ref="A34:E60">
    <sortCondition descending="1" ref="C33:C60"/>
  </sortState>
  <tableColumns count="5">
    <tableColumn id="1" xr3:uid="{AB271C2A-A191-49ED-B4B6-F42319A8E371}" name="Estados "/>
    <tableColumn id="2" xr3:uid="{5E244A65-75C9-4EE9-815C-805739EA8233}" name="Valor Cotas Pessoa Negra (R$) " dataDxfId="93"/>
    <tableColumn id="3" xr3:uid="{567394FE-8C5D-4B01-9C18-2C8BCC0C763D}" name="% Valor Pessoa Negra " dataCellStyle="Porcentagem"/>
    <tableColumn id="4" xr3:uid="{9C6485D4-2586-429C-9CAC-7180160DA99D}" name="Vagas Pessoa Negra"/>
    <tableColumn id="5" xr3:uid="{B5AC0061-8EF4-40EE-9AF9-17AD7CCDA3FF}" name="% Vaga Pessoa Negra" dataCellStyle="Porcentagem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BDE4737-6F23-4FFE-A25E-A7DB71BF26F7}" name="Tabela219" displayName="Tabela219" ref="A1:H29" totalsRowShown="0" headerRowDxfId="92" dataDxfId="91" headerRowCellStyle="Porcentagem" dataCellStyle="Porcentagem">
  <autoFilter ref="A1:H29" xr:uid="{615FEC53-44B2-445C-B335-48435CF7EE4D}"/>
  <tableColumns count="8">
    <tableColumn id="1" xr3:uid="{ECC96E73-4487-4C32-AF71-176CB0F7141F}" name="Estados " dataDxfId="90"/>
    <tableColumn id="2" xr3:uid="{0918D4C2-0C5F-4E52-B12A-5E83AFF515BD}" name="Valor total editais (R$) " dataDxfId="89"/>
    <tableColumn id="3" xr3:uid="{8357A4D1-BB7B-4E55-BB9F-BC880517154B}" name="Valor Cotas PCD " dataDxfId="88"/>
    <tableColumn id="4" xr3:uid="{42AFA586-9DD8-4589-A377-783419E7D3A4}" name="% Cotas PCD " dataDxfId="87" dataCellStyle="Porcentagem"/>
    <tableColumn id="5" xr3:uid="{4ECD7A95-8D40-4FA4-A38A-67E65C41AE9E}" name="Valor Cotas Pessoas Indígenas (R$) " dataDxfId="86"/>
    <tableColumn id="6" xr3:uid="{976B41B1-0ED9-4F75-B038-58E04A8E05B1}" name="% Cotas Pessoas Indígenas " dataDxfId="85" dataCellStyle="Porcentagem"/>
    <tableColumn id="7" xr3:uid="{0B43019D-6E66-455F-8822-006B246452BE}" name="Valor Cotas Pessoa Negra (R$) " dataDxfId="84" dataCellStyle="Moeda"/>
    <tableColumn id="8" xr3:uid="{8854B141-557E-4CA4-96AD-844D0C8D6BED}" name="% Cotas Pessoa Negra " dataDxfId="83" dataCellStyle="Porcentagem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DF6B9B9-4FE7-45E7-AEAC-B3224A497415}" name="Tabela420" displayName="Tabela420" ref="A36:E63" totalsRowShown="0" headerRowDxfId="82" headerRowBorderDxfId="81" tableBorderDxfId="80">
  <autoFilter ref="A36:E63" xr:uid="{B732629A-9222-43B4-AC78-777BC3C9AE6E}"/>
  <sortState xmlns:xlrd2="http://schemas.microsoft.com/office/spreadsheetml/2017/richdata2" ref="A37:E63">
    <sortCondition descending="1" ref="C36:C63"/>
  </sortState>
  <tableColumns count="5">
    <tableColumn id="1" xr3:uid="{4416545A-E24F-4461-95C4-193E346D0CDC}" name="Estados "/>
    <tableColumn id="2" xr3:uid="{687342AA-F4A9-4037-8852-1E851955CE39}" name="Valor Cotas Pessoa Indígena (R$)" dataDxfId="79"/>
    <tableColumn id="3" xr3:uid="{AB042088-A508-4166-87B2-471F7753EE26}" name="% Valor  Pessoa Indígena" dataDxfId="78"/>
    <tableColumn id="4" xr3:uid="{2616F1CE-0BD1-48B3-AE48-4E1E811D78CD}" name="Vagas  Pessoa Indígena" dataDxfId="77" dataCellStyle="Moeda"/>
    <tableColumn id="5" xr3:uid="{D553BFF0-203D-4BD2-A8F5-746158EC06AB}" name="% Vaga  Pessoa Indígena" dataDxfId="76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FB9F3CA-C960-4391-B40F-DE3EF2F6AB98}" name="Tabela21922" displayName="Tabela21922" ref="A1:H29" totalsRowShown="0" headerRowDxfId="75" dataDxfId="74" headerRowCellStyle="Porcentagem" dataCellStyle="Porcentagem">
  <autoFilter ref="A1:H29" xr:uid="{615FEC53-44B2-445C-B335-48435CF7EE4D}"/>
  <tableColumns count="8">
    <tableColumn id="1" xr3:uid="{43C0EDA6-3CC9-474E-85DF-5953845EBE8A}" name="Estados " dataDxfId="73"/>
    <tableColumn id="2" xr3:uid="{ABED65FC-6CA2-4808-A752-507AC5283D63}" name="Valor total editais (R$) " dataDxfId="72"/>
    <tableColumn id="3" xr3:uid="{A83189C2-FBEC-4673-BA2A-5B15121DB416}" name="Valor Cotas PCD " dataDxfId="71"/>
    <tableColumn id="4" xr3:uid="{E907EDB7-C2F2-4CD3-9FC4-B90D3A065FFC}" name="% Cotas PCD " dataDxfId="70" dataCellStyle="Porcentagem"/>
    <tableColumn id="5" xr3:uid="{D81EB2AC-A0D4-4038-B857-DBCBEF64C61A}" name="Valor Cotas Pessoas Indígenas (R$) " dataDxfId="69"/>
    <tableColumn id="6" xr3:uid="{2CEB47A5-E18F-47D9-9895-8764BC2EEC8C}" name="% Cotas Pessoas Indígenas " dataDxfId="68" dataCellStyle="Porcentagem"/>
    <tableColumn id="7" xr3:uid="{347437D5-7C5E-4BFD-AC7F-48607BD16DCE}" name="Valor Cotas Pessoa Negra (R$) " dataDxfId="67" dataCellStyle="Moeda"/>
    <tableColumn id="8" xr3:uid="{BB0A341D-D784-4EB8-9A85-31BE36B576A0}" name="% Cotas Pessoa Negra " dataDxfId="66" dataCellStyle="Porcentagem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CF360F7-C7FB-41A6-8FEA-4A196EC0DF6C}" name="Tabela42023" displayName="Tabela42023" ref="A36:E63" totalsRowShown="0" headerRowDxfId="65" headerRowBorderDxfId="64" tableBorderDxfId="63">
  <autoFilter ref="A36:E63" xr:uid="{B732629A-9222-43B4-AC78-777BC3C9AE6E}"/>
  <sortState xmlns:xlrd2="http://schemas.microsoft.com/office/spreadsheetml/2017/richdata2" ref="A37:E63">
    <sortCondition descending="1" ref="C36:C63"/>
  </sortState>
  <tableColumns count="5">
    <tableColumn id="1" xr3:uid="{92A4145F-DB44-480B-9824-8AD2285C91D6}" name="Estados "/>
    <tableColumn id="2" xr3:uid="{A7548324-6622-4360-9420-9D34BCDE5DD4}" name="Valor Cotas PCD (R$) " dataDxfId="62"/>
    <tableColumn id="3" xr3:uid="{61AEE973-A227-4A22-A41B-0E9FF28E4BE2}" name="% Valor PCD" dataDxfId="61"/>
    <tableColumn id="4" xr3:uid="{D4E77122-B0DE-4E28-BB43-262573104155}" name="Vagas PCD" dataDxfId="60" dataCellStyle="Moeda"/>
    <tableColumn id="5" xr3:uid="{59391A21-B918-441E-B38A-DEBED3014055}" name="% Vaga PCD" dataDxfId="59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C6269F6-A704-4B3A-86E0-2CB424279E1D}" name="Table1" displayName="Table1" ref="A1:U497" totalsRowShown="0" headerRowDxfId="58" dataDxfId="57" tableBorderDxfId="56">
  <autoFilter ref="A1:U497" xr:uid="{3C6269F6-A704-4B3A-86E0-2CB424279E1D}"/>
  <tableColumns count="21">
    <tableColumn id="1" xr3:uid="{C6135942-F496-43FD-BB53-6D1233A5BCC4}" name="ente_federativo" dataDxfId="55"/>
    <tableColumn id="2" xr3:uid="{407ACD43-A85E-4CEC-954F-70D6E4C5472F}" name="nome_pdf_pk" dataDxfId="54"/>
    <tableColumn id="3" xr3:uid="{AB2A8DE7-84BA-42F0-9295-DBDADA5747F8}" name="valor_total" dataDxfId="53"/>
    <tableColumn id="4" xr3:uid="{3748CEAF-506F-4027-999B-49FB00F15AD9}" name="perc_cotas_negras" dataDxfId="52"/>
    <tableColumn id="5" xr3:uid="{F3FB9D85-F649-43EE-816B-65D0702F6938}" name="perc_cotas_indigenas" dataDxfId="51"/>
    <tableColumn id="6" xr3:uid="{D7488B53-45F1-45F4-905C-08666EC25A6D}" name="perc_cotas_pcd" dataDxfId="50"/>
    <tableColumn id="7" xr3:uid="{A2CD6829-AA79-4530-B53D-65C01C0A1447}" name="vagas_totais" dataDxfId="49"/>
    <tableColumn id="8" xr3:uid="{08257D27-42D4-4AD6-A7A1-E1E17673E95B}" name="específico" dataDxfId="48"/>
    <tableColumn id="9" xr3:uid="{B8BF69BE-6BA4-4844-AFBE-2109C4BA86C5}" name="flag_cotas_negras" dataDxfId="47"/>
    <tableColumn id="10" xr3:uid="{B72545A4-E9C1-46BB-B726-44B599D2B6A4}" name="flag_cotas_indigenas" dataDxfId="46"/>
    <tableColumn id="11" xr3:uid="{4101B7C8-967B-4D09-B790-C61B6C70EB6D}" name="flag_cotas_pcd" dataDxfId="45"/>
    <tableColumn id="12" xr3:uid="{5487F8FF-F8F7-44B6-B059-DD2DD6BB2CE7}" name="cod_ibge" dataDxfId="44"/>
    <tableColumn id="13" xr3:uid="{87C507B1-0BFE-45F8-A2A8-FF64A3BB2721}" name="tipo_ente" dataDxfId="43"/>
    <tableColumn id="14" xr3:uid="{5ED1635F-0FA4-49F8-AEF1-2CAF567A742E}" name="vagas_cotas_negras" dataDxfId="42"/>
    <tableColumn id="15" xr3:uid="{450F34F0-E246-458B-BFD7-9014EA6EEBDB}" name="vagas_cotas_indigenas" dataDxfId="41"/>
    <tableColumn id="16" xr3:uid="{55660CDA-1478-40A6-944D-19A13B899C57}" name="vagas_cotas_pcd" dataDxfId="40"/>
    <tableColumn id="17" xr3:uid="{0CC9369B-467E-44CA-B3DE-48AB619897FE}" name="valor_por_vaga" dataDxfId="39"/>
    <tableColumn id="18" xr3:uid="{33E35895-CAA2-49C6-ACE8-6474606A50AA}" name="valor_cotas_negras" dataDxfId="38"/>
    <tableColumn id="19" xr3:uid="{14A87315-677B-4ED9-AF12-1E8454932D6B}" name="valor_cotas_indigenas" dataDxfId="37"/>
    <tableColumn id="20" xr3:uid="{F0D33219-6312-4213-90E9-AB712945EBA5}" name="valor_cotas_pcd" dataDxfId="36"/>
    <tableColumn id="21" xr3:uid="{19B66D56-D836-4304-9A87-6E9CA281A8D3}" name="tipo_edital" dataDxfId="35"/>
  </tableColumns>
  <tableStyleInfo name="TableStyleMedium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208D8A-D4A1-41E1-A9BD-D9DAEC09A095}" name="Tabela1" displayName="Tabela1" ref="A1:K524" totalsRowShown="0" headerRowDxfId="34" dataDxfId="33">
  <autoFilter ref="A1:K524" xr:uid="{09208D8A-D4A1-41E1-A9BD-D9DAEC09A095}"/>
  <sortState xmlns:xlrd2="http://schemas.microsoft.com/office/spreadsheetml/2017/richdata2" ref="A2:K524">
    <sortCondition ref="A1:A524"/>
  </sortState>
  <tableColumns count="11">
    <tableColumn id="1" xr3:uid="{00127049-800E-463B-BD3C-1AA238D8CF91}" name="ente_federativo" dataDxfId="32"/>
    <tableColumn id="2" xr3:uid="{1AC77056-6D67-42AB-94CB-D1B2CA03A4EF}" name="nome_pdf_pk" dataDxfId="31"/>
    <tableColumn id="3" xr3:uid="{46F5AEAE-8664-4C98-92A5-722AB6085B2E}" name="valor_total" dataDxfId="30" dataCellStyle="Moeda"/>
    <tableColumn id="4" xr3:uid="{F6A5AB7B-0F6D-4F69-AE18-89854B4D5950}" name="perc_cotas_negras" dataDxfId="29" dataCellStyle="Porcentagem"/>
    <tableColumn id="5" xr3:uid="{B5FB28D5-9C0F-47D7-B88D-CBFFE20074CB}" name="perc_cotas_indigenas" dataDxfId="28" dataCellStyle="Porcentagem"/>
    <tableColumn id="6" xr3:uid="{4C05EDFF-BACD-4870-B516-6F4416C35618}" name="perc_cotas_pcd" dataDxfId="27" dataCellStyle="Porcentagem"/>
    <tableColumn id="7" xr3:uid="{8D11C92E-1A06-4C4B-9DB7-3B1517C07B33}" name="vagas_totais" dataDxfId="26"/>
    <tableColumn id="8" xr3:uid="{B9A5BC6F-12EA-4B3D-AC7E-3DD53C020058}" name="exclusivo" dataDxfId="25"/>
    <tableColumn id="9" xr3:uid="{353BB459-4A82-4789-AB20-B0BCCA175B9D}" name="flag_cotas_negras" dataDxfId="24"/>
    <tableColumn id="10" xr3:uid="{11E2E5CF-9FB8-407C-830A-17FB07B89764}" name="flag_cotas_indigenas" dataDxfId="23"/>
    <tableColumn id="11" xr3:uid="{3F7B4B4A-9127-40B2-B0A0-6086715E843B}" name="flag_cotas_pcd" dataDxfId="2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E34ECF-5775-4242-90E9-BD2CCEAA8931}" name="Tabela17" displayName="Tabela17" ref="A1:K524" totalsRowShown="0" headerRowDxfId="21" dataDxfId="20">
  <autoFilter ref="A1:K524" xr:uid="{09208D8A-D4A1-41E1-A9BD-D9DAEC09A095}"/>
  <sortState xmlns:xlrd2="http://schemas.microsoft.com/office/spreadsheetml/2017/richdata2" ref="A2:K524">
    <sortCondition ref="A1:A524"/>
  </sortState>
  <tableColumns count="11">
    <tableColumn id="1" xr3:uid="{55A9ED19-B096-4AF1-A402-7E4A58028579}" name="ente_federativo" dataDxfId="19"/>
    <tableColumn id="2" xr3:uid="{27DDDAA1-C42C-4B4B-BB54-A191EFF79BA2}" name="nome_pdf_pk" dataDxfId="18"/>
    <tableColumn id="3" xr3:uid="{F38140CD-B551-4031-99B5-27CCC56254DA}" name="valor_total" dataDxfId="17" dataCellStyle="Moeda"/>
    <tableColumn id="4" xr3:uid="{0C9405B9-231F-4B71-B46F-387F58243664}" name="perc_cotas_negras" dataDxfId="16" dataCellStyle="Porcentagem"/>
    <tableColumn id="5" xr3:uid="{ACEE5F56-C43E-47C7-AAEB-AF0C547665F7}" name="perc_cotas_indigenas" dataDxfId="15" dataCellStyle="Porcentagem"/>
    <tableColumn id="6" xr3:uid="{75EF5AF6-8C81-446F-859D-59E3767F7D91}" name="perc_cotas_pcd" dataDxfId="14" dataCellStyle="Porcentagem"/>
    <tableColumn id="7" xr3:uid="{3A81B480-ABB0-4CC1-AA02-9AF3CEFC44EF}" name="vagas_totais" dataDxfId="13"/>
    <tableColumn id="8" xr3:uid="{01E029BC-885D-4C4E-ADD6-9E9F6390CAE2}" name="exclusivo" dataDxfId="12"/>
    <tableColumn id="9" xr3:uid="{7D0433E3-1C97-4002-8E23-0A56FCC46729}" name="flag_cotas_negras" dataDxfId="11"/>
    <tableColumn id="10" xr3:uid="{F21B7E4E-11D8-4AAA-8ED6-5787CAF72835}" name="flag_cotas_indigenas" dataDxfId="10"/>
    <tableColumn id="11" xr3:uid="{9BF93810-3B55-4D38-8110-161B88B65FA9}" name="flag_cotas_pcd" dataDxfId="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783C03-EFEE-4C45-AE14-2BAAC584DBEF}" name="Tabela28" displayName="Tabela28" ref="A2:J5" totalsRowShown="0">
  <autoFilter ref="A2:J5" xr:uid="{32783C03-EFEE-4C45-AE14-2BAAC584DBEF}"/>
  <tableColumns count="10">
    <tableColumn id="1" xr3:uid="{A99B1D5A-AA1B-4B08-8898-6445B7125027}" name="EDITAIS"/>
    <tableColumn id="2" xr3:uid="{5AB422D2-EE9D-4CD7-A617-9C38C605D298}" name="Qtd editais"/>
    <tableColumn id="3" xr3:uid="{2E2A051E-3A19-4C3B-9F53-D8D9BDC42F03}" name="Valor total dos editais"/>
    <tableColumn id="4" xr3:uid="{6BE04414-A0F4-4C0E-9801-EC950FBC2990}" name="Qtd total vagas"/>
    <tableColumn id="5" xr3:uid="{66B65BF4-5C35-4BBC-9209-FB870322FC0F}" name="$ PN" dataDxfId="8"/>
    <tableColumn id="6" xr3:uid="{E9F7D64D-3D3E-4643-8F91-0562C1F7B384}" name="$ PI" dataDxfId="7"/>
    <tableColumn id="7" xr3:uid="{9CC36EAB-D28F-483F-951C-77E57CD26BD6}" name="$ PCD" dataDxfId="6"/>
    <tableColumn id="8" xr3:uid="{7341702F-D91E-4149-A8D0-7D92CD4963D1}" name="Vagas PN"/>
    <tableColumn id="9" xr3:uid="{06C1DB60-2BAB-4CC8-A561-7BF51FE37434}" name="Vagas PI"/>
    <tableColumn id="10" xr3:uid="{2648B12A-4501-40EF-9CD3-2C302798A883}" name="Vagas PCD"/>
  </tableColumns>
  <tableStyleInfo name="TableStyleLight1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0680777-2777-46BC-BC3C-F406E2A3BF6F}" name="Tabela39" displayName="Tabela39" ref="A9:J12" totalsRowShown="0">
  <autoFilter ref="A9:J12" xr:uid="{20680777-2777-46BC-BC3C-F406E2A3BF6F}"/>
  <tableColumns count="10">
    <tableColumn id="1" xr3:uid="{4642E686-044A-4535-B7D1-F2BCEA00FD14}" name="ESPECÍFICOS"/>
    <tableColumn id="2" xr3:uid="{206AEE8F-0FCF-4498-8798-2522D32DFA71}" name="Qtd PN" dataDxfId="5">
      <calculatedColumnFormula>SUM(B8:B9)</calculatedColumnFormula>
    </tableColumn>
    <tableColumn id="3" xr3:uid="{A42E1037-7C93-4EFD-8C07-63E9FD3F16D7}" name="Qtd PI"/>
    <tableColumn id="4" xr3:uid="{A714E597-B182-4185-9AB9-38FA7D5E46B5}" name="Qtd PCD"/>
    <tableColumn id="5" xr3:uid="{0F5034B2-5428-4BED-A03E-331FFC2908FC}" name="$ PN" dataDxfId="4"/>
    <tableColumn id="6" xr3:uid="{1B711C15-3425-4961-A37B-307E738D1164}" name="$ PI" dataDxfId="3"/>
    <tableColumn id="7" xr3:uid="{EBDCB669-5A31-4DCB-8649-DBEF80A3F4B4}" name="$ PCD" dataDxfId="2"/>
    <tableColumn id="8" xr3:uid="{A66EFFB1-950A-490D-8024-E6E26DD05015}" name="Vagas PN"/>
    <tableColumn id="9" xr3:uid="{A9B46F3B-2982-4C25-8B2A-040411F3BA3D}" name="Vagas PI"/>
    <tableColumn id="10" xr3:uid="{0332D78A-94E8-4B27-822E-732F9B6E19E3}" name="Vagas PCD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96E3BBD-4245-44A9-A358-8FE6BBEC968B}" name="Tabela410" displayName="Tabela410" ref="A16:G19" totalsRowShown="0">
  <autoFilter ref="A16:G19" xr:uid="{596E3BBD-4245-44A9-A358-8FE6BBEC968B}"/>
  <tableColumns count="7">
    <tableColumn id="1" xr3:uid="{062B7FCA-725B-4B67-A6FD-DC260735DFC0}" name="CONFORMIDADE"/>
    <tableColumn id="2" xr3:uid="{8BECE96D-F42C-4BCE-B64C-707A96CAB1F4}" name="Qtd PN conforme"/>
    <tableColumn id="3" xr3:uid="{6D0E46D3-D20F-468A-8E63-EBF438928409}" name="Qtd PN não conforme"/>
    <tableColumn id="4" xr3:uid="{A906B4BB-2BD0-487F-90E1-BBCDBBA3B23F}" name="Qtd PI conforme"/>
    <tableColumn id="5" xr3:uid="{20FB02A5-1F49-4BE3-B269-D4D89C11778E}" name="Qtd PI não conforme"/>
    <tableColumn id="6" xr3:uid="{C3F19A0A-721A-4D00-B6AE-02C2C461C3CD}" name="Qtd PCD conforme"/>
    <tableColumn id="7" xr3:uid="{E1A44423-523D-4EFD-A691-0CBA3E8CCE7B}" name="Qtd PCD não conforme"/>
  </tableColumns>
  <tableStyleInfo name="TableStyleLight1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F275AE-7758-4523-8F18-A4CD3CBF932E}" name="Tabela511" displayName="Tabela511" ref="A26:E28" totalsRowShown="0">
  <autoFilter ref="A26:E28" xr:uid="{52F275AE-7758-4523-8F18-A4CD3CBF932E}"/>
  <tableColumns count="5">
    <tableColumn id="1" xr3:uid="{E1B2B0C3-8170-4EB1-85FD-B6CF34E40016}" name="ENTE FEDERATIVO"/>
    <tableColumn id="2" xr3:uid="{89B14B7F-D0AE-4F01-AB1B-C5E23B88F71E}" name="Valor total editais"/>
    <tableColumn id="3" xr3:uid="{92A64F88-1C3B-4A0D-ABA9-FB26945FF354}" name="Valor PN"/>
    <tableColumn id="4" xr3:uid="{4E4676D2-3BC7-457E-8B31-D96CEC1DA91E}" name="Valor PI"/>
    <tableColumn id="5" xr3:uid="{5BCD2A0F-CAA3-4426-992B-1FDEAEEC8B2E}" name="Valor PCD"/>
  </tableColumns>
  <tableStyleInfo name="TableStyleLight1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2734E21-8A10-4CB7-A628-69F80AE7CC51}" name="Tabela48" displayName="Tabela48" ref="A21:G24" totalsRowShown="0">
  <autoFilter ref="A21:G24" xr:uid="{62734E21-8A10-4CB7-A628-69F80AE7CC51}"/>
  <tableColumns count="7">
    <tableColumn id="1" xr3:uid="{58A72356-79A4-41FE-97A1-645FFF24DEE5}" name="MODALIDADE (%)"/>
    <tableColumn id="2" xr3:uid="{D8FFD938-4C10-48EB-B794-7C195F4A5A37}" name="Apoio a projetos"/>
    <tableColumn id="3" xr3:uid="{4F7FA85C-C622-4926-9B19-63C55CA095E7}" name="Premiação"/>
    <tableColumn id="4" xr3:uid="{F7B8F404-C758-4641-A70C-1D37EBC2D314}" name="Bolsa"/>
    <tableColumn id="5" xr3:uid="{C090F9F1-C102-42F3-9450-BF9129EDCD68}" name="Espaços culturais"/>
    <tableColumn id="6" xr3:uid="{AC46709E-DD3C-4234-9F35-E53CF11641D3}" name="P. N. Cultura Viva"/>
    <tableColumn id="7" xr3:uid="{1C0A20AF-AA40-4EB9-A3C0-9F530DAD0776}" name="TOTAL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culturagov-my.sharepoint.com/:b:/g/personal/sniic_cultura_gov_br/IQD5jVECdXkCQbGcTEL0WhW_AQ6mxz4a8JZYy0oEFxKS6l8?e=nzt5fp" TargetMode="External"/><Relationship Id="rId18" Type="http://schemas.openxmlformats.org/officeDocument/2006/relationships/hyperlink" Target="https://culturagov-my.sharepoint.com/:b:/g/personal/sniic_cultura_gov_br/IQDyKaXdJjc6Rp4AscT-KO7JAeQ1i3Xq43QKT_r34BOUYMg?e=dngHkw" TargetMode="External"/><Relationship Id="rId26" Type="http://schemas.openxmlformats.org/officeDocument/2006/relationships/hyperlink" Target="https://culturagov-my.sharepoint.com/:b:/g/personal/sniic_cultura_gov_br/IQCHGtHIbxTQQKqzIgliXaDXAWxN5XvivxIgdKiUXlrCU-4?e=U5P25T" TargetMode="External"/><Relationship Id="rId39" Type="http://schemas.openxmlformats.org/officeDocument/2006/relationships/hyperlink" Target="https://culturagov-my.sharepoint.com/:b:/g/personal/sniic_cultura_gov_br/IQD6R35llXUkRrRhgXiM9miyAU6Od0lGYT2CVmhLOsCOMPQ?e=hoohv8" TargetMode="External"/><Relationship Id="rId21" Type="http://schemas.openxmlformats.org/officeDocument/2006/relationships/hyperlink" Target="https://culturagov-my.sharepoint.com/:b:/g/personal/sniic_cultura_gov_br/IQCvZbFT0ymxSrufwp3do362AenHFcRDdO8gsCIVhTqeuMo?e=UOMOos" TargetMode="External"/><Relationship Id="rId34" Type="http://schemas.openxmlformats.org/officeDocument/2006/relationships/hyperlink" Target="https://culturagov-my.sharepoint.com/:b:/g/personal/sniic_cultura_gov_br/IQCMjkKRZId7Srqc9TFd9iirAchApfaTlCUiEebTMpw528Y?e=WCTJWr" TargetMode="External"/><Relationship Id="rId42" Type="http://schemas.openxmlformats.org/officeDocument/2006/relationships/hyperlink" Target="https://culturagov-my.sharepoint.com/:b:/g/personal/sniic_cultura_gov_br/IQB3N7wBH0J5S5jVtiVfiV6OAeNSc7QsaniiNEWhesZ0OBQ?e=aAWhjB" TargetMode="External"/><Relationship Id="rId47" Type="http://schemas.openxmlformats.org/officeDocument/2006/relationships/hyperlink" Target="https://culturagov-my.sharepoint.com/:b:/g/personal/sniic_cultura_gov_br/IQDVw6AfwzN5To5nuL7Si_oQAXhAH_Tp0F0oCmrZwKwgS4Y?e=XhQCnE" TargetMode="External"/><Relationship Id="rId7" Type="http://schemas.openxmlformats.org/officeDocument/2006/relationships/hyperlink" Target="https://culturagov-my.sharepoint.com/:b:/g/personal/sniic_cultura_gov_br/IQB4ICtRnzIlQKsx7Q9vwVfWAWNDaloteHOYSrOh2G8r4kg?e=O7fLpV" TargetMode="External"/><Relationship Id="rId2" Type="http://schemas.openxmlformats.org/officeDocument/2006/relationships/hyperlink" Target="https://culturagov-my.sharepoint.com/:b:/g/personal/sniic_cultura_gov_br/IQBGuWOCLuPPQo0ldTojJ_2lAXM0rrw9WmVEuW7qW8m9Te4?e=Z3dVDV" TargetMode="External"/><Relationship Id="rId16" Type="http://schemas.openxmlformats.org/officeDocument/2006/relationships/hyperlink" Target="https://culturagov-my.sharepoint.com/:b:/g/personal/sniic_cultura_gov_br/IQAwEknr1ojITo_sYTeYUFmSAZC4rHp5-VEtlfyarNPiNQk?e=Y7IzI3" TargetMode="External"/><Relationship Id="rId29" Type="http://schemas.openxmlformats.org/officeDocument/2006/relationships/hyperlink" Target="https://culturagov-my.sharepoint.com/:b:/g/personal/sniic_cultura_gov_br/IQComRtccSPFQ73DkfyvTeDVAXkaW1kHxtHImLyyPRTptT0?e=tso2yD" TargetMode="External"/><Relationship Id="rId11" Type="http://schemas.openxmlformats.org/officeDocument/2006/relationships/hyperlink" Target="https://culturagov-my.sharepoint.com/:b:/g/personal/sniic_cultura_gov_br/IQDv-b-3RpXBQLiAWcooEzv7ARz1m6GMcLpUAolyvrs34-E?e=a3MuYb" TargetMode="External"/><Relationship Id="rId24" Type="http://schemas.openxmlformats.org/officeDocument/2006/relationships/hyperlink" Target="https://culturagov-my.sharepoint.com/:b:/g/personal/sniic_cultura_gov_br/IQChr1PBbH9xTZmqfODcwp9HAfQb6aPR7BoqZafiMM896sQ?e=KEsdSn" TargetMode="External"/><Relationship Id="rId32" Type="http://schemas.openxmlformats.org/officeDocument/2006/relationships/hyperlink" Target="https://culturagov-my.sharepoint.com/:b:/g/personal/sniic_cultura_gov_br/IQDpHH4dpIBMRpPGsrGTS3KIAQg4xLT-VfjwELz9GU0cnZM?e=fhxi9u" TargetMode="External"/><Relationship Id="rId37" Type="http://schemas.openxmlformats.org/officeDocument/2006/relationships/hyperlink" Target="https://culturagov-my.sharepoint.com/:b:/g/personal/sniic_cultura_gov_br/IQCbPfXnAUcORqYvbEVHmy9LAQhxAUvp5Z_rjYPbkxZXy0g?e=w0is4l" TargetMode="External"/><Relationship Id="rId40" Type="http://schemas.openxmlformats.org/officeDocument/2006/relationships/hyperlink" Target="https://culturagov-my.sharepoint.com/:b:/g/personal/sniic_cultura_gov_br/IQBN4CfOnTETSIkWPB3IR1wfAczaYYfpt3qF7E4XP2L-WBE?e=d7n3fi" TargetMode="External"/><Relationship Id="rId45" Type="http://schemas.openxmlformats.org/officeDocument/2006/relationships/hyperlink" Target="https://culturagov-my.sharepoint.com/:b:/g/personal/sniic_cultura_gov_br/IQDIPUUbWvExTpyM_AMIG_OJAYV8wr3AktGw9v_lpyoaU3g?e=taygTh" TargetMode="External"/><Relationship Id="rId5" Type="http://schemas.openxmlformats.org/officeDocument/2006/relationships/hyperlink" Target="https://culturagov-my.sharepoint.com/:b:/g/personal/sniic_cultura_gov_br/IQBCUJlyTBdjTr4gaVhbN5v8AbYbtUcsUhVdC2uZGbsuxJo?e=bpWvZw" TargetMode="External"/><Relationship Id="rId15" Type="http://schemas.openxmlformats.org/officeDocument/2006/relationships/hyperlink" Target="https://culturagov-my.sharepoint.com/:b:/g/personal/sniic_cultura_gov_br/IQCoSwD_4CqeRYFHmz-nyKlIAWFJ50qdcmhyCNRNsuc4U7Q?e=RsXDtN" TargetMode="External"/><Relationship Id="rId23" Type="http://schemas.openxmlformats.org/officeDocument/2006/relationships/hyperlink" Target="https://culturagov-my.sharepoint.com/:b:/g/personal/sniic_cultura_gov_br/IQC-WqQyfdWlT4yKA3dULDdOAXFzoBjQdBZ1dFO3hZNtdZ4?e=pXCMh4" TargetMode="External"/><Relationship Id="rId28" Type="http://schemas.openxmlformats.org/officeDocument/2006/relationships/hyperlink" Target="https://culturagov-my.sharepoint.com/:b:/g/personal/sniic_cultura_gov_br/IQDb41qUYaxpQrBu2qSNbbeCAfy1Cxub5W_5gFsAOjlqr94?e=kQrXRs" TargetMode="External"/><Relationship Id="rId36" Type="http://schemas.openxmlformats.org/officeDocument/2006/relationships/hyperlink" Target="https://culturagov-my.sharepoint.com/:b:/g/personal/sniic_cultura_gov_br/IQBvxjO5SZHzRKLBMEUQWTQaAeT2oOwWovUSRcwH-Qkrcww?e=YDQ1XF" TargetMode="External"/><Relationship Id="rId49" Type="http://schemas.openxmlformats.org/officeDocument/2006/relationships/table" Target="../tables/table10.xml"/><Relationship Id="rId10" Type="http://schemas.openxmlformats.org/officeDocument/2006/relationships/hyperlink" Target="https://culturagov-my.sharepoint.com/:b:/g/personal/sniic_cultura_gov_br/IQBdQc6pAZ-dQ4Zs9rF5vMsCATTRI31KmJpYy2EVYepV7n0?e=RvXsFL" TargetMode="External"/><Relationship Id="rId19" Type="http://schemas.openxmlformats.org/officeDocument/2006/relationships/hyperlink" Target="https://culturagov-my.sharepoint.com/:b:/g/personal/sniic_cultura_gov_br/IQCb-0r0qyRxR6YtOCDIojRTAYWYRJRxhwPcQoZBkFlnuBk?e=Wjtite" TargetMode="External"/><Relationship Id="rId31" Type="http://schemas.openxmlformats.org/officeDocument/2006/relationships/hyperlink" Target="https://culturagov-my.sharepoint.com/:b:/g/personal/sniic_cultura_gov_br/IQACB8P3oZ0NTbDKb_Y-EDf3ARKKiyp07j-OIfGLMws0jPQ?e=hwwdYq" TargetMode="External"/><Relationship Id="rId44" Type="http://schemas.openxmlformats.org/officeDocument/2006/relationships/hyperlink" Target="https://culturagov-my.sharepoint.com/:b:/g/personal/sniic_cultura_gov_br/IQBQrWEEF9OKQp3CDlXJiWxQAcP0jpJB7QHeVGoH8mAM5Sw?e=ggeeaW" TargetMode="External"/><Relationship Id="rId4" Type="http://schemas.openxmlformats.org/officeDocument/2006/relationships/hyperlink" Target="https://culturagov-my.sharepoint.com/:b:/g/personal/sniic_cultura_gov_br/IQB3oy__ftxiTIsnpJqG1ytCAdmrSs1MgSbIPqsiO5tlcl8?e=YNc21j" TargetMode="External"/><Relationship Id="rId9" Type="http://schemas.openxmlformats.org/officeDocument/2006/relationships/hyperlink" Target="https://culturagov-my.sharepoint.com/:b:/g/personal/sniic_cultura_gov_br/IQDizOkQ4e_8TKj7Yw3EJatCAYp15nELmCwIS6mOumZEkdA?e=qnHrFg" TargetMode="External"/><Relationship Id="rId14" Type="http://schemas.openxmlformats.org/officeDocument/2006/relationships/hyperlink" Target="https://culturagov-my.sharepoint.com/:b:/g/personal/sniic_cultura_gov_br/IQCGtxr2IQ_rQqZp74ZRjoZrAVWJBB8X7xbxDmUcwXwO86M?e=TZYOAc" TargetMode="External"/><Relationship Id="rId22" Type="http://schemas.openxmlformats.org/officeDocument/2006/relationships/hyperlink" Target="https://culturagov-my.sharepoint.com/:b:/g/personal/sniic_cultura_gov_br/IQCvIHuSrzlyT4SjWe539A2uAb5aIxYicK3aQsfCuS8uI7c?e=wdG1wK" TargetMode="External"/><Relationship Id="rId27" Type="http://schemas.openxmlformats.org/officeDocument/2006/relationships/hyperlink" Target="https://culturagov-my.sharepoint.com/:b:/g/personal/sniic_cultura_gov_br/IQDRIWGZge55RagWFK8S8nNyAYwHer9ngr2rigAdEENeNDY?e=1JYJqa" TargetMode="External"/><Relationship Id="rId30" Type="http://schemas.openxmlformats.org/officeDocument/2006/relationships/hyperlink" Target="https://culturagov-my.sharepoint.com/:b:/g/personal/sniic_cultura_gov_br/IQD6nMo3J6qqQoA9A6LmPSqbAXLB6RoEgnQsmVxHS_mnKGg?e=jjmDky" TargetMode="External"/><Relationship Id="rId35" Type="http://schemas.openxmlformats.org/officeDocument/2006/relationships/hyperlink" Target="https://culturagov-my.sharepoint.com/:b:/g/personal/sniic_cultura_gov_br/IQDs4moWYz0iTYRijK3ivESBAT2pXrRdsM5pfx_gEwsvJ5c?e=EQAJBE" TargetMode="External"/><Relationship Id="rId43" Type="http://schemas.openxmlformats.org/officeDocument/2006/relationships/hyperlink" Target="https://culturagov-my.sharepoint.com/:b:/g/personal/sniic_cultura_gov_br/IQDKa6NhXilKTYGjJ4cn02AKATfQ8atYncL2lG8QpY6w_kQ?e=Cf1xxJ" TargetMode="External"/><Relationship Id="rId48" Type="http://schemas.openxmlformats.org/officeDocument/2006/relationships/hyperlink" Target="https://culturagov-my.sharepoint.com/:b:/g/personal/sniic_cultura_gov_br/IQCWj2Rvv_CnTZiOnyENehUzAXdt1jBycs7A38aRBBXu6JQ?e=ilkltW" TargetMode="External"/><Relationship Id="rId8" Type="http://schemas.openxmlformats.org/officeDocument/2006/relationships/hyperlink" Target="https://culturagov-my.sharepoint.com/:b:/g/personal/sniic_cultura_gov_br/IQBOqbu2nqJWSL_l_CenszlqAdenfHUdjT3Bj3FP5m155u0?e=fr6Ei4" TargetMode="External"/><Relationship Id="rId3" Type="http://schemas.openxmlformats.org/officeDocument/2006/relationships/hyperlink" Target="https://culturagov-my.sharepoint.com/:b:/g/personal/sniic_cultura_gov_br/IQDm6525MopHQZuqYMtWm0fCAQ-FXT9a7aA5mCZB3P_2rK8?e=3ZiJu9" TargetMode="External"/><Relationship Id="rId12" Type="http://schemas.openxmlformats.org/officeDocument/2006/relationships/hyperlink" Target="https://culturagov-my.sharepoint.com/:b:/g/personal/sniic_cultura_gov_br/IQCCoSQtgTwaT7EUU8hgvlduAQr0n6J-_S9vU8DmUpaP-F8?e=tAQIhW" TargetMode="External"/><Relationship Id="rId17" Type="http://schemas.openxmlformats.org/officeDocument/2006/relationships/hyperlink" Target="https://culturagov-my.sharepoint.com/:b:/g/personal/sniic_cultura_gov_br/IQAb2I6AdatARZ1TaD3C9bVHAfBIWjmHSd7EAXJXqFCaMHA?e=AbXUEK" TargetMode="External"/><Relationship Id="rId25" Type="http://schemas.openxmlformats.org/officeDocument/2006/relationships/hyperlink" Target="https://culturagov-my.sharepoint.com/:b:/g/personal/sniic_cultura_gov_br/IQC0zu4h2nTvSbhO-7mQqg4HAWR1PQarqdtdcdPYiaHMJEw?e=jy3fxR" TargetMode="External"/><Relationship Id="rId33" Type="http://schemas.openxmlformats.org/officeDocument/2006/relationships/hyperlink" Target="https://culturagov-my.sharepoint.com/:b:/g/personal/sniic_cultura_gov_br/IQDEeApZ9C1uSKw--3O578RNAffrO3k80RFOjVoKIeK_nbw?e=gftoSh" TargetMode="External"/><Relationship Id="rId38" Type="http://schemas.openxmlformats.org/officeDocument/2006/relationships/hyperlink" Target="https://culturagov-my.sharepoint.com/:b:/g/personal/sniic_cultura_gov_br/IQAYe2uEAstoSb7rFgzekH_lAeP5nhj979Y3AfiOkefB-Lk?e=u5uzx3" TargetMode="External"/><Relationship Id="rId46" Type="http://schemas.openxmlformats.org/officeDocument/2006/relationships/hyperlink" Target="https://culturagov-my.sharepoint.com/:b:/g/personal/sniic_cultura_gov_br/IQBnoVl1tHAYS7nBpUyFuVzgAbXK170NgXEj5udxQlr92i8?e=VlY71q" TargetMode="External"/><Relationship Id="rId20" Type="http://schemas.openxmlformats.org/officeDocument/2006/relationships/hyperlink" Target="https://culturagov-my.sharepoint.com/:b:/g/personal/sniic_cultura_gov_br/IQDeYP1Gfn8ySbvYFTNrjVsXAQqXWkLOBVXWVH-eTN4s9U0?e=SRmkzk" TargetMode="External"/><Relationship Id="rId41" Type="http://schemas.openxmlformats.org/officeDocument/2006/relationships/hyperlink" Target="https://culturagov-my.sharepoint.com/:b:/g/personal/sniic_cultura_gov_br/IQDqZzMdYjBmRoNUpT7Ye_r8AVPwED_7cT3yDSl5rE0z8cQ?e=tJezGS" TargetMode="External"/><Relationship Id="rId1" Type="http://schemas.openxmlformats.org/officeDocument/2006/relationships/hyperlink" Target="https://culturagov-my.sharepoint.com/:b:/g/personal/sniic_cultura_gov_br/IQAXLjDoBwCNSb_I_FlZpaj-AZqePczEm-Lz_la5gyBIIL4?e=ZK2Kml" TargetMode="External"/><Relationship Id="rId6" Type="http://schemas.openxmlformats.org/officeDocument/2006/relationships/hyperlink" Target="https://culturagov-my.sharepoint.com/:b:/g/personal/sniic_cultura_gov_br/IQCoKQntJoioTbxA7dxp0GyMAetaZB3ELaWV_-Uax9XjEp8?e=osctp8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hyperlink" Target="https://culturagov-my.sharepoint.com/:b:/g/personal/sniic_cultura_gov_br/IQBeRA0cPkqmRq5dP1t_OLguAfDoB8vXFBR2wFF4bINSdX8?e=4Kb70t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culturagov-my.sharepoint.com/:b:/g/personal/sniic_cultura_gov_br/IQCHdlf5mLKqQYSWU-KfhKhiAUkihP2xxYz546pIKFTbYRU?e=xXQ8dc" TargetMode="External"/><Relationship Id="rId1" Type="http://schemas.openxmlformats.org/officeDocument/2006/relationships/hyperlink" Target="https://culturagov-my.sharepoint.com/:b:/g/personal/sniic_cultura_gov_br/IQCSx4qWLLyQS4LVRkFV1xrKAWtIgwm9DvkvdPnws_FEczo?e=cNL0z7" TargetMode="External"/><Relationship Id="rId6" Type="http://schemas.openxmlformats.org/officeDocument/2006/relationships/hyperlink" Target="https://culturagov-my.sharepoint.com/:b:/g/personal/sniic_cultura_gov_br/IQCHdlf5mLKqQYSWU-KfhKhiAUkihP2xxYz546pIKFTbYRU?e=xXQ8dc" TargetMode="External"/><Relationship Id="rId5" Type="http://schemas.openxmlformats.org/officeDocument/2006/relationships/hyperlink" Target="https://culturagov-my.sharepoint.com/:b:/g/personal/sniic_cultura_gov_br/IQCSx4qWLLyQS4LVRkFV1xrKAWtIgwm9DvkvdPnws_FEczo?e=cNL0z7" TargetMode="External"/><Relationship Id="rId4" Type="http://schemas.openxmlformats.org/officeDocument/2006/relationships/hyperlink" Target="https://culturagov-my.sharepoint.com/:b:/g/personal/sniic_cultura_gov_br/IQBeRA0cPkqmRq5dP1t_OLguAfDoB8vXFBR2wFF4bINSdX8?e=4Kb70t" TargetMode="External"/><Relationship Id="rId9" Type="http://schemas.openxmlformats.org/officeDocument/2006/relationships/comments" Target="../comments1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hyperlink" Target="https://culturagov-my.sharepoint.com/:b:/g/personal/sniic_cultura_gov_br/IQBeRA0cPkqmRq5dP1t_OLguAfDoB8vXFBR2wFF4bINSdX8?e=4Kb70t" TargetMode="External"/><Relationship Id="rId7" Type="http://schemas.openxmlformats.org/officeDocument/2006/relationships/vmlDrawing" Target="../drawings/vmlDrawing2.vml"/><Relationship Id="rId2" Type="http://schemas.openxmlformats.org/officeDocument/2006/relationships/hyperlink" Target="https://culturagov-my.sharepoint.com/:b:/g/personal/sniic_cultura_gov_br/IQCHdlf5mLKqQYSWU-KfhKhiAUkihP2xxYz546pIKFTbYRU?e=xXQ8dc" TargetMode="External"/><Relationship Id="rId1" Type="http://schemas.openxmlformats.org/officeDocument/2006/relationships/hyperlink" Target="https://culturagov-my.sharepoint.com/:b:/g/personal/sniic_cultura_gov_br/IQCSx4qWLLyQS4LVRkFV1xrKAWtIgwm9DvkvdPnws_FEczo?e=cNL0z7" TargetMode="External"/><Relationship Id="rId6" Type="http://schemas.openxmlformats.org/officeDocument/2006/relationships/hyperlink" Target="https://culturagov-my.sharepoint.com/:b:/g/personal/sniic_cultura_gov_br/IQCHdlf5mLKqQYSWU-KfhKhiAUkihP2xxYz546pIKFTbYRU?e=xXQ8dc" TargetMode="External"/><Relationship Id="rId5" Type="http://schemas.openxmlformats.org/officeDocument/2006/relationships/hyperlink" Target="https://culturagov-my.sharepoint.com/:b:/g/personal/sniic_cultura_gov_br/IQCSx4qWLLyQS4LVRkFV1xrKAWtIgwm9DvkvdPnws_FEczo?e=cNL0z7" TargetMode="External"/><Relationship Id="rId4" Type="http://schemas.openxmlformats.org/officeDocument/2006/relationships/hyperlink" Target="https://culturagov-my.sharepoint.com/:b:/g/personal/sniic_cultura_gov_br/IQBeRA0cPkqmRq5dP1t_OLguAfDoB8vXFBR2wFF4bINSdX8?e=4Kb70t" TargetMode="External"/><Relationship Id="rId9" Type="http://schemas.openxmlformats.org/officeDocument/2006/relationships/comments" Target="../comments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049E9-B3F8-491A-99E2-B242FEA2B2E1}">
  <dimension ref="A3:B22"/>
  <sheetViews>
    <sheetView workbookViewId="0">
      <selection activeCell="C20" sqref="C20"/>
    </sheetView>
  </sheetViews>
  <sheetFormatPr defaultRowHeight="14.5"/>
  <cols>
    <col min="1" max="1" width="51.453125" bestFit="1" customWidth="1"/>
    <col min="2" max="2" width="22.54296875" bestFit="1" customWidth="1"/>
  </cols>
  <sheetData>
    <row r="3" spans="1:2">
      <c r="A3" s="66" t="s">
        <v>0</v>
      </c>
      <c r="B3" t="s">
        <v>1</v>
      </c>
    </row>
    <row r="4" spans="1:2">
      <c r="A4" s="67" t="s">
        <v>2</v>
      </c>
      <c r="B4" s="124">
        <v>4</v>
      </c>
    </row>
    <row r="5" spans="1:2">
      <c r="A5" s="67" t="s">
        <v>3</v>
      </c>
      <c r="B5" s="124">
        <v>6</v>
      </c>
    </row>
    <row r="6" spans="1:2">
      <c r="A6" s="67" t="s">
        <v>4</v>
      </c>
      <c r="B6" s="124">
        <v>7</v>
      </c>
    </row>
    <row r="7" spans="1:2">
      <c r="A7" s="67" t="s">
        <v>5</v>
      </c>
      <c r="B7" s="124">
        <v>1</v>
      </c>
    </row>
    <row r="8" spans="1:2">
      <c r="A8" s="67" t="s">
        <v>6</v>
      </c>
      <c r="B8" s="124">
        <v>11</v>
      </c>
    </row>
    <row r="9" spans="1:2">
      <c r="A9" s="67" t="s">
        <v>7</v>
      </c>
      <c r="B9" s="124">
        <v>1</v>
      </c>
    </row>
    <row r="10" spans="1:2">
      <c r="A10" s="67" t="s">
        <v>8</v>
      </c>
      <c r="B10" s="124">
        <v>2</v>
      </c>
    </row>
    <row r="11" spans="1:2">
      <c r="A11" s="67" t="s">
        <v>9</v>
      </c>
      <c r="B11" s="124">
        <v>1</v>
      </c>
    </row>
    <row r="12" spans="1:2">
      <c r="A12" s="67" t="s">
        <v>10</v>
      </c>
      <c r="B12" s="124">
        <v>3</v>
      </c>
    </row>
    <row r="13" spans="1:2">
      <c r="A13" s="67" t="s">
        <v>11</v>
      </c>
      <c r="B13" s="124">
        <v>2</v>
      </c>
    </row>
    <row r="14" spans="1:2">
      <c r="A14" s="67" t="s">
        <v>12</v>
      </c>
      <c r="B14" s="124">
        <v>12</v>
      </c>
    </row>
    <row r="15" spans="1:2">
      <c r="A15" s="67" t="s">
        <v>13</v>
      </c>
      <c r="B15" s="124">
        <v>16</v>
      </c>
    </row>
    <row r="16" spans="1:2">
      <c r="A16" s="67" t="s">
        <v>14</v>
      </c>
      <c r="B16" s="124">
        <v>3</v>
      </c>
    </row>
    <row r="17" spans="1:2">
      <c r="A17" s="67" t="s">
        <v>15</v>
      </c>
      <c r="B17" s="124"/>
    </row>
    <row r="18" spans="1:2">
      <c r="A18" s="67" t="s">
        <v>16</v>
      </c>
      <c r="B18" s="124">
        <v>4</v>
      </c>
    </row>
    <row r="19" spans="1:2">
      <c r="A19" s="67" t="s">
        <v>17</v>
      </c>
      <c r="B19" s="124">
        <v>2</v>
      </c>
    </row>
    <row r="20" spans="1:2">
      <c r="A20" s="67" t="s">
        <v>18</v>
      </c>
      <c r="B20" s="124">
        <v>1</v>
      </c>
    </row>
    <row r="21" spans="1:2">
      <c r="A21" s="67" t="s">
        <v>19</v>
      </c>
      <c r="B21" s="124">
        <v>3</v>
      </c>
    </row>
    <row r="22" spans="1:2">
      <c r="A22" s="125" t="s">
        <v>20</v>
      </c>
      <c r="B22" s="124">
        <v>79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171CC-895B-445D-91C3-AE7A376C2320}">
  <dimension ref="A3:M15"/>
  <sheetViews>
    <sheetView workbookViewId="0">
      <selection activeCell="A12" sqref="A12:E15"/>
    </sheetView>
  </sheetViews>
  <sheetFormatPr defaultRowHeight="14.5"/>
  <cols>
    <col min="1" max="1" width="17" bestFit="1" customWidth="1"/>
    <col min="2" max="2" width="20.453125" bestFit="1" customWidth="1"/>
    <col min="3" max="3" width="27.1796875" bestFit="1" customWidth="1"/>
    <col min="4" max="4" width="19.54296875" bestFit="1" customWidth="1"/>
    <col min="5" max="5" width="17.7265625" bestFit="1" customWidth="1"/>
    <col min="6" max="6" width="16.54296875" bestFit="1" customWidth="1"/>
    <col min="7" max="7" width="19" bestFit="1" customWidth="1"/>
    <col min="8" max="8" width="14" bestFit="1" customWidth="1"/>
    <col min="9" max="9" width="11.26953125" bestFit="1" customWidth="1"/>
    <col min="10" max="10" width="17.54296875" bestFit="1" customWidth="1"/>
    <col min="11" max="11" width="20" bestFit="1" customWidth="1"/>
    <col min="12" max="12" width="15" bestFit="1" customWidth="1"/>
    <col min="13" max="13" width="24.453125" bestFit="1" customWidth="1"/>
  </cols>
  <sheetData>
    <row r="3" spans="1:13" s="108" customFormat="1" ht="15" customHeight="1">
      <c r="A3" s="117" t="s">
        <v>0</v>
      </c>
      <c r="B3" s="108" t="s">
        <v>21</v>
      </c>
      <c r="C3" t="s">
        <v>22</v>
      </c>
      <c r="D3" s="108" t="s">
        <v>23</v>
      </c>
      <c r="E3" s="108" t="s">
        <v>24</v>
      </c>
      <c r="F3" s="108" t="s">
        <v>25</v>
      </c>
      <c r="G3" s="108" t="s">
        <v>26</v>
      </c>
      <c r="H3" s="108" t="s">
        <v>27</v>
      </c>
      <c r="I3" s="108" t="s">
        <v>28</v>
      </c>
      <c r="J3" s="108" t="s">
        <v>29</v>
      </c>
      <c r="K3" s="108" t="s">
        <v>30</v>
      </c>
      <c r="L3" s="108" t="s">
        <v>31</v>
      </c>
      <c r="M3" s="108" t="s">
        <v>32</v>
      </c>
    </row>
    <row r="4" spans="1:13">
      <c r="A4" s="67" t="s">
        <v>33</v>
      </c>
      <c r="B4" s="68">
        <v>269745442.81</v>
      </c>
      <c r="C4" s="68">
        <v>62972194.563546516</v>
      </c>
      <c r="D4" s="68">
        <v>25798306.397208352</v>
      </c>
      <c r="E4" s="68">
        <v>12395782.150233855</v>
      </c>
      <c r="F4" s="93">
        <v>0.24925170068027216</v>
      </c>
      <c r="G4" s="93">
        <v>0.10764149659863928</v>
      </c>
      <c r="H4" s="93">
        <v>6.0718367346938744E-2</v>
      </c>
      <c r="I4">
        <v>6470</v>
      </c>
      <c r="J4">
        <v>1659</v>
      </c>
      <c r="K4">
        <v>701</v>
      </c>
      <c r="L4">
        <v>365</v>
      </c>
      <c r="M4">
        <v>147</v>
      </c>
    </row>
    <row r="5" spans="1:13">
      <c r="A5" s="67" t="s">
        <v>34</v>
      </c>
      <c r="B5" s="68">
        <v>1353882736.3000002</v>
      </c>
      <c r="C5" s="68">
        <v>353801832.44465744</v>
      </c>
      <c r="D5" s="68">
        <v>150043152.55587509</v>
      </c>
      <c r="E5" s="68">
        <v>79943249.926572248</v>
      </c>
      <c r="F5" s="93">
        <v>0.26464985673352437</v>
      </c>
      <c r="G5" s="93">
        <v>0.12956532951289473</v>
      </c>
      <c r="H5" s="93">
        <v>6.3424961684547532E-2</v>
      </c>
      <c r="I5">
        <v>25973</v>
      </c>
      <c r="J5">
        <v>6749</v>
      </c>
      <c r="K5">
        <v>3163</v>
      </c>
      <c r="L5">
        <v>1531</v>
      </c>
      <c r="M5">
        <v>349</v>
      </c>
    </row>
    <row r="6" spans="1:13">
      <c r="A6" s="67" t="s">
        <v>20</v>
      </c>
      <c r="B6" s="68">
        <v>1623628179.1099999</v>
      </c>
      <c r="C6" s="68">
        <v>416774027.00820374</v>
      </c>
      <c r="D6" s="68">
        <v>175841458.95308352</v>
      </c>
      <c r="E6" s="68">
        <v>92339032.076806098</v>
      </c>
      <c r="F6" s="93">
        <v>0.26008629032258079</v>
      </c>
      <c r="G6" s="93">
        <v>0.1230677419354845</v>
      </c>
      <c r="H6" s="93">
        <v>6.2622805701425741E-2</v>
      </c>
      <c r="I6">
        <v>32443</v>
      </c>
      <c r="J6">
        <v>8408</v>
      </c>
      <c r="K6">
        <v>3864</v>
      </c>
      <c r="L6">
        <v>1896</v>
      </c>
      <c r="M6">
        <v>496</v>
      </c>
    </row>
    <row r="12" spans="1:13" ht="43.5">
      <c r="A12" s="118" t="s">
        <v>0</v>
      </c>
      <c r="B12" s="118" t="s">
        <v>28</v>
      </c>
      <c r="C12" s="118" t="s">
        <v>29</v>
      </c>
      <c r="D12" s="118" t="s">
        <v>30</v>
      </c>
      <c r="E12" s="118" t="s">
        <v>31</v>
      </c>
    </row>
    <row r="13" spans="1:13">
      <c r="A13" s="120" t="s">
        <v>33</v>
      </c>
      <c r="B13" s="119">
        <v>6470</v>
      </c>
      <c r="C13" s="119">
        <v>1659</v>
      </c>
      <c r="D13" s="119">
        <v>701</v>
      </c>
      <c r="E13" s="119">
        <v>365</v>
      </c>
    </row>
    <row r="14" spans="1:13">
      <c r="A14" s="120" t="s">
        <v>34</v>
      </c>
      <c r="B14" s="119">
        <v>25973</v>
      </c>
      <c r="C14" s="119">
        <v>6749</v>
      </c>
      <c r="D14" s="119">
        <v>3163</v>
      </c>
      <c r="E14" s="119">
        <v>1531</v>
      </c>
    </row>
    <row r="15" spans="1:13">
      <c r="A15" s="70" t="s">
        <v>20</v>
      </c>
      <c r="B15" s="71">
        <v>32443</v>
      </c>
      <c r="C15" s="71">
        <v>8408</v>
      </c>
      <c r="D15" s="71">
        <v>3864</v>
      </c>
      <c r="E15" s="71">
        <v>1896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7F991-172E-4095-BE5C-327AD20FD377}">
  <dimension ref="A1:B26"/>
  <sheetViews>
    <sheetView topLeftCell="A18" workbookViewId="0">
      <selection activeCell="A21" sqref="A21:A25"/>
    </sheetView>
  </sheetViews>
  <sheetFormatPr defaultColWidth="10.81640625" defaultRowHeight="14.5"/>
  <cols>
    <col min="1" max="1" width="28.26953125" bestFit="1" customWidth="1"/>
    <col min="2" max="2" width="17.81640625" bestFit="1" customWidth="1"/>
    <col min="3" max="3" width="21.54296875" bestFit="1" customWidth="1"/>
    <col min="4" max="4" width="22.453125" bestFit="1" customWidth="1"/>
    <col min="5" max="5" width="27.453125" bestFit="1" customWidth="1"/>
    <col min="6" max="6" width="24.81640625" bestFit="1" customWidth="1"/>
    <col min="7" max="7" width="19.1796875" bestFit="1" customWidth="1"/>
    <col min="8" max="8" width="22.81640625" bestFit="1" customWidth="1"/>
    <col min="9" max="9" width="27.81640625" bestFit="1" customWidth="1"/>
    <col min="10" max="10" width="25.453125" bestFit="1" customWidth="1"/>
    <col min="11" max="11" width="15" bestFit="1" customWidth="1"/>
  </cols>
  <sheetData>
    <row r="1" spans="1:2">
      <c r="A1" s="66" t="s">
        <v>35</v>
      </c>
      <c r="B1" t="s">
        <v>33</v>
      </c>
    </row>
    <row r="3" spans="1:2">
      <c r="A3" s="66" t="s">
        <v>0</v>
      </c>
      <c r="B3" t="s">
        <v>21</v>
      </c>
    </row>
    <row r="4" spans="1:2">
      <c r="A4" s="67" t="s">
        <v>36</v>
      </c>
      <c r="B4" s="68">
        <v>2506000</v>
      </c>
    </row>
    <row r="5" spans="1:2">
      <c r="A5" s="67" t="s">
        <v>37</v>
      </c>
      <c r="B5" s="68">
        <v>76251808.25</v>
      </c>
    </row>
    <row r="6" spans="1:2">
      <c r="A6" s="67" t="s">
        <v>38</v>
      </c>
      <c r="B6" s="68">
        <v>163826520.06999999</v>
      </c>
    </row>
    <row r="7" spans="1:2">
      <c r="A7" s="67" t="s">
        <v>39</v>
      </c>
      <c r="B7" s="68">
        <v>19237236.890000001</v>
      </c>
    </row>
    <row r="8" spans="1:2">
      <c r="A8" s="67" t="s">
        <v>40</v>
      </c>
      <c r="B8" s="68">
        <v>7923877.5999999996</v>
      </c>
    </row>
    <row r="9" spans="1:2">
      <c r="A9" s="67" t="s">
        <v>20</v>
      </c>
      <c r="B9" s="68">
        <v>269745442.81</v>
      </c>
    </row>
    <row r="20" spans="1:2">
      <c r="A20" s="69" t="s">
        <v>0</v>
      </c>
      <c r="B20" s="69" t="s">
        <v>21</v>
      </c>
    </row>
    <row r="21" spans="1:2">
      <c r="A21" s="67" t="s">
        <v>36</v>
      </c>
      <c r="B21" s="68">
        <f>GETPIVOTDATA("valor_total",$A$3,"tipo_edital","BOLSA")</f>
        <v>2506000</v>
      </c>
    </row>
    <row r="22" spans="1:2">
      <c r="A22" s="67" t="s">
        <v>37</v>
      </c>
      <c r="B22" s="68">
        <f>GETPIVOTDATA("valor_total",$A$3,"tipo_edital","CULTURA VIVA")</f>
        <v>76251808.25</v>
      </c>
    </row>
    <row r="23" spans="1:2">
      <c r="A23" s="67" t="s">
        <v>41</v>
      </c>
      <c r="B23" s="68">
        <f>GETPIVOTDATA("valor_total",$A$3,"tipo_edital","FOMENTO")</f>
        <v>163826520.06999999</v>
      </c>
    </row>
    <row r="24" spans="1:2">
      <c r="A24" s="67" t="s">
        <v>42</v>
      </c>
      <c r="B24" s="68">
        <f>GETPIVOTDATA("valor_total",$A$3,"tipo_edital","PRÊMIO")</f>
        <v>19237236.890000001</v>
      </c>
    </row>
    <row r="25" spans="1:2">
      <c r="A25" s="67" t="s">
        <v>43</v>
      </c>
      <c r="B25" s="68">
        <f>GETPIVOTDATA("valor_total",$A$3,"tipo_edital","SUBSÍDIO")</f>
        <v>7923877.5999999996</v>
      </c>
    </row>
    <row r="26" spans="1:2">
      <c r="A26" s="70" t="s">
        <v>20</v>
      </c>
      <c r="B26" s="121">
        <f>GETPIVOTDATA("valor_total",$A$3)</f>
        <v>269745442.81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D924-443E-7947-BC03-7C78773B16F6}">
  <dimension ref="A1:B26"/>
  <sheetViews>
    <sheetView topLeftCell="A19" workbookViewId="0">
      <selection activeCell="F27" sqref="F27"/>
    </sheetView>
  </sheetViews>
  <sheetFormatPr defaultColWidth="10.81640625" defaultRowHeight="14.5"/>
  <cols>
    <col min="1" max="1" width="28.26953125" bestFit="1" customWidth="1"/>
    <col min="2" max="2" width="19" bestFit="1" customWidth="1"/>
    <col min="3" max="3" width="21.54296875" bestFit="1" customWidth="1"/>
    <col min="4" max="4" width="22.453125" bestFit="1" customWidth="1"/>
    <col min="5" max="5" width="27.453125" bestFit="1" customWidth="1"/>
    <col min="6" max="6" width="24.81640625" bestFit="1" customWidth="1"/>
    <col min="7" max="7" width="19.1796875" bestFit="1" customWidth="1"/>
    <col min="8" max="8" width="22.81640625" bestFit="1" customWidth="1"/>
    <col min="9" max="9" width="27.81640625" bestFit="1" customWidth="1"/>
    <col min="10" max="10" width="25.453125" bestFit="1" customWidth="1"/>
    <col min="11" max="11" width="15" bestFit="1" customWidth="1"/>
  </cols>
  <sheetData>
    <row r="1" spans="1:2">
      <c r="A1" s="66" t="s">
        <v>35</v>
      </c>
      <c r="B1" t="s">
        <v>34</v>
      </c>
    </row>
    <row r="3" spans="1:2">
      <c r="A3" s="66" t="s">
        <v>0</v>
      </c>
      <c r="B3" t="s">
        <v>21</v>
      </c>
    </row>
    <row r="4" spans="1:2">
      <c r="A4" s="67" t="s">
        <v>36</v>
      </c>
      <c r="B4" s="68">
        <v>21233500</v>
      </c>
    </row>
    <row r="5" spans="1:2">
      <c r="A5" s="67" t="s">
        <v>37</v>
      </c>
      <c r="B5" s="68">
        <v>202018127.55000001</v>
      </c>
    </row>
    <row r="6" spans="1:2">
      <c r="A6" s="67" t="s">
        <v>38</v>
      </c>
      <c r="B6" s="68">
        <v>874084072.76999998</v>
      </c>
    </row>
    <row r="7" spans="1:2">
      <c r="A7" s="67" t="s">
        <v>39</v>
      </c>
      <c r="B7" s="68">
        <v>122232327.33999999</v>
      </c>
    </row>
    <row r="8" spans="1:2">
      <c r="A8" s="67" t="s">
        <v>40</v>
      </c>
      <c r="B8" s="68">
        <v>134314708.63999999</v>
      </c>
    </row>
    <row r="9" spans="1:2">
      <c r="A9" s="67" t="s">
        <v>20</v>
      </c>
      <c r="B9" s="68">
        <v>1353882736.2999997</v>
      </c>
    </row>
    <row r="20" spans="1:2">
      <c r="A20" s="69" t="s">
        <v>0</v>
      </c>
      <c r="B20" s="69" t="s">
        <v>21</v>
      </c>
    </row>
    <row r="21" spans="1:2">
      <c r="A21" s="67" t="s">
        <v>36</v>
      </c>
      <c r="B21" s="68">
        <f>GETPIVOTDATA("valor_total",$A$3,"tipo_edital","BOLSA")</f>
        <v>21233500</v>
      </c>
    </row>
    <row r="22" spans="1:2">
      <c r="A22" s="67" t="s">
        <v>37</v>
      </c>
      <c r="B22" s="68">
        <f>GETPIVOTDATA("valor_total",$A$3,"tipo_edital","CULTURA VIVA")</f>
        <v>202018127.55000001</v>
      </c>
    </row>
    <row r="23" spans="1:2">
      <c r="A23" s="67" t="s">
        <v>41</v>
      </c>
      <c r="B23" s="68">
        <f>GETPIVOTDATA("valor_total",$A$3,"tipo_edital","FOMENTO")</f>
        <v>874084072.76999998</v>
      </c>
    </row>
    <row r="24" spans="1:2">
      <c r="A24" s="67" t="s">
        <v>42</v>
      </c>
      <c r="B24" s="68">
        <f>GETPIVOTDATA("valor_total",$A$3,"tipo_edital","PRÊMIO")</f>
        <v>122232327.33999999</v>
      </c>
    </row>
    <row r="25" spans="1:2">
      <c r="A25" s="67" t="s">
        <v>43</v>
      </c>
      <c r="B25" s="68">
        <f>GETPIVOTDATA("valor_total",$A$3,"tipo_edital","SUBSÍDIO")</f>
        <v>134314708.63999999</v>
      </c>
    </row>
    <row r="26" spans="1:2">
      <c r="A26" s="70" t="s">
        <v>20</v>
      </c>
      <c r="B26" s="121">
        <f>GETPIVOTDATA("valor_total",$A$3)</f>
        <v>1353882736.2999997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BAA7A-F683-4486-8607-E2914C59E370}">
  <dimension ref="A1:Q6"/>
  <sheetViews>
    <sheetView zoomScale="57" zoomScaleNormal="57" workbookViewId="0"/>
  </sheetViews>
  <sheetFormatPr defaultColWidth="10.81640625" defaultRowHeight="14.5"/>
  <cols>
    <col min="1" max="1" width="24.54296875" customWidth="1"/>
    <col min="2" max="2" width="21.81640625" style="82" customWidth="1"/>
    <col min="3" max="3" width="24.453125" style="82" customWidth="1"/>
    <col min="4" max="4" width="20.54296875" customWidth="1"/>
    <col min="5" max="5" width="31.7265625" style="82" customWidth="1"/>
    <col min="6" max="6" width="24.453125" style="45" customWidth="1"/>
    <col min="7" max="7" width="27.81640625" style="84" customWidth="1"/>
    <col min="8" max="8" width="20.54296875" customWidth="1"/>
    <col min="11" max="11" width="17.453125" bestFit="1" customWidth="1"/>
    <col min="12" max="12" width="20.54296875" bestFit="1" customWidth="1"/>
    <col min="13" max="13" width="25.453125" bestFit="1" customWidth="1"/>
    <col min="14" max="14" width="23" bestFit="1" customWidth="1"/>
    <col min="15" max="15" width="13" style="45" bestFit="1" customWidth="1"/>
    <col min="16" max="16" width="23.1796875" style="45" bestFit="1" customWidth="1"/>
    <col min="17" max="17" width="20.54296875" style="45" bestFit="1" customWidth="1"/>
  </cols>
  <sheetData>
    <row r="1" spans="1:17">
      <c r="A1" s="86" t="s">
        <v>44</v>
      </c>
    </row>
    <row r="2" spans="1:17" s="82" customFormat="1">
      <c r="A2" s="103" t="s">
        <v>45</v>
      </c>
      <c r="B2" s="45" t="e">
        <f>C2/B6</f>
        <v>#REF!</v>
      </c>
      <c r="C2" s="104" t="e">
        <f>GETPIVOTDATA("Soma de valor_cotas_negras",td_editais_estados!$A$3)</f>
        <v>#REF!</v>
      </c>
      <c r="D2"/>
      <c r="F2" s="45"/>
      <c r="G2" s="84"/>
      <c r="H2"/>
      <c r="I2"/>
      <c r="J2"/>
      <c r="K2"/>
      <c r="L2"/>
      <c r="M2"/>
      <c r="N2"/>
      <c r="O2" s="45"/>
      <c r="P2" s="45"/>
      <c r="Q2" s="45"/>
    </row>
    <row r="3" spans="1:17" s="82" customFormat="1">
      <c r="A3" s="103" t="s">
        <v>46</v>
      </c>
      <c r="B3" s="45" t="e">
        <f>C3/B6</f>
        <v>#REF!</v>
      </c>
      <c r="C3" s="104" t="e">
        <f>GETPIVOTDATA("Soma de valor_cotas_indigenas",td_editais_estados!$A$3)</f>
        <v>#REF!</v>
      </c>
      <c r="D3"/>
      <c r="F3" s="45"/>
      <c r="G3" s="84"/>
      <c r="H3"/>
      <c r="I3"/>
      <c r="J3"/>
      <c r="K3"/>
      <c r="L3"/>
      <c r="M3"/>
      <c r="N3"/>
      <c r="O3" s="45"/>
      <c r="P3" s="45"/>
      <c r="Q3" s="45"/>
    </row>
    <row r="4" spans="1:17" s="82" customFormat="1">
      <c r="A4" s="103" t="s">
        <v>47</v>
      </c>
      <c r="B4" s="45" t="e">
        <f>C4/B6</f>
        <v>#REF!</v>
      </c>
      <c r="C4" s="104" t="e">
        <f>GETPIVOTDATA("Soma de valor_cotas_pcd",td_editais_estados!$A$3)</f>
        <v>#REF!</v>
      </c>
      <c r="D4"/>
      <c r="F4" s="45"/>
      <c r="G4" s="84"/>
      <c r="H4"/>
      <c r="I4"/>
      <c r="J4"/>
      <c r="K4"/>
      <c r="L4"/>
      <c r="M4"/>
      <c r="N4"/>
      <c r="O4" s="45"/>
      <c r="P4" s="45"/>
      <c r="Q4" s="45"/>
    </row>
    <row r="5" spans="1:17" s="82" customFormat="1">
      <c r="A5" s="103" t="s">
        <v>48</v>
      </c>
      <c r="B5" s="45" t="e">
        <f>C5/B6</f>
        <v>#REF!</v>
      </c>
      <c r="C5" s="104" t="e">
        <f>GETPIVOTDATA("Soma de valor_total",td_editais_estados!$A$3)-SUM(agg_cotas_geral!C2:C4)</f>
        <v>#REF!</v>
      </c>
      <c r="D5"/>
      <c r="F5" s="45"/>
      <c r="G5" s="84"/>
      <c r="H5"/>
      <c r="I5"/>
      <c r="J5"/>
      <c r="K5"/>
      <c r="L5"/>
      <c r="M5"/>
      <c r="N5"/>
      <c r="O5" s="45"/>
      <c r="P5" s="45"/>
      <c r="Q5" s="45"/>
    </row>
    <row r="6" spans="1:17" s="82" customFormat="1">
      <c r="A6"/>
      <c r="B6" s="82" t="e">
        <f>SUM(C2:C5)</f>
        <v>#REF!</v>
      </c>
      <c r="C6" s="93" t="e">
        <f>SUM(B2:B5)</f>
        <v>#REF!</v>
      </c>
      <c r="D6"/>
      <c r="F6" s="45"/>
      <c r="G6" s="84"/>
      <c r="H6"/>
      <c r="I6"/>
      <c r="J6"/>
      <c r="K6"/>
      <c r="L6"/>
      <c r="M6"/>
      <c r="N6"/>
      <c r="O6" s="45"/>
      <c r="P6" s="45"/>
      <c r="Q6" s="4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B62C6-FF56-3848-8D8F-D143159B810E}">
  <dimension ref="A1:Q67"/>
  <sheetViews>
    <sheetView topLeftCell="A23" zoomScale="70" zoomScaleNormal="70" workbookViewId="0">
      <selection activeCell="M54" sqref="M54"/>
    </sheetView>
  </sheetViews>
  <sheetFormatPr defaultColWidth="10.81640625" defaultRowHeight="14.5"/>
  <cols>
    <col min="1" max="1" width="20.453125" customWidth="1"/>
    <col min="2" max="2" width="17.453125" bestFit="1" customWidth="1"/>
    <col min="3" max="3" width="19.54296875" bestFit="1" customWidth="1"/>
    <col min="4" max="4" width="20.453125" bestFit="1" customWidth="1"/>
    <col min="5" max="5" width="25.1796875" bestFit="1" customWidth="1"/>
    <col min="6" max="6" width="22.81640625" bestFit="1" customWidth="1"/>
    <col min="7" max="9" width="22.81640625" style="45" customWidth="1"/>
    <col min="10" max="10" width="17.453125" bestFit="1" customWidth="1"/>
    <col min="11" max="11" width="17.453125" customWidth="1"/>
    <col min="12" max="12" width="20.54296875" bestFit="1" customWidth="1"/>
    <col min="13" max="13" width="25.453125" bestFit="1" customWidth="1"/>
    <col min="14" max="14" width="23" bestFit="1" customWidth="1"/>
    <col min="15" max="15" width="12.453125" bestFit="1" customWidth="1"/>
    <col min="16" max="16" width="17" bestFit="1" customWidth="1"/>
    <col min="17" max="17" width="15.1796875" bestFit="1" customWidth="1"/>
  </cols>
  <sheetData>
    <row r="1" spans="1:17" s="108" customFormat="1" ht="29">
      <c r="A1" s="110" t="s">
        <v>0</v>
      </c>
      <c r="B1" s="110" t="s">
        <v>21</v>
      </c>
      <c r="C1" s="110" t="s">
        <v>49</v>
      </c>
      <c r="D1" s="110" t="s">
        <v>24</v>
      </c>
      <c r="E1" s="110" t="s">
        <v>23</v>
      </c>
      <c r="F1" s="110" t="s">
        <v>22</v>
      </c>
      <c r="G1" s="111" t="s">
        <v>50</v>
      </c>
      <c r="H1" s="111" t="s">
        <v>51</v>
      </c>
      <c r="I1" s="111" t="s">
        <v>52</v>
      </c>
      <c r="J1" s="110" t="s">
        <v>28</v>
      </c>
      <c r="K1" s="116"/>
      <c r="L1" s="110" t="s">
        <v>31</v>
      </c>
      <c r="M1" s="110" t="s">
        <v>30</v>
      </c>
      <c r="N1" s="110" t="s">
        <v>29</v>
      </c>
      <c r="O1" s="111" t="s">
        <v>53</v>
      </c>
      <c r="P1" s="111" t="s">
        <v>51</v>
      </c>
      <c r="Q1" s="111" t="s">
        <v>52</v>
      </c>
    </row>
    <row r="2" spans="1:17">
      <c r="A2" s="74" t="s">
        <v>54</v>
      </c>
      <c r="B2" s="75">
        <v>3800085.32</v>
      </c>
      <c r="C2" s="76">
        <v>197840.44330000001</v>
      </c>
      <c r="D2" s="75">
        <v>148507.10999999999</v>
      </c>
      <c r="E2" s="75">
        <v>349507.11</v>
      </c>
      <c r="F2" s="75">
        <v>847521.33</v>
      </c>
      <c r="G2" s="80">
        <f>D2/$B2</f>
        <v>3.9079940973535822E-2</v>
      </c>
      <c r="H2" s="80">
        <f>E2/$B2</f>
        <v>9.1973490216267037E-2</v>
      </c>
      <c r="I2" s="80">
        <f>F2/$B2</f>
        <v>0.22302692140606989</v>
      </c>
      <c r="J2" s="76">
        <v>87</v>
      </c>
      <c r="K2" s="76"/>
      <c r="L2" s="76">
        <v>4</v>
      </c>
      <c r="M2" s="76">
        <v>8</v>
      </c>
      <c r="N2" s="76">
        <v>20</v>
      </c>
      <c r="O2" s="80">
        <f>L2/$J2</f>
        <v>4.5977011494252873E-2</v>
      </c>
      <c r="P2" s="80">
        <f t="shared" ref="P2:Q17" si="0">M2/$J2</f>
        <v>9.1954022988505746E-2</v>
      </c>
      <c r="Q2" s="80">
        <f t="shared" si="0"/>
        <v>0.22988505747126436</v>
      </c>
    </row>
    <row r="3" spans="1:17">
      <c r="A3" s="74" t="s">
        <v>55</v>
      </c>
      <c r="B3" s="75">
        <v>5224089</v>
      </c>
      <c r="C3" s="76">
        <v>52240.89</v>
      </c>
      <c r="D3" s="75">
        <v>261204.45</v>
      </c>
      <c r="E3" s="75">
        <v>522408.9</v>
      </c>
      <c r="F3" s="75">
        <v>1306022.25</v>
      </c>
      <c r="G3" s="80">
        <f t="shared" ref="G3:G27" si="1">D3/$B3</f>
        <v>0.05</v>
      </c>
      <c r="H3" s="80">
        <f t="shared" ref="H3:H27" si="2">E3/$B3</f>
        <v>0.1</v>
      </c>
      <c r="I3" s="80">
        <f t="shared" ref="I3:I27" si="3">F3/$B3</f>
        <v>0.25</v>
      </c>
      <c r="J3" s="76">
        <v>100</v>
      </c>
      <c r="K3" s="76"/>
      <c r="L3" s="76">
        <v>5</v>
      </c>
      <c r="M3" s="76">
        <v>10</v>
      </c>
      <c r="N3" s="76">
        <v>25</v>
      </c>
      <c r="O3" s="80">
        <f t="shared" ref="O3:O27" si="4">L3/$J3</f>
        <v>0.05</v>
      </c>
      <c r="P3" s="80">
        <f t="shared" si="0"/>
        <v>0.1</v>
      </c>
      <c r="Q3" s="80">
        <f t="shared" si="0"/>
        <v>0.25</v>
      </c>
    </row>
    <row r="4" spans="1:17">
      <c r="A4" s="74" t="s">
        <v>56</v>
      </c>
      <c r="B4" s="75">
        <v>15630000</v>
      </c>
      <c r="C4" s="76">
        <v>134044.17230000001</v>
      </c>
      <c r="D4" s="75">
        <v>780016.72</v>
      </c>
      <c r="E4" s="75">
        <v>1560033.45</v>
      </c>
      <c r="F4" s="75">
        <v>3932825.56</v>
      </c>
      <c r="G4" s="80">
        <f t="shared" si="1"/>
        <v>4.9905100447856683E-2</v>
      </c>
      <c r="H4" s="80">
        <f t="shared" si="2"/>
        <v>9.9810201535508639E-2</v>
      </c>
      <c r="I4" s="80">
        <f t="shared" si="3"/>
        <v>0.25162031733845169</v>
      </c>
      <c r="J4" s="76">
        <v>422</v>
      </c>
      <c r="K4" s="76"/>
      <c r="L4" s="76">
        <v>21</v>
      </c>
      <c r="M4" s="76">
        <v>42</v>
      </c>
      <c r="N4" s="76">
        <v>106</v>
      </c>
      <c r="O4" s="80">
        <f t="shared" si="4"/>
        <v>4.9763033175355451E-2</v>
      </c>
      <c r="P4" s="80">
        <f t="shared" si="0"/>
        <v>9.9526066350710901E-2</v>
      </c>
      <c r="Q4" s="80">
        <f t="shared" si="0"/>
        <v>0.25118483412322273</v>
      </c>
    </row>
    <row r="5" spans="1:17">
      <c r="A5" s="74" t="s">
        <v>57</v>
      </c>
      <c r="B5" s="75">
        <v>3565968</v>
      </c>
      <c r="C5" s="76">
        <v>573073.01930000004</v>
      </c>
      <c r="D5" s="75">
        <v>132665.25</v>
      </c>
      <c r="E5" s="75">
        <v>265330.5</v>
      </c>
      <c r="F5" s="75">
        <v>753326.25</v>
      </c>
      <c r="G5" s="80">
        <f t="shared" si="1"/>
        <v>3.7203152131482953E-2</v>
      </c>
      <c r="H5" s="80">
        <f t="shared" si="2"/>
        <v>7.4406304262965905E-2</v>
      </c>
      <c r="I5" s="80">
        <f t="shared" si="3"/>
        <v>0.21125434945013527</v>
      </c>
      <c r="J5" s="76">
        <v>265</v>
      </c>
      <c r="K5" s="76"/>
      <c r="L5" s="76">
        <v>13</v>
      </c>
      <c r="M5" s="76">
        <v>26</v>
      </c>
      <c r="N5" s="76">
        <v>66</v>
      </c>
      <c r="O5" s="80">
        <f t="shared" si="4"/>
        <v>4.9056603773584909E-2</v>
      </c>
      <c r="P5" s="80">
        <f t="shared" si="0"/>
        <v>9.8113207547169817E-2</v>
      </c>
      <c r="Q5" s="80">
        <f t="shared" si="0"/>
        <v>0.24905660377358491</v>
      </c>
    </row>
    <row r="6" spans="1:17">
      <c r="A6" s="74" t="s">
        <v>58</v>
      </c>
      <c r="B6" s="75">
        <v>6638840.7999999998</v>
      </c>
      <c r="C6" s="76">
        <v>175822.64129999999</v>
      </c>
      <c r="D6" s="75">
        <v>559744.81999999995</v>
      </c>
      <c r="E6" s="75">
        <v>639929.96</v>
      </c>
      <c r="F6" s="75">
        <v>1671597.76</v>
      </c>
      <c r="G6" s="80">
        <f t="shared" si="1"/>
        <v>8.431363800740635E-2</v>
      </c>
      <c r="H6" s="80">
        <f t="shared" si="2"/>
        <v>9.6391821897581872E-2</v>
      </c>
      <c r="I6" s="80">
        <f t="shared" si="3"/>
        <v>0.25179060778200918</v>
      </c>
      <c r="J6" s="76">
        <v>155</v>
      </c>
      <c r="K6" s="76"/>
      <c r="L6" s="76">
        <v>13</v>
      </c>
      <c r="M6" s="76">
        <v>15</v>
      </c>
      <c r="N6" s="76">
        <v>39</v>
      </c>
      <c r="O6" s="80">
        <f t="shared" si="4"/>
        <v>8.387096774193549E-2</v>
      </c>
      <c r="P6" s="80">
        <f t="shared" si="0"/>
        <v>9.6774193548387094E-2</v>
      </c>
      <c r="Q6" s="80">
        <f t="shared" si="0"/>
        <v>0.25161290322580643</v>
      </c>
    </row>
    <row r="7" spans="1:17">
      <c r="A7" s="74" t="s">
        <v>59</v>
      </c>
      <c r="B7" s="75">
        <v>3700000</v>
      </c>
      <c r="C7" s="76">
        <v>75350.043220000007</v>
      </c>
      <c r="D7" s="75">
        <v>167554.01999999999</v>
      </c>
      <c r="E7" s="75">
        <v>383535</v>
      </c>
      <c r="F7" s="75">
        <v>934624.03</v>
      </c>
      <c r="G7" s="80">
        <f t="shared" si="1"/>
        <v>4.5284870270270269E-2</v>
      </c>
      <c r="H7" s="80">
        <f t="shared" si="2"/>
        <v>0.1036581081081081</v>
      </c>
      <c r="I7" s="80">
        <f t="shared" si="3"/>
        <v>0.25260108918918922</v>
      </c>
      <c r="J7" s="76">
        <v>134</v>
      </c>
      <c r="K7" s="76"/>
      <c r="L7" s="76">
        <v>6</v>
      </c>
      <c r="M7" s="76">
        <v>14</v>
      </c>
      <c r="N7" s="76">
        <v>34</v>
      </c>
      <c r="O7" s="80">
        <f t="shared" si="4"/>
        <v>4.4776119402985072E-2</v>
      </c>
      <c r="P7" s="80">
        <f t="shared" si="0"/>
        <v>0.1044776119402985</v>
      </c>
      <c r="Q7" s="80">
        <f t="shared" si="0"/>
        <v>0.2537313432835821</v>
      </c>
    </row>
    <row r="8" spans="1:17">
      <c r="A8" s="74" t="s">
        <v>60</v>
      </c>
      <c r="B8" s="75">
        <v>12358000</v>
      </c>
      <c r="C8" s="76">
        <v>95536.127229999998</v>
      </c>
      <c r="D8" s="75">
        <v>625874.57999999996</v>
      </c>
      <c r="E8" s="75">
        <v>1221493.83</v>
      </c>
      <c r="F8" s="75">
        <v>3103525.64</v>
      </c>
      <c r="G8" s="80">
        <f t="shared" si="1"/>
        <v>5.0645296973620323E-2</v>
      </c>
      <c r="H8" s="80">
        <f t="shared" si="2"/>
        <v>9.8842355559151968E-2</v>
      </c>
      <c r="I8" s="80">
        <f t="shared" si="3"/>
        <v>0.25113494416572263</v>
      </c>
      <c r="J8" s="76">
        <v>374</v>
      </c>
      <c r="K8" s="76"/>
      <c r="L8" s="76">
        <v>19</v>
      </c>
      <c r="M8" s="76">
        <v>37</v>
      </c>
      <c r="N8" s="76">
        <v>94</v>
      </c>
      <c r="O8" s="80">
        <f t="shared" si="4"/>
        <v>5.0802139037433157E-2</v>
      </c>
      <c r="P8" s="80">
        <f t="shared" si="0"/>
        <v>9.8930481283422467E-2</v>
      </c>
      <c r="Q8" s="80">
        <f t="shared" si="0"/>
        <v>0.25133689839572193</v>
      </c>
    </row>
    <row r="9" spans="1:17">
      <c r="A9" s="74" t="s">
        <v>61</v>
      </c>
      <c r="B9" s="75">
        <v>3355000</v>
      </c>
      <c r="C9" s="76">
        <v>140000</v>
      </c>
      <c r="D9" s="75">
        <v>185000</v>
      </c>
      <c r="E9" s="75">
        <v>340000</v>
      </c>
      <c r="F9" s="75">
        <v>810000</v>
      </c>
      <c r="G9" s="80">
        <f t="shared" si="1"/>
        <v>5.5141579731743669E-2</v>
      </c>
      <c r="H9" s="80">
        <f t="shared" si="2"/>
        <v>0.10134128166915052</v>
      </c>
      <c r="I9" s="80">
        <f t="shared" si="3"/>
        <v>0.24143070044709389</v>
      </c>
      <c r="J9" s="76">
        <v>144</v>
      </c>
      <c r="K9" s="76"/>
      <c r="L9" s="76">
        <v>7</v>
      </c>
      <c r="M9" s="76">
        <v>14</v>
      </c>
      <c r="N9" s="76">
        <v>35</v>
      </c>
      <c r="O9" s="80">
        <f t="shared" si="4"/>
        <v>4.8611111111111112E-2</v>
      </c>
      <c r="P9" s="80">
        <f t="shared" si="0"/>
        <v>9.7222222222222224E-2</v>
      </c>
      <c r="Q9" s="80">
        <f t="shared" si="0"/>
        <v>0.24305555555555555</v>
      </c>
    </row>
    <row r="10" spans="1:17">
      <c r="A10" s="74" t="s">
        <v>62</v>
      </c>
      <c r="B10" s="75">
        <v>9401094.0800000001</v>
      </c>
      <c r="C10" s="76">
        <v>875984.58</v>
      </c>
      <c r="D10" s="75">
        <v>885729.45</v>
      </c>
      <c r="E10" s="75">
        <v>335457.45</v>
      </c>
      <c r="F10" s="75">
        <v>1378039.01</v>
      </c>
      <c r="G10" s="80">
        <f t="shared" si="1"/>
        <v>9.4215571343372828E-2</v>
      </c>
      <c r="H10" s="80">
        <f t="shared" si="2"/>
        <v>3.5682809590604589E-2</v>
      </c>
      <c r="I10" s="80">
        <f t="shared" si="3"/>
        <v>0.14658283368652342</v>
      </c>
      <c r="J10" s="76">
        <v>283</v>
      </c>
      <c r="K10" s="76"/>
      <c r="L10" s="76">
        <v>46</v>
      </c>
      <c r="M10" s="76">
        <v>17</v>
      </c>
      <c r="N10" s="76">
        <v>50</v>
      </c>
      <c r="O10" s="80">
        <f t="shared" si="4"/>
        <v>0.16254416961130741</v>
      </c>
      <c r="P10" s="80">
        <f t="shared" si="0"/>
        <v>6.0070671378091869E-2</v>
      </c>
      <c r="Q10" s="80">
        <f t="shared" si="0"/>
        <v>0.17667844522968199</v>
      </c>
    </row>
    <row r="11" spans="1:17">
      <c r="A11" s="74" t="s">
        <v>63</v>
      </c>
      <c r="B11" s="75">
        <v>9127450.25</v>
      </c>
      <c r="C11" s="76">
        <v>492306.58929999999</v>
      </c>
      <c r="D11" s="75">
        <v>412583.47</v>
      </c>
      <c r="E11" s="75">
        <v>841901.89</v>
      </c>
      <c r="F11" s="75">
        <v>2331420.59</v>
      </c>
      <c r="G11" s="80">
        <f t="shared" si="1"/>
        <v>4.5202489052186288E-2</v>
      </c>
      <c r="H11" s="80">
        <f t="shared" si="2"/>
        <v>9.2238452902002943E-2</v>
      </c>
      <c r="I11" s="80">
        <f t="shared" si="3"/>
        <v>0.25542955876423429</v>
      </c>
      <c r="J11" s="76">
        <v>228</v>
      </c>
      <c r="K11" s="76"/>
      <c r="L11" s="76">
        <v>11</v>
      </c>
      <c r="M11" s="76">
        <v>23</v>
      </c>
      <c r="N11" s="76">
        <v>56</v>
      </c>
      <c r="O11" s="80">
        <f t="shared" si="4"/>
        <v>4.8245614035087717E-2</v>
      </c>
      <c r="P11" s="80">
        <f t="shared" si="0"/>
        <v>0.10087719298245613</v>
      </c>
      <c r="Q11" s="80">
        <f t="shared" si="0"/>
        <v>0.24561403508771928</v>
      </c>
    </row>
    <row r="12" spans="1:17">
      <c r="A12" s="74" t="s">
        <v>64</v>
      </c>
      <c r="B12" s="75">
        <v>5290000</v>
      </c>
      <c r="C12" s="76">
        <v>294806.63650000002</v>
      </c>
      <c r="D12" s="75">
        <v>272068.17</v>
      </c>
      <c r="E12" s="75">
        <v>543613.27</v>
      </c>
      <c r="F12" s="75">
        <v>1437165.01</v>
      </c>
      <c r="G12" s="80">
        <f t="shared" si="1"/>
        <v>5.143065595463138E-2</v>
      </c>
      <c r="H12" s="80">
        <f t="shared" si="2"/>
        <v>0.10276243289224953</v>
      </c>
      <c r="I12" s="80">
        <f t="shared" si="3"/>
        <v>0.27167580529300567</v>
      </c>
      <c r="J12" s="76">
        <v>224</v>
      </c>
      <c r="K12" s="76"/>
      <c r="L12" s="76">
        <v>14</v>
      </c>
      <c r="M12" s="76">
        <v>23</v>
      </c>
      <c r="N12" s="76">
        <v>78</v>
      </c>
      <c r="O12" s="80">
        <f t="shared" si="4"/>
        <v>6.25E-2</v>
      </c>
      <c r="P12" s="80">
        <f t="shared" si="0"/>
        <v>0.10267857142857142</v>
      </c>
      <c r="Q12" s="80">
        <f t="shared" si="0"/>
        <v>0.3482142857142857</v>
      </c>
    </row>
    <row r="13" spans="1:17">
      <c r="A13" s="74" t="s">
        <v>65</v>
      </c>
      <c r="B13" s="75">
        <v>2538254.06</v>
      </c>
      <c r="C13" s="76">
        <v>55477.290220000003</v>
      </c>
      <c r="D13" s="75">
        <v>120185.35</v>
      </c>
      <c r="E13" s="75">
        <v>258459.33</v>
      </c>
      <c r="F13" s="75">
        <v>646334.77</v>
      </c>
      <c r="G13" s="80">
        <f t="shared" si="1"/>
        <v>4.7349614009875751E-2</v>
      </c>
      <c r="H13" s="80">
        <f t="shared" si="2"/>
        <v>0.10182563442841493</v>
      </c>
      <c r="I13" s="80">
        <f t="shared" si="3"/>
        <v>0.25463754010502793</v>
      </c>
      <c r="J13" s="76">
        <v>151</v>
      </c>
      <c r="K13" s="76"/>
      <c r="L13" s="76">
        <v>7</v>
      </c>
      <c r="M13" s="76">
        <v>15</v>
      </c>
      <c r="N13" s="76">
        <v>38</v>
      </c>
      <c r="O13" s="80">
        <f t="shared" si="4"/>
        <v>4.6357615894039736E-2</v>
      </c>
      <c r="P13" s="80">
        <f t="shared" si="0"/>
        <v>9.9337748344370855E-2</v>
      </c>
      <c r="Q13" s="80">
        <f t="shared" si="0"/>
        <v>0.25165562913907286</v>
      </c>
    </row>
    <row r="14" spans="1:17">
      <c r="A14" s="74" t="s">
        <v>66</v>
      </c>
      <c r="B14" s="75">
        <v>6619233.4000000004</v>
      </c>
      <c r="C14" s="76">
        <v>298774.21429999999</v>
      </c>
      <c r="D14" s="75">
        <v>350100.17</v>
      </c>
      <c r="E14" s="75">
        <v>672461.84</v>
      </c>
      <c r="F14" s="75">
        <v>1624470.34</v>
      </c>
      <c r="G14" s="80">
        <f t="shared" si="1"/>
        <v>5.2891346904310695E-2</v>
      </c>
      <c r="H14" s="80">
        <f t="shared" si="2"/>
        <v>0.10159210279546872</v>
      </c>
      <c r="I14" s="80">
        <f t="shared" si="3"/>
        <v>0.24541668828296642</v>
      </c>
      <c r="J14" s="76">
        <v>402</v>
      </c>
      <c r="K14" s="76"/>
      <c r="L14" s="76">
        <v>26</v>
      </c>
      <c r="M14" s="76">
        <v>40</v>
      </c>
      <c r="N14" s="76">
        <v>103</v>
      </c>
      <c r="O14" s="80">
        <f t="shared" si="4"/>
        <v>6.4676616915422883E-2</v>
      </c>
      <c r="P14" s="80">
        <f t="shared" si="0"/>
        <v>9.950248756218906E-2</v>
      </c>
      <c r="Q14" s="80">
        <f t="shared" si="0"/>
        <v>0.25621890547263682</v>
      </c>
    </row>
    <row r="15" spans="1:17">
      <c r="A15" s="74" t="s">
        <v>67</v>
      </c>
      <c r="B15" s="75">
        <v>13366857.140000001</v>
      </c>
      <c r="C15" s="76">
        <v>321410.27380000002</v>
      </c>
      <c r="D15" s="75">
        <v>736104.44</v>
      </c>
      <c r="E15" s="75">
        <v>3133430.4</v>
      </c>
      <c r="F15" s="75">
        <v>3133430.4</v>
      </c>
      <c r="G15" s="80">
        <f t="shared" si="1"/>
        <v>5.5069372874288078E-2</v>
      </c>
      <c r="H15" s="80">
        <f t="shared" si="2"/>
        <v>0.23441788650701476</v>
      </c>
      <c r="I15" s="80">
        <f t="shared" si="3"/>
        <v>0.23441788650701476</v>
      </c>
      <c r="J15" s="76">
        <v>414</v>
      </c>
      <c r="K15" s="76"/>
      <c r="L15" s="76">
        <v>23</v>
      </c>
      <c r="M15" s="76">
        <v>95</v>
      </c>
      <c r="N15" s="76">
        <v>95</v>
      </c>
      <c r="O15" s="80">
        <f t="shared" si="4"/>
        <v>5.5555555555555552E-2</v>
      </c>
      <c r="P15" s="80">
        <f t="shared" si="0"/>
        <v>0.22946859903381642</v>
      </c>
      <c r="Q15" s="80">
        <f t="shared" si="0"/>
        <v>0.22946859903381642</v>
      </c>
    </row>
    <row r="16" spans="1:17">
      <c r="A16" s="74" t="s">
        <v>68</v>
      </c>
      <c r="B16" s="75">
        <v>5208000</v>
      </c>
      <c r="C16" s="76">
        <v>217921.17819999999</v>
      </c>
      <c r="D16" s="75">
        <v>165889.75</v>
      </c>
      <c r="E16" s="75">
        <v>535226.1</v>
      </c>
      <c r="F16" s="75">
        <v>1242341.95</v>
      </c>
      <c r="G16" s="80">
        <f t="shared" si="1"/>
        <v>3.1852870583717358E-2</v>
      </c>
      <c r="H16" s="80">
        <f t="shared" si="2"/>
        <v>0.10276998847926266</v>
      </c>
      <c r="I16" s="80">
        <f t="shared" si="3"/>
        <v>0.2385449212749616</v>
      </c>
      <c r="J16" s="76">
        <v>719</v>
      </c>
      <c r="K16" s="76"/>
      <c r="L16" s="76">
        <v>34</v>
      </c>
      <c r="M16" s="76">
        <v>73</v>
      </c>
      <c r="N16" s="76">
        <v>181</v>
      </c>
      <c r="O16" s="80">
        <f t="shared" si="4"/>
        <v>4.7287899860917942E-2</v>
      </c>
      <c r="P16" s="80">
        <f t="shared" si="0"/>
        <v>0.10152990264255911</v>
      </c>
      <c r="Q16" s="80">
        <f t="shared" si="0"/>
        <v>0.2517385257301808</v>
      </c>
    </row>
    <row r="17" spans="1:17">
      <c r="A17" s="74" t="s">
        <v>69</v>
      </c>
      <c r="B17" s="75">
        <v>2114500</v>
      </c>
      <c r="C17" s="76">
        <v>118454.11259999999</v>
      </c>
      <c r="D17" s="75">
        <v>95711.26</v>
      </c>
      <c r="E17" s="75">
        <v>201422.51</v>
      </c>
      <c r="F17" s="75">
        <v>534662.77</v>
      </c>
      <c r="G17" s="80">
        <f t="shared" si="1"/>
        <v>4.5264251596122011E-2</v>
      </c>
      <c r="H17" s="80">
        <f t="shared" si="2"/>
        <v>9.5257748876803036E-2</v>
      </c>
      <c r="I17" s="80">
        <f t="shared" si="3"/>
        <v>0.2528554126270986</v>
      </c>
      <c r="J17" s="76">
        <v>92</v>
      </c>
      <c r="K17" s="76"/>
      <c r="L17" s="76">
        <v>4</v>
      </c>
      <c r="M17" s="76">
        <v>9</v>
      </c>
      <c r="N17" s="76">
        <v>23</v>
      </c>
      <c r="O17" s="80">
        <f t="shared" si="4"/>
        <v>4.3478260869565216E-2</v>
      </c>
      <c r="P17" s="80">
        <f t="shared" si="0"/>
        <v>9.7826086956521743E-2</v>
      </c>
      <c r="Q17" s="80">
        <f t="shared" si="0"/>
        <v>0.25</v>
      </c>
    </row>
    <row r="18" spans="1:17">
      <c r="A18" s="74" t="s">
        <v>70</v>
      </c>
      <c r="B18" s="75">
        <v>8596000</v>
      </c>
      <c r="C18" s="76">
        <v>943044.04870000004</v>
      </c>
      <c r="D18" s="75">
        <v>430492.97</v>
      </c>
      <c r="E18" s="75">
        <v>820985.94</v>
      </c>
      <c r="F18" s="75">
        <v>1989420.81</v>
      </c>
      <c r="G18" s="80">
        <f t="shared" si="1"/>
        <v>5.0080615402512796E-2</v>
      </c>
      <c r="H18" s="80">
        <f t="shared" si="2"/>
        <v>9.5507903676128422E-2</v>
      </c>
      <c r="I18" s="80">
        <f t="shared" si="3"/>
        <v>0.23143564564913915</v>
      </c>
      <c r="J18" s="76">
        <v>233</v>
      </c>
      <c r="K18" s="76"/>
      <c r="L18" s="76">
        <v>12</v>
      </c>
      <c r="M18" s="76">
        <v>24</v>
      </c>
      <c r="N18" s="76">
        <v>58</v>
      </c>
      <c r="O18" s="80">
        <f t="shared" si="4"/>
        <v>5.1502145922746781E-2</v>
      </c>
      <c r="P18" s="80">
        <f t="shared" ref="P18:P27" si="5">M18/$J18</f>
        <v>0.10300429184549356</v>
      </c>
      <c r="Q18" s="80">
        <f t="shared" ref="Q18:Q27" si="6">N18/$J18</f>
        <v>0.24892703862660945</v>
      </c>
    </row>
    <row r="19" spans="1:17">
      <c r="A19" s="74" t="s">
        <v>71</v>
      </c>
      <c r="B19" s="75">
        <v>3672808.73</v>
      </c>
      <c r="C19" s="76">
        <v>170348.93090000001</v>
      </c>
      <c r="D19" s="75">
        <v>141445.98000000001</v>
      </c>
      <c r="E19" s="75">
        <v>442471.97</v>
      </c>
      <c r="F19" s="75">
        <v>928019.66</v>
      </c>
      <c r="G19" s="80">
        <f t="shared" si="1"/>
        <v>3.8511665158234364E-2</v>
      </c>
      <c r="H19" s="80">
        <f t="shared" si="2"/>
        <v>0.12047236938472426</v>
      </c>
      <c r="I19" s="80">
        <f t="shared" si="3"/>
        <v>0.25267301627220867</v>
      </c>
      <c r="J19" s="76">
        <v>117</v>
      </c>
      <c r="K19" s="76"/>
      <c r="L19" s="76">
        <v>5</v>
      </c>
      <c r="M19" s="76">
        <v>14</v>
      </c>
      <c r="N19" s="76">
        <v>28</v>
      </c>
      <c r="O19" s="80">
        <f t="shared" si="4"/>
        <v>4.2735042735042736E-2</v>
      </c>
      <c r="P19" s="80">
        <f t="shared" si="5"/>
        <v>0.11965811965811966</v>
      </c>
      <c r="Q19" s="80">
        <f t="shared" si="6"/>
        <v>0.23931623931623933</v>
      </c>
    </row>
    <row r="20" spans="1:17">
      <c r="A20" s="74" t="s">
        <v>72</v>
      </c>
      <c r="B20" s="75">
        <v>10146994.6</v>
      </c>
      <c r="C20" s="76">
        <v>127777.7778</v>
      </c>
      <c r="D20" s="75">
        <v>497905.29</v>
      </c>
      <c r="E20" s="75">
        <v>1045810.57</v>
      </c>
      <c r="F20" s="75">
        <v>3059653.94</v>
      </c>
      <c r="G20" s="80">
        <f t="shared" si="1"/>
        <v>4.9069237703152024E-2</v>
      </c>
      <c r="H20" s="80">
        <f t="shared" si="2"/>
        <v>0.10306604184060569</v>
      </c>
      <c r="I20" s="80">
        <f t="shared" si="3"/>
        <v>0.3015330214130596</v>
      </c>
      <c r="J20" s="76">
        <v>46</v>
      </c>
      <c r="K20" s="76"/>
      <c r="L20" s="76">
        <v>2</v>
      </c>
      <c r="M20" s="76">
        <v>5</v>
      </c>
      <c r="N20" s="76">
        <v>14</v>
      </c>
      <c r="O20" s="80">
        <f t="shared" si="4"/>
        <v>4.3478260869565216E-2</v>
      </c>
      <c r="P20" s="80">
        <f t="shared" si="5"/>
        <v>0.10869565217391304</v>
      </c>
      <c r="Q20" s="80">
        <f t="shared" si="6"/>
        <v>0.30434782608695654</v>
      </c>
    </row>
    <row r="21" spans="1:17">
      <c r="A21" s="74" t="s">
        <v>73</v>
      </c>
      <c r="B21" s="75">
        <v>4088000</v>
      </c>
      <c r="C21" s="76">
        <v>124977.1909</v>
      </c>
      <c r="D21" s="75">
        <v>209954.38</v>
      </c>
      <c r="E21" s="75">
        <v>385000</v>
      </c>
      <c r="F21" s="75">
        <v>909432.17</v>
      </c>
      <c r="G21" s="80">
        <f t="shared" si="1"/>
        <v>5.1358703522504892E-2</v>
      </c>
      <c r="H21" s="80">
        <f t="shared" si="2"/>
        <v>9.4178082191780824E-2</v>
      </c>
      <c r="I21" s="80">
        <f t="shared" si="3"/>
        <v>0.22246383806262232</v>
      </c>
      <c r="J21" s="76">
        <v>214</v>
      </c>
      <c r="K21" s="76"/>
      <c r="L21" s="76">
        <v>10</v>
      </c>
      <c r="M21" s="76">
        <v>28</v>
      </c>
      <c r="N21" s="76">
        <v>44</v>
      </c>
      <c r="O21" s="80">
        <f t="shared" si="4"/>
        <v>4.6728971962616821E-2</v>
      </c>
      <c r="P21" s="80">
        <f t="shared" si="5"/>
        <v>0.13084112149532709</v>
      </c>
      <c r="Q21" s="80">
        <f t="shared" si="6"/>
        <v>0.20560747663551401</v>
      </c>
    </row>
    <row r="22" spans="1:17">
      <c r="A22" s="74" t="s">
        <v>74</v>
      </c>
      <c r="B22" s="75">
        <v>37165000</v>
      </c>
      <c r="C22" s="76">
        <v>1130809.0830000001</v>
      </c>
      <c r="D22" s="75">
        <v>1937306</v>
      </c>
      <c r="E22" s="75">
        <v>3612111.99</v>
      </c>
      <c r="F22" s="75">
        <v>7926962.0800000001</v>
      </c>
      <c r="G22" s="80">
        <f t="shared" si="1"/>
        <v>5.2127162653033771E-2</v>
      </c>
      <c r="H22" s="80">
        <f t="shared" si="2"/>
        <v>9.7191228037131719E-2</v>
      </c>
      <c r="I22" s="80">
        <f t="shared" si="3"/>
        <v>0.21329105556302974</v>
      </c>
      <c r="J22" s="76">
        <v>234</v>
      </c>
      <c r="K22" s="76"/>
      <c r="L22" s="76">
        <v>13</v>
      </c>
      <c r="M22" s="76">
        <v>23</v>
      </c>
      <c r="N22" s="76">
        <v>51</v>
      </c>
      <c r="O22" s="80">
        <f t="shared" si="4"/>
        <v>5.5555555555555552E-2</v>
      </c>
      <c r="P22" s="80">
        <f t="shared" si="5"/>
        <v>9.8290598290598288E-2</v>
      </c>
      <c r="Q22" s="80">
        <f t="shared" si="6"/>
        <v>0.21794871794871795</v>
      </c>
    </row>
    <row r="23" spans="1:17">
      <c r="A23" s="74" t="s">
        <v>75</v>
      </c>
      <c r="B23" s="75">
        <v>18210000</v>
      </c>
      <c r="C23" s="76">
        <v>1412951.22</v>
      </c>
      <c r="D23" s="75">
        <v>897138.21</v>
      </c>
      <c r="E23" s="75">
        <v>1607609.76</v>
      </c>
      <c r="F23" s="75">
        <v>9097000</v>
      </c>
      <c r="G23" s="80">
        <f t="shared" si="1"/>
        <v>4.9266238879736406E-2</v>
      </c>
      <c r="H23" s="80">
        <f t="shared" si="2"/>
        <v>8.8281700164744653E-2</v>
      </c>
      <c r="I23" s="80">
        <f t="shared" si="3"/>
        <v>0.49956068094453598</v>
      </c>
      <c r="J23" s="76">
        <v>279</v>
      </c>
      <c r="K23" s="76"/>
      <c r="L23" s="76">
        <v>14</v>
      </c>
      <c r="M23" s="76">
        <v>27</v>
      </c>
      <c r="N23" s="76">
        <v>139</v>
      </c>
      <c r="O23" s="80">
        <f t="shared" si="4"/>
        <v>5.0179211469534052E-2</v>
      </c>
      <c r="P23" s="80">
        <f t="shared" si="5"/>
        <v>9.6774193548387094E-2</v>
      </c>
      <c r="Q23" s="80">
        <f t="shared" si="6"/>
        <v>0.49820788530465948</v>
      </c>
    </row>
    <row r="24" spans="1:17">
      <c r="A24" s="74" t="s">
        <v>76</v>
      </c>
      <c r="B24" s="75">
        <v>6950500</v>
      </c>
      <c r="C24" s="76">
        <v>165428.4601</v>
      </c>
      <c r="D24" s="75">
        <v>283500.93</v>
      </c>
      <c r="E24" s="75">
        <v>694191.53</v>
      </c>
      <c r="F24" s="75">
        <v>1696609.26</v>
      </c>
      <c r="G24" s="80">
        <f t="shared" si="1"/>
        <v>4.078856629019495E-2</v>
      </c>
      <c r="H24" s="80">
        <f t="shared" si="2"/>
        <v>9.9876488022444435E-2</v>
      </c>
      <c r="I24" s="80">
        <f t="shared" si="3"/>
        <v>0.24409887921732248</v>
      </c>
      <c r="J24" s="76">
        <v>294</v>
      </c>
      <c r="K24" s="76"/>
      <c r="L24" s="76">
        <v>14</v>
      </c>
      <c r="M24" s="76">
        <v>29</v>
      </c>
      <c r="N24" s="76">
        <v>73</v>
      </c>
      <c r="O24" s="80">
        <f t="shared" si="4"/>
        <v>4.7619047619047616E-2</v>
      </c>
      <c r="P24" s="80">
        <f t="shared" si="5"/>
        <v>9.8639455782312924E-2</v>
      </c>
      <c r="Q24" s="80">
        <f t="shared" si="6"/>
        <v>0.24829931972789115</v>
      </c>
    </row>
    <row r="25" spans="1:17">
      <c r="A25" s="74" t="s">
        <v>77</v>
      </c>
      <c r="B25" s="75">
        <v>65185200</v>
      </c>
      <c r="C25" s="76">
        <v>6115771.6969999997</v>
      </c>
      <c r="D25" s="75">
        <v>1585281.5</v>
      </c>
      <c r="E25" s="75">
        <v>4477915.9400000004</v>
      </c>
      <c r="F25" s="75">
        <v>9854238.0199999996</v>
      </c>
      <c r="G25" s="80">
        <f t="shared" si="1"/>
        <v>2.4319653847805944E-2</v>
      </c>
      <c r="H25" s="80">
        <f t="shared" si="2"/>
        <v>6.869528573970779E-2</v>
      </c>
      <c r="I25" s="80">
        <f t="shared" si="3"/>
        <v>0.15117293526751471</v>
      </c>
      <c r="J25" s="76">
        <v>610</v>
      </c>
      <c r="K25" s="76"/>
      <c r="L25" s="76">
        <v>29</v>
      </c>
      <c r="M25" s="76">
        <v>64</v>
      </c>
      <c r="N25" s="76">
        <v>148</v>
      </c>
      <c r="O25" s="80">
        <f t="shared" si="4"/>
        <v>4.7540983606557376E-2</v>
      </c>
      <c r="P25" s="80">
        <f t="shared" si="5"/>
        <v>0.10491803278688525</v>
      </c>
      <c r="Q25" s="80">
        <f t="shared" si="6"/>
        <v>0.24262295081967214</v>
      </c>
    </row>
    <row r="26" spans="1:17">
      <c r="A26" s="74" t="s">
        <v>78</v>
      </c>
      <c r="B26" s="75">
        <v>5453008.7300000004</v>
      </c>
      <c r="C26" s="76">
        <v>319566.54849999998</v>
      </c>
      <c r="D26" s="75">
        <v>449077</v>
      </c>
      <c r="E26" s="75">
        <v>673182.06</v>
      </c>
      <c r="F26" s="75">
        <v>1300846.52</v>
      </c>
      <c r="G26" s="80">
        <f t="shared" si="1"/>
        <v>8.2353985154907314E-2</v>
      </c>
      <c r="H26" s="80">
        <f t="shared" si="2"/>
        <v>0.123451491338434</v>
      </c>
      <c r="I26" s="80">
        <f t="shared" si="3"/>
        <v>0.23855573765054286</v>
      </c>
      <c r="J26" s="76">
        <v>143</v>
      </c>
      <c r="K26" s="76"/>
      <c r="L26" s="76">
        <v>9</v>
      </c>
      <c r="M26" s="76">
        <v>15</v>
      </c>
      <c r="N26" s="76">
        <v>36</v>
      </c>
      <c r="O26" s="80">
        <f t="shared" si="4"/>
        <v>6.2937062937062943E-2</v>
      </c>
      <c r="P26" s="80">
        <f t="shared" si="5"/>
        <v>0.1048951048951049</v>
      </c>
      <c r="Q26" s="80">
        <f t="shared" si="6"/>
        <v>0.25174825174825177</v>
      </c>
    </row>
    <row r="27" spans="1:17">
      <c r="A27" s="74" t="s">
        <v>79</v>
      </c>
      <c r="B27" s="75">
        <v>2340558.7000000002</v>
      </c>
      <c r="C27" s="76">
        <v>221074.22380000001</v>
      </c>
      <c r="D27" s="75">
        <v>64740.89</v>
      </c>
      <c r="E27" s="75">
        <v>234815.11</v>
      </c>
      <c r="F27" s="75">
        <v>522704.45</v>
      </c>
      <c r="G27" s="80">
        <f t="shared" si="1"/>
        <v>2.7660442782315178E-2</v>
      </c>
      <c r="H27" s="80">
        <f t="shared" si="2"/>
        <v>0.1003243840882948</v>
      </c>
      <c r="I27" s="80">
        <f t="shared" si="3"/>
        <v>0.22332464893958864</v>
      </c>
      <c r="J27" s="76">
        <v>106</v>
      </c>
      <c r="K27" s="76"/>
      <c r="L27" s="76">
        <v>4</v>
      </c>
      <c r="M27" s="76">
        <v>11</v>
      </c>
      <c r="N27" s="76">
        <v>25</v>
      </c>
      <c r="O27" s="80">
        <f t="shared" si="4"/>
        <v>3.7735849056603772E-2</v>
      </c>
      <c r="P27" s="80">
        <f t="shared" si="5"/>
        <v>0.10377358490566038</v>
      </c>
      <c r="Q27" s="80">
        <f t="shared" si="6"/>
        <v>0.23584905660377359</v>
      </c>
    </row>
    <row r="28" spans="1:17">
      <c r="A28" s="77" t="s">
        <v>20</v>
      </c>
      <c r="B28" s="78">
        <v>269745442.81</v>
      </c>
      <c r="C28" s="79">
        <v>14850791.390000001</v>
      </c>
      <c r="D28" s="78">
        <v>12395782.15</v>
      </c>
      <c r="E28" s="78">
        <v>25798306.399999999</v>
      </c>
      <c r="F28" s="78">
        <v>62972194.560000002</v>
      </c>
      <c r="G28" s="81">
        <f>MEDIAN(G2:G27)</f>
        <v>4.9585669663796544E-2</v>
      </c>
      <c r="H28" s="81">
        <f>MEDIAN(H2:H27)</f>
        <v>9.9843344778976537E-2</v>
      </c>
      <c r="I28" s="81">
        <f>MEDIAN(I2:I27)</f>
        <v>0.24475778375014445</v>
      </c>
      <c r="J28" s="79">
        <v>6470</v>
      </c>
      <c r="K28" s="79"/>
      <c r="L28" s="79">
        <v>365</v>
      </c>
      <c r="M28" s="79">
        <v>701</v>
      </c>
      <c r="N28" s="79">
        <v>1659</v>
      </c>
      <c r="O28" s="81">
        <f>MEDIAN(O2:O27)</f>
        <v>4.8833857442348014E-2</v>
      </c>
      <c r="P28" s="81">
        <f>MEDIAN(P2:P27)</f>
        <v>9.9763033175355453E-2</v>
      </c>
      <c r="Q28" s="81">
        <f>MEDIAN(Q2:Q27)</f>
        <v>0.24952830188679245</v>
      </c>
    </row>
    <row r="32" spans="1:17" s="108" customFormat="1" ht="29">
      <c r="A32" s="107" t="s">
        <v>80</v>
      </c>
      <c r="B32" s="107" t="s">
        <v>81</v>
      </c>
      <c r="C32" s="107" t="s">
        <v>82</v>
      </c>
      <c r="D32" s="107" t="s">
        <v>83</v>
      </c>
      <c r="E32" s="107" t="s">
        <v>84</v>
      </c>
      <c r="G32" s="109"/>
      <c r="H32" s="109"/>
      <c r="I32" s="109"/>
    </row>
    <row r="33" spans="1:5">
      <c r="A33" s="105" t="s">
        <v>45</v>
      </c>
      <c r="B33" s="112">
        <f>F28</f>
        <v>62972194.560000002</v>
      </c>
      <c r="C33" s="113">
        <f>I28</f>
        <v>0.24475778375014445</v>
      </c>
      <c r="D33">
        <f>N28</f>
        <v>1659</v>
      </c>
      <c r="E33" s="113">
        <f>Q28</f>
        <v>0.24952830188679245</v>
      </c>
    </row>
    <row r="34" spans="1:5">
      <c r="A34" s="105" t="s">
        <v>46</v>
      </c>
      <c r="B34" s="112">
        <f>E28</f>
        <v>25798306.399999999</v>
      </c>
      <c r="C34" s="113">
        <f>H28</f>
        <v>9.9843344778976537E-2</v>
      </c>
      <c r="D34" s="105">
        <f>M28</f>
        <v>701</v>
      </c>
      <c r="E34" s="113">
        <f>P28</f>
        <v>9.9763033175355453E-2</v>
      </c>
    </row>
    <row r="35" spans="1:5">
      <c r="A35" s="105" t="s">
        <v>47</v>
      </c>
      <c r="B35" s="112">
        <f>D28</f>
        <v>12395782.15</v>
      </c>
      <c r="C35" s="113">
        <f>G28</f>
        <v>4.9585669663796544E-2</v>
      </c>
      <c r="D35" s="105">
        <f>L28</f>
        <v>365</v>
      </c>
      <c r="E35" s="113">
        <f>O28</f>
        <v>4.8833857442348014E-2</v>
      </c>
    </row>
    <row r="36" spans="1:5">
      <c r="A36" s="105" t="s">
        <v>48</v>
      </c>
      <c r="B36" s="112"/>
      <c r="C36" s="113"/>
      <c r="D36" s="105"/>
      <c r="E36" s="113"/>
    </row>
    <row r="37" spans="1:5">
      <c r="A37" s="106"/>
      <c r="B37" s="114">
        <f>SUM(B33:B35)</f>
        <v>101166283.11000001</v>
      </c>
      <c r="C37" s="115">
        <f>MEDIAN(C33:C35)</f>
        <v>9.9843344778976537E-2</v>
      </c>
      <c r="D37" s="106">
        <f>SUM(D33:D35)</f>
        <v>2725</v>
      </c>
      <c r="E37" s="115">
        <f>MEDIAN(E33:E35)</f>
        <v>9.9763033175355453E-2</v>
      </c>
    </row>
    <row r="41" spans="1:5" ht="29">
      <c r="A41" s="123" t="s">
        <v>792</v>
      </c>
      <c r="B41" s="122" t="s">
        <v>85</v>
      </c>
      <c r="C41" s="94" t="s">
        <v>86</v>
      </c>
      <c r="D41" s="122" t="s">
        <v>87</v>
      </c>
      <c r="E41" s="123" t="s">
        <v>88</v>
      </c>
    </row>
    <row r="42" spans="1:5">
      <c r="A42" s="74" t="s">
        <v>75</v>
      </c>
      <c r="B42" s="80">
        <v>4.9266238879736406E-2</v>
      </c>
      <c r="C42" s="80">
        <v>8.8281700164744653E-2</v>
      </c>
      <c r="D42" s="80">
        <v>0.49956068094453598</v>
      </c>
      <c r="E42" s="93">
        <f>SUM(B42:D42)</f>
        <v>0.63710861998901702</v>
      </c>
    </row>
    <row r="43" spans="1:5">
      <c r="A43" s="74" t="s">
        <v>67</v>
      </c>
      <c r="B43" s="80">
        <v>5.5069372874288078E-2</v>
      </c>
      <c r="C43" s="80">
        <v>0.23441788650701476</v>
      </c>
      <c r="D43" s="80">
        <v>0.23441788650701476</v>
      </c>
      <c r="E43" s="93">
        <f>SUM(B43:D43)</f>
        <v>0.5239051458883176</v>
      </c>
    </row>
    <row r="44" spans="1:5">
      <c r="A44" s="74" t="s">
        <v>72</v>
      </c>
      <c r="B44" s="80">
        <v>4.9069237703152024E-2</v>
      </c>
      <c r="C44" s="80">
        <v>0.10306604184060569</v>
      </c>
      <c r="D44" s="80">
        <v>0.3015330214130596</v>
      </c>
      <c r="E44" s="93">
        <f>SUM(B44:D44)</f>
        <v>0.45366830095681732</v>
      </c>
    </row>
    <row r="45" spans="1:5">
      <c r="A45" s="74" t="s">
        <v>78</v>
      </c>
      <c r="B45" s="80">
        <v>8.2353985154907314E-2</v>
      </c>
      <c r="C45" s="80">
        <v>0.123451491338434</v>
      </c>
      <c r="D45" s="80">
        <v>0.23855573765054286</v>
      </c>
      <c r="E45" s="93">
        <f>SUM(B45:D45)</f>
        <v>0.44436121414388419</v>
      </c>
    </row>
    <row r="46" spans="1:5">
      <c r="A46" s="74" t="s">
        <v>58</v>
      </c>
      <c r="B46" s="80">
        <v>8.431363800740635E-2</v>
      </c>
      <c r="C46" s="80">
        <v>9.6391821897581872E-2</v>
      </c>
      <c r="D46" s="80">
        <v>0.25179060778200918</v>
      </c>
      <c r="E46" s="93">
        <f>SUM(B46:D46)</f>
        <v>0.43249606768699739</v>
      </c>
    </row>
    <row r="47" spans="1:5">
      <c r="A47" s="74" t="s">
        <v>64</v>
      </c>
      <c r="B47" s="80">
        <v>5.143065595463138E-2</v>
      </c>
      <c r="C47" s="80">
        <v>0.10276243289224953</v>
      </c>
      <c r="D47" s="80">
        <v>0.27167580529300567</v>
      </c>
      <c r="E47" s="93">
        <f>SUM(B47:D47)</f>
        <v>0.4258688941398866</v>
      </c>
    </row>
    <row r="48" spans="1:5">
      <c r="A48" s="74" t="s">
        <v>71</v>
      </c>
      <c r="B48" s="80">
        <v>3.8511665158234364E-2</v>
      </c>
      <c r="C48" s="80">
        <v>0.12047236938472426</v>
      </c>
      <c r="D48" s="80">
        <v>0.25267301627220867</v>
      </c>
      <c r="E48" s="93">
        <f>SUM(B48:D48)</f>
        <v>0.41165705081516729</v>
      </c>
    </row>
    <row r="49" spans="1:5">
      <c r="A49" s="74" t="s">
        <v>65</v>
      </c>
      <c r="B49" s="80">
        <v>4.7349614009875751E-2</v>
      </c>
      <c r="C49" s="80">
        <v>0.10182563442841493</v>
      </c>
      <c r="D49" s="80">
        <v>0.25463754010502793</v>
      </c>
      <c r="E49" s="93">
        <f>SUM(B49:D49)</f>
        <v>0.40381278854331859</v>
      </c>
    </row>
    <row r="50" spans="1:5">
      <c r="A50" s="74" t="s">
        <v>59</v>
      </c>
      <c r="B50" s="80">
        <v>4.5284870270270269E-2</v>
      </c>
      <c r="C50" s="80">
        <v>0.1036581081081081</v>
      </c>
      <c r="D50" s="80">
        <v>0.25260108918918922</v>
      </c>
      <c r="E50" s="93">
        <f>SUM(B50:D50)</f>
        <v>0.40154406756756761</v>
      </c>
    </row>
    <row r="51" spans="1:5">
      <c r="A51" s="74" t="s">
        <v>56</v>
      </c>
      <c r="B51" s="80">
        <v>4.9905100447856683E-2</v>
      </c>
      <c r="C51" s="80">
        <v>9.9810201535508639E-2</v>
      </c>
      <c r="D51" s="80">
        <v>0.25162031733845169</v>
      </c>
      <c r="E51" s="93">
        <f>SUM(B51:D51)</f>
        <v>0.40133561932181705</v>
      </c>
    </row>
    <row r="52" spans="1:5">
      <c r="A52" s="74" t="s">
        <v>60</v>
      </c>
      <c r="B52" s="80">
        <v>5.0645296973620323E-2</v>
      </c>
      <c r="C52" s="80">
        <v>9.8842355559151968E-2</v>
      </c>
      <c r="D52" s="80">
        <v>0.25113494416572263</v>
      </c>
      <c r="E52" s="93">
        <f>SUM(B52:D52)</f>
        <v>0.40062259669849493</v>
      </c>
    </row>
    <row r="53" spans="1:5">
      <c r="A53" s="74" t="s">
        <v>55</v>
      </c>
      <c r="B53" s="80">
        <v>0.05</v>
      </c>
      <c r="C53" s="80">
        <v>0.1</v>
      </c>
      <c r="D53" s="80">
        <v>0.25</v>
      </c>
      <c r="E53" s="93">
        <f>SUM(B53:D53)</f>
        <v>0.4</v>
      </c>
    </row>
    <row r="54" spans="1:5">
      <c r="A54" s="74" t="s">
        <v>66</v>
      </c>
      <c r="B54" s="80">
        <v>5.2891346904310695E-2</v>
      </c>
      <c r="C54" s="80">
        <v>0.10159210279546872</v>
      </c>
      <c r="D54" s="80">
        <v>0.24541668828296642</v>
      </c>
      <c r="E54" s="93">
        <f>SUM(B54:D54)</f>
        <v>0.39990013798274582</v>
      </c>
    </row>
    <row r="55" spans="1:5">
      <c r="A55" s="74" t="s">
        <v>61</v>
      </c>
      <c r="B55" s="80">
        <v>5.5141579731743669E-2</v>
      </c>
      <c r="C55" s="80">
        <v>0.10134128166915052</v>
      </c>
      <c r="D55" s="80">
        <v>0.24143070044709389</v>
      </c>
      <c r="E55" s="93">
        <f>SUM(B55:D55)</f>
        <v>0.3979135618479881</v>
      </c>
    </row>
    <row r="56" spans="1:5">
      <c r="A56" s="74" t="s">
        <v>69</v>
      </c>
      <c r="B56" s="80">
        <v>4.5264251596122011E-2</v>
      </c>
      <c r="C56" s="80">
        <v>9.5257748876803036E-2</v>
      </c>
      <c r="D56" s="80">
        <v>0.2528554126270986</v>
      </c>
      <c r="E56" s="93">
        <f>SUM(B56:D56)</f>
        <v>0.39337741310002361</v>
      </c>
    </row>
    <row r="57" spans="1:5">
      <c r="A57" s="74" t="s">
        <v>63</v>
      </c>
      <c r="B57" s="80">
        <v>4.5202489052186288E-2</v>
      </c>
      <c r="C57" s="80">
        <v>9.2238452902002943E-2</v>
      </c>
      <c r="D57" s="80">
        <v>0.25542955876423429</v>
      </c>
      <c r="E57" s="93">
        <f>SUM(B57:D57)</f>
        <v>0.39287050071842355</v>
      </c>
    </row>
    <row r="58" spans="1:5">
      <c r="A58" s="74" t="s">
        <v>76</v>
      </c>
      <c r="B58" s="80">
        <v>4.078856629019495E-2</v>
      </c>
      <c r="C58" s="80">
        <v>9.9876488022444435E-2</v>
      </c>
      <c r="D58" s="80">
        <v>0.24409887921732248</v>
      </c>
      <c r="E58" s="93">
        <f>SUM(B58:D58)</f>
        <v>0.38476393352996185</v>
      </c>
    </row>
    <row r="59" spans="1:5">
      <c r="A59" s="74" t="s">
        <v>70</v>
      </c>
      <c r="B59" s="80">
        <v>5.0080615402512796E-2</v>
      </c>
      <c r="C59" s="80">
        <v>9.5507903676128422E-2</v>
      </c>
      <c r="D59" s="80">
        <v>0.23143564564913915</v>
      </c>
      <c r="E59" s="93">
        <f>SUM(B59:D59)</f>
        <v>0.37702416472778039</v>
      </c>
    </row>
    <row r="60" spans="1:5">
      <c r="A60" s="74" t="s">
        <v>68</v>
      </c>
      <c r="B60" s="80">
        <v>3.1852870583717358E-2</v>
      </c>
      <c r="C60" s="80">
        <v>0.10276998847926266</v>
      </c>
      <c r="D60" s="80">
        <v>0.2385449212749616</v>
      </c>
      <c r="E60" s="93">
        <f>SUM(B60:D60)</f>
        <v>0.37316778033794162</v>
      </c>
    </row>
    <row r="61" spans="1:5">
      <c r="A61" s="74" t="s">
        <v>73</v>
      </c>
      <c r="B61" s="80">
        <v>5.1358703522504892E-2</v>
      </c>
      <c r="C61" s="80">
        <v>9.4178082191780824E-2</v>
      </c>
      <c r="D61" s="80">
        <v>0.22246383806262232</v>
      </c>
      <c r="E61" s="93">
        <f>SUM(B61:D61)</f>
        <v>0.36800062377690801</v>
      </c>
    </row>
    <row r="62" spans="1:5">
      <c r="A62" s="74" t="s">
        <v>114</v>
      </c>
      <c r="B62" s="80">
        <v>5.2127162653033771E-2</v>
      </c>
      <c r="C62" s="80">
        <v>9.7191228037131719E-2</v>
      </c>
      <c r="D62" s="80">
        <v>0.21329105556302974</v>
      </c>
      <c r="E62" s="93">
        <f>SUM(B62:D62)</f>
        <v>0.36260944625319524</v>
      </c>
    </row>
    <row r="63" spans="1:5">
      <c r="A63" s="74" t="s">
        <v>54</v>
      </c>
      <c r="B63" s="80">
        <v>3.9079940973535822E-2</v>
      </c>
      <c r="C63" s="80">
        <v>9.1973490216267037E-2</v>
      </c>
      <c r="D63" s="80">
        <v>0.22302692140606989</v>
      </c>
      <c r="E63" s="93">
        <f>SUM(B63:D63)</f>
        <v>0.35408035259587278</v>
      </c>
    </row>
    <row r="64" spans="1:5">
      <c r="A64" s="74" t="s">
        <v>79</v>
      </c>
      <c r="B64" s="80">
        <v>2.7660442782315178E-2</v>
      </c>
      <c r="C64" s="80">
        <v>0.1003243840882948</v>
      </c>
      <c r="D64" s="80">
        <v>0.22332464893958864</v>
      </c>
      <c r="E64" s="93">
        <f>SUM(B64:D64)</f>
        <v>0.35130947581019861</v>
      </c>
    </row>
    <row r="65" spans="1:5">
      <c r="A65" s="74" t="s">
        <v>57</v>
      </c>
      <c r="B65" s="80">
        <v>3.7203152131482953E-2</v>
      </c>
      <c r="C65" s="80">
        <v>7.4406304262965905E-2</v>
      </c>
      <c r="D65" s="80">
        <v>0.21125434945013527</v>
      </c>
      <c r="E65" s="93">
        <f>SUM(B65:D65)</f>
        <v>0.32286380584458413</v>
      </c>
    </row>
    <row r="66" spans="1:5">
      <c r="A66" s="74" t="s">
        <v>62</v>
      </c>
      <c r="B66" s="80">
        <v>9.4215571343372828E-2</v>
      </c>
      <c r="C66" s="80">
        <v>3.5682809590604589E-2</v>
      </c>
      <c r="D66" s="80">
        <v>0.14658283368652342</v>
      </c>
      <c r="E66" s="93">
        <f>SUM(B66:D66)</f>
        <v>0.27648121462050085</v>
      </c>
    </row>
    <row r="67" spans="1:5">
      <c r="A67" s="74" t="s">
        <v>793</v>
      </c>
      <c r="B67" s="80">
        <v>2.4319653847805944E-2</v>
      </c>
      <c r="C67" s="80">
        <v>6.869528573970779E-2</v>
      </c>
      <c r="D67" s="80">
        <v>0.15117293526751471</v>
      </c>
      <c r="E67" s="93">
        <f>SUM(B67:D67)</f>
        <v>0.24418787485502846</v>
      </c>
    </row>
  </sheetData>
  <autoFilter ref="A41:E41" xr:uid="{D236D411-F558-47A3-8044-4637B572EC23}">
    <sortState xmlns:xlrd2="http://schemas.microsoft.com/office/spreadsheetml/2017/richdata2" ref="A42:E67">
      <sortCondition descending="1" ref="E41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BEE59-E6F7-429C-8C3D-B45910EB48EF}">
  <dimension ref="A1:Q68"/>
  <sheetViews>
    <sheetView tabSelected="1" zoomScale="70" zoomScaleNormal="70" workbookViewId="0">
      <selection activeCell="H3" sqref="H3"/>
    </sheetView>
  </sheetViews>
  <sheetFormatPr defaultColWidth="10.81640625" defaultRowHeight="14.5"/>
  <cols>
    <col min="1" max="1" width="20.453125" customWidth="1"/>
    <col min="2" max="3" width="27.1796875" customWidth="1"/>
    <col min="4" max="4" width="20.453125" bestFit="1" customWidth="1"/>
    <col min="5" max="5" width="25.1796875" bestFit="1" customWidth="1"/>
    <col min="6" max="6" width="22.81640625" bestFit="1" customWidth="1"/>
    <col min="7" max="9" width="22.81640625" style="45" customWidth="1"/>
    <col min="10" max="10" width="17.453125" bestFit="1" customWidth="1"/>
    <col min="11" max="11" width="17.453125" customWidth="1"/>
    <col min="12" max="12" width="20.54296875" bestFit="1" customWidth="1"/>
    <col min="13" max="13" width="25.453125" bestFit="1" customWidth="1"/>
    <col min="14" max="14" width="23" bestFit="1" customWidth="1"/>
    <col min="15" max="15" width="12.453125" bestFit="1" customWidth="1"/>
    <col min="16" max="16" width="17" bestFit="1" customWidth="1"/>
    <col min="17" max="17" width="15.1796875" bestFit="1" customWidth="1"/>
  </cols>
  <sheetData>
    <row r="1" spans="1:17" s="108" customFormat="1" ht="29">
      <c r="A1" s="110" t="s">
        <v>0</v>
      </c>
      <c r="B1" s="110" t="s">
        <v>21</v>
      </c>
      <c r="C1" s="110" t="s">
        <v>49</v>
      </c>
      <c r="D1" s="110" t="s">
        <v>24</v>
      </c>
      <c r="E1" s="110" t="s">
        <v>23</v>
      </c>
      <c r="F1" s="110" t="s">
        <v>22</v>
      </c>
      <c r="G1" s="111" t="s">
        <v>50</v>
      </c>
      <c r="H1" s="111" t="s">
        <v>51</v>
      </c>
      <c r="I1" s="111" t="s">
        <v>52</v>
      </c>
      <c r="J1" s="110" t="s">
        <v>28</v>
      </c>
      <c r="K1" s="116"/>
      <c r="L1" s="110" t="s">
        <v>31</v>
      </c>
      <c r="M1" s="110" t="s">
        <v>30</v>
      </c>
      <c r="N1" s="110" t="s">
        <v>29</v>
      </c>
      <c r="O1" s="111" t="s">
        <v>53</v>
      </c>
      <c r="P1" s="111" t="s">
        <v>51</v>
      </c>
      <c r="Q1" s="111" t="s">
        <v>52</v>
      </c>
    </row>
    <row r="2" spans="1:17">
      <c r="A2" s="74" t="s">
        <v>54</v>
      </c>
      <c r="B2" s="75">
        <v>3800085.32</v>
      </c>
      <c r="C2" s="76">
        <v>197840.44330000001</v>
      </c>
      <c r="D2" s="75">
        <v>148507.10999999999</v>
      </c>
      <c r="E2" s="75">
        <v>349507.11</v>
      </c>
      <c r="F2" s="75">
        <v>847521.33</v>
      </c>
      <c r="G2" s="80">
        <f>D2/$B2</f>
        <v>3.9079940973535822E-2</v>
      </c>
      <c r="H2" s="80">
        <f>E2/$B2</f>
        <v>9.1973490216267037E-2</v>
      </c>
      <c r="I2" s="80">
        <f>F2/$B2</f>
        <v>0.22302692140606989</v>
      </c>
      <c r="J2" s="76">
        <v>87</v>
      </c>
      <c r="K2" s="76"/>
      <c r="L2" s="76">
        <v>4</v>
      </c>
      <c r="M2" s="76">
        <v>8</v>
      </c>
      <c r="N2" s="76">
        <v>20</v>
      </c>
      <c r="O2" s="80">
        <f>L2/$J2</f>
        <v>4.5977011494252873E-2</v>
      </c>
      <c r="P2" s="80">
        <f t="shared" ref="P2:Q17" si="0">M2/$J2</f>
        <v>9.1954022988505746E-2</v>
      </c>
      <c r="Q2" s="80">
        <f t="shared" si="0"/>
        <v>0.22988505747126436</v>
      </c>
    </row>
    <row r="3" spans="1:17">
      <c r="A3" s="74" t="s">
        <v>55</v>
      </c>
      <c r="B3" s="75">
        <v>5224089</v>
      </c>
      <c r="C3" s="76">
        <v>52240.89</v>
      </c>
      <c r="D3" s="75">
        <v>261204.45</v>
      </c>
      <c r="E3" s="75">
        <v>522408.9</v>
      </c>
      <c r="F3" s="75">
        <v>1306022.25</v>
      </c>
      <c r="G3" s="80">
        <f t="shared" ref="G3:I27" si="1">D3/$B3</f>
        <v>0.05</v>
      </c>
      <c r="H3" s="80">
        <f t="shared" si="1"/>
        <v>0.1</v>
      </c>
      <c r="I3" s="80">
        <f t="shared" si="1"/>
        <v>0.25</v>
      </c>
      <c r="J3" s="76">
        <v>100</v>
      </c>
      <c r="K3" s="76"/>
      <c r="L3" s="76">
        <v>5</v>
      </c>
      <c r="M3" s="76">
        <v>10</v>
      </c>
      <c r="N3" s="76">
        <v>25</v>
      </c>
      <c r="O3" s="80">
        <f t="shared" ref="O3:Q27" si="2">L3/$J3</f>
        <v>0.05</v>
      </c>
      <c r="P3" s="80">
        <f t="shared" si="0"/>
        <v>0.1</v>
      </c>
      <c r="Q3" s="80">
        <f t="shared" si="0"/>
        <v>0.25</v>
      </c>
    </row>
    <row r="4" spans="1:17">
      <c r="A4" s="74" t="s">
        <v>56</v>
      </c>
      <c r="B4" s="75">
        <v>15630000</v>
      </c>
      <c r="C4" s="76">
        <v>134044.17230000001</v>
      </c>
      <c r="D4" s="75">
        <v>780016.72</v>
      </c>
      <c r="E4" s="75">
        <v>1560033.45</v>
      </c>
      <c r="F4" s="75">
        <v>3932825.56</v>
      </c>
      <c r="G4" s="80">
        <f t="shared" si="1"/>
        <v>4.9905100447856683E-2</v>
      </c>
      <c r="H4" s="80">
        <f t="shared" si="1"/>
        <v>9.9810201535508639E-2</v>
      </c>
      <c r="I4" s="80">
        <f t="shared" si="1"/>
        <v>0.25162031733845169</v>
      </c>
      <c r="J4" s="76">
        <v>422</v>
      </c>
      <c r="K4" s="76"/>
      <c r="L4" s="76">
        <v>21</v>
      </c>
      <c r="M4" s="76">
        <v>42</v>
      </c>
      <c r="N4" s="76">
        <v>106</v>
      </c>
      <c r="O4" s="80">
        <f t="shared" si="2"/>
        <v>4.9763033175355451E-2</v>
      </c>
      <c r="P4" s="80">
        <f t="shared" si="0"/>
        <v>9.9526066350710901E-2</v>
      </c>
      <c r="Q4" s="80">
        <f t="shared" si="0"/>
        <v>0.25118483412322273</v>
      </c>
    </row>
    <row r="5" spans="1:17">
      <c r="A5" s="74" t="s">
        <v>57</v>
      </c>
      <c r="B5" s="75">
        <v>3565968</v>
      </c>
      <c r="C5" s="76">
        <v>573073.01930000004</v>
      </c>
      <c r="D5" s="75">
        <v>132665.25</v>
      </c>
      <c r="E5" s="75">
        <v>265330.5</v>
      </c>
      <c r="F5" s="75">
        <v>753326.25</v>
      </c>
      <c r="G5" s="80">
        <f t="shared" si="1"/>
        <v>3.7203152131482953E-2</v>
      </c>
      <c r="H5" s="80">
        <f t="shared" si="1"/>
        <v>7.4406304262965905E-2</v>
      </c>
      <c r="I5" s="80">
        <f t="shared" si="1"/>
        <v>0.21125434945013527</v>
      </c>
      <c r="J5" s="76">
        <v>265</v>
      </c>
      <c r="K5" s="76"/>
      <c r="L5" s="76">
        <v>13</v>
      </c>
      <c r="M5" s="76">
        <v>26</v>
      </c>
      <c r="N5" s="76">
        <v>66</v>
      </c>
      <c r="O5" s="80">
        <f t="shared" si="2"/>
        <v>4.9056603773584909E-2</v>
      </c>
      <c r="P5" s="80">
        <f t="shared" si="0"/>
        <v>9.8113207547169817E-2</v>
      </c>
      <c r="Q5" s="80">
        <f t="shared" si="0"/>
        <v>0.24905660377358491</v>
      </c>
    </row>
    <row r="6" spans="1:17">
      <c r="A6" s="74" t="s">
        <v>58</v>
      </c>
      <c r="B6" s="75">
        <v>6638840.7999999998</v>
      </c>
      <c r="C6" s="76">
        <v>175822.64129999999</v>
      </c>
      <c r="D6" s="75">
        <v>559744.81999999995</v>
      </c>
      <c r="E6" s="75">
        <v>639929.96</v>
      </c>
      <c r="F6" s="75">
        <v>1671597.76</v>
      </c>
      <c r="G6" s="80">
        <f t="shared" si="1"/>
        <v>8.431363800740635E-2</v>
      </c>
      <c r="H6" s="80">
        <f t="shared" si="1"/>
        <v>9.6391821897581872E-2</v>
      </c>
      <c r="I6" s="80">
        <f t="shared" si="1"/>
        <v>0.25179060778200918</v>
      </c>
      <c r="J6" s="76">
        <v>155</v>
      </c>
      <c r="K6" s="76"/>
      <c r="L6" s="76">
        <v>13</v>
      </c>
      <c r="M6" s="76">
        <v>15</v>
      </c>
      <c r="N6" s="76">
        <v>39</v>
      </c>
      <c r="O6" s="80">
        <f t="shared" si="2"/>
        <v>8.387096774193549E-2</v>
      </c>
      <c r="P6" s="80">
        <f t="shared" si="0"/>
        <v>9.6774193548387094E-2</v>
      </c>
      <c r="Q6" s="80">
        <f t="shared" si="0"/>
        <v>0.25161290322580643</v>
      </c>
    </row>
    <row r="7" spans="1:17">
      <c r="A7" s="74" t="s">
        <v>59</v>
      </c>
      <c r="B7" s="75">
        <v>3700000</v>
      </c>
      <c r="C7" s="76">
        <v>75350.043220000007</v>
      </c>
      <c r="D7" s="75">
        <v>167554.01999999999</v>
      </c>
      <c r="E7" s="75">
        <v>383535</v>
      </c>
      <c r="F7" s="75">
        <v>934624.03</v>
      </c>
      <c r="G7" s="80">
        <f t="shared" si="1"/>
        <v>4.5284870270270269E-2</v>
      </c>
      <c r="H7" s="80">
        <f t="shared" si="1"/>
        <v>0.1036581081081081</v>
      </c>
      <c r="I7" s="80">
        <f t="shared" si="1"/>
        <v>0.25260108918918922</v>
      </c>
      <c r="J7" s="76">
        <v>134</v>
      </c>
      <c r="K7" s="76"/>
      <c r="L7" s="76">
        <v>6</v>
      </c>
      <c r="M7" s="76">
        <v>14</v>
      </c>
      <c r="N7" s="76">
        <v>34</v>
      </c>
      <c r="O7" s="80">
        <f t="shared" si="2"/>
        <v>4.4776119402985072E-2</v>
      </c>
      <c r="P7" s="80">
        <f t="shared" si="0"/>
        <v>0.1044776119402985</v>
      </c>
      <c r="Q7" s="80">
        <f t="shared" si="0"/>
        <v>0.2537313432835821</v>
      </c>
    </row>
    <row r="8" spans="1:17">
      <c r="A8" s="74" t="s">
        <v>60</v>
      </c>
      <c r="B8" s="75">
        <v>12358000</v>
      </c>
      <c r="C8" s="76">
        <v>95536.127229999998</v>
      </c>
      <c r="D8" s="75">
        <v>625874.57999999996</v>
      </c>
      <c r="E8" s="75">
        <v>1221493.83</v>
      </c>
      <c r="F8" s="75">
        <v>3103525.64</v>
      </c>
      <c r="G8" s="80">
        <f t="shared" si="1"/>
        <v>5.0645296973620323E-2</v>
      </c>
      <c r="H8" s="80">
        <f t="shared" si="1"/>
        <v>9.8842355559151968E-2</v>
      </c>
      <c r="I8" s="80">
        <f t="shared" si="1"/>
        <v>0.25113494416572263</v>
      </c>
      <c r="J8" s="76">
        <v>374</v>
      </c>
      <c r="K8" s="76"/>
      <c r="L8" s="76">
        <v>19</v>
      </c>
      <c r="M8" s="76">
        <v>37</v>
      </c>
      <c r="N8" s="76">
        <v>94</v>
      </c>
      <c r="O8" s="80">
        <f t="shared" si="2"/>
        <v>5.0802139037433157E-2</v>
      </c>
      <c r="P8" s="80">
        <f t="shared" si="0"/>
        <v>9.8930481283422467E-2</v>
      </c>
      <c r="Q8" s="80">
        <f t="shared" si="0"/>
        <v>0.25133689839572193</v>
      </c>
    </row>
    <row r="9" spans="1:17">
      <c r="A9" s="74" t="s">
        <v>61</v>
      </c>
      <c r="B9" s="75">
        <v>3355000</v>
      </c>
      <c r="C9" s="76">
        <v>140000</v>
      </c>
      <c r="D9" s="75">
        <v>185000</v>
      </c>
      <c r="E9" s="75">
        <v>340000</v>
      </c>
      <c r="F9" s="75">
        <v>810000</v>
      </c>
      <c r="G9" s="80">
        <f t="shared" si="1"/>
        <v>5.5141579731743669E-2</v>
      </c>
      <c r="H9" s="80">
        <f t="shared" si="1"/>
        <v>0.10134128166915052</v>
      </c>
      <c r="I9" s="80">
        <f t="shared" si="1"/>
        <v>0.24143070044709389</v>
      </c>
      <c r="J9" s="76">
        <v>144</v>
      </c>
      <c r="K9" s="76"/>
      <c r="L9" s="76">
        <v>7</v>
      </c>
      <c r="M9" s="76">
        <v>14</v>
      </c>
      <c r="N9" s="76">
        <v>35</v>
      </c>
      <c r="O9" s="80">
        <f t="shared" si="2"/>
        <v>4.8611111111111112E-2</v>
      </c>
      <c r="P9" s="80">
        <f t="shared" si="0"/>
        <v>9.7222222222222224E-2</v>
      </c>
      <c r="Q9" s="80">
        <f t="shared" si="0"/>
        <v>0.24305555555555555</v>
      </c>
    </row>
    <row r="10" spans="1:17">
      <c r="A10" s="74" t="s">
        <v>62</v>
      </c>
      <c r="B10" s="75">
        <v>9401094.0800000001</v>
      </c>
      <c r="C10" s="76">
        <v>875984.58</v>
      </c>
      <c r="D10" s="75">
        <v>885729.45</v>
      </c>
      <c r="E10" s="75">
        <v>335457.45</v>
      </c>
      <c r="F10" s="75">
        <v>1378039.01</v>
      </c>
      <c r="G10" s="80">
        <f t="shared" si="1"/>
        <v>9.4215571343372828E-2</v>
      </c>
      <c r="H10" s="80">
        <f t="shared" si="1"/>
        <v>3.5682809590604589E-2</v>
      </c>
      <c r="I10" s="80">
        <f t="shared" si="1"/>
        <v>0.14658283368652342</v>
      </c>
      <c r="J10" s="76">
        <v>283</v>
      </c>
      <c r="K10" s="76"/>
      <c r="L10" s="76">
        <v>46</v>
      </c>
      <c r="M10" s="76">
        <v>17</v>
      </c>
      <c r="N10" s="76">
        <v>50</v>
      </c>
      <c r="O10" s="80">
        <f t="shared" si="2"/>
        <v>0.16254416961130741</v>
      </c>
      <c r="P10" s="80">
        <f t="shared" si="0"/>
        <v>6.0070671378091869E-2</v>
      </c>
      <c r="Q10" s="80">
        <f t="shared" si="0"/>
        <v>0.17667844522968199</v>
      </c>
    </row>
    <row r="11" spans="1:17">
      <c r="A11" s="74" t="s">
        <v>63</v>
      </c>
      <c r="B11" s="75">
        <v>9127450.25</v>
      </c>
      <c r="C11" s="76">
        <v>492306.58929999999</v>
      </c>
      <c r="D11" s="75">
        <v>412583.47</v>
      </c>
      <c r="E11" s="75">
        <v>841901.89</v>
      </c>
      <c r="F11" s="75">
        <v>2331420.59</v>
      </c>
      <c r="G11" s="80">
        <f t="shared" si="1"/>
        <v>4.5202489052186288E-2</v>
      </c>
      <c r="H11" s="80">
        <f t="shared" si="1"/>
        <v>9.2238452902002943E-2</v>
      </c>
      <c r="I11" s="80">
        <f t="shared" si="1"/>
        <v>0.25542955876423429</v>
      </c>
      <c r="J11" s="76">
        <v>228</v>
      </c>
      <c r="K11" s="76"/>
      <c r="L11" s="76">
        <v>11</v>
      </c>
      <c r="M11" s="76">
        <v>23</v>
      </c>
      <c r="N11" s="76">
        <v>56</v>
      </c>
      <c r="O11" s="80">
        <f t="shared" si="2"/>
        <v>4.8245614035087717E-2</v>
      </c>
      <c r="P11" s="80">
        <f t="shared" si="0"/>
        <v>0.10087719298245613</v>
      </c>
      <c r="Q11" s="80">
        <f t="shared" si="0"/>
        <v>0.24561403508771928</v>
      </c>
    </row>
    <row r="12" spans="1:17">
      <c r="A12" s="74" t="s">
        <v>64</v>
      </c>
      <c r="B12" s="75">
        <v>5290000</v>
      </c>
      <c r="C12" s="76">
        <v>294806.63650000002</v>
      </c>
      <c r="D12" s="75">
        <v>272068.17</v>
      </c>
      <c r="E12" s="75">
        <v>543613.27</v>
      </c>
      <c r="F12" s="75">
        <v>1437165.01</v>
      </c>
      <c r="G12" s="80">
        <f t="shared" si="1"/>
        <v>5.143065595463138E-2</v>
      </c>
      <c r="H12" s="80">
        <f t="shared" si="1"/>
        <v>0.10276243289224953</v>
      </c>
      <c r="I12" s="80">
        <f t="shared" si="1"/>
        <v>0.27167580529300567</v>
      </c>
      <c r="J12" s="76">
        <v>224</v>
      </c>
      <c r="K12" s="76"/>
      <c r="L12" s="76">
        <v>14</v>
      </c>
      <c r="M12" s="76">
        <v>23</v>
      </c>
      <c r="N12" s="76">
        <v>78</v>
      </c>
      <c r="O12" s="80">
        <f t="shared" si="2"/>
        <v>6.25E-2</v>
      </c>
      <c r="P12" s="80">
        <f t="shared" si="0"/>
        <v>0.10267857142857142</v>
      </c>
      <c r="Q12" s="80">
        <f t="shared" si="0"/>
        <v>0.3482142857142857</v>
      </c>
    </row>
    <row r="13" spans="1:17">
      <c r="A13" s="74" t="s">
        <v>65</v>
      </c>
      <c r="B13" s="75">
        <v>2538254.06</v>
      </c>
      <c r="C13" s="76">
        <v>55477.290220000003</v>
      </c>
      <c r="D13" s="75">
        <v>120185.35</v>
      </c>
      <c r="E13" s="75">
        <v>258459.33</v>
      </c>
      <c r="F13" s="75">
        <v>646334.77</v>
      </c>
      <c r="G13" s="80">
        <f t="shared" si="1"/>
        <v>4.7349614009875751E-2</v>
      </c>
      <c r="H13" s="80">
        <f t="shared" si="1"/>
        <v>0.10182563442841493</v>
      </c>
      <c r="I13" s="80">
        <f t="shared" si="1"/>
        <v>0.25463754010502793</v>
      </c>
      <c r="J13" s="76">
        <v>151</v>
      </c>
      <c r="K13" s="76"/>
      <c r="L13" s="76">
        <v>7</v>
      </c>
      <c r="M13" s="76">
        <v>15</v>
      </c>
      <c r="N13" s="76">
        <v>38</v>
      </c>
      <c r="O13" s="80">
        <f t="shared" si="2"/>
        <v>4.6357615894039736E-2</v>
      </c>
      <c r="P13" s="80">
        <f t="shared" si="0"/>
        <v>9.9337748344370855E-2</v>
      </c>
      <c r="Q13" s="80">
        <f t="shared" si="0"/>
        <v>0.25165562913907286</v>
      </c>
    </row>
    <row r="14" spans="1:17">
      <c r="A14" s="74" t="s">
        <v>66</v>
      </c>
      <c r="B14" s="75">
        <v>6619233.4000000004</v>
      </c>
      <c r="C14" s="76">
        <v>298774.21429999999</v>
      </c>
      <c r="D14" s="75">
        <v>350100.17</v>
      </c>
      <c r="E14" s="75">
        <v>672461.84</v>
      </c>
      <c r="F14" s="75">
        <v>1624470.34</v>
      </c>
      <c r="G14" s="80">
        <f t="shared" si="1"/>
        <v>5.2891346904310695E-2</v>
      </c>
      <c r="H14" s="80">
        <f t="shared" si="1"/>
        <v>0.10159210279546872</v>
      </c>
      <c r="I14" s="80">
        <f t="shared" si="1"/>
        <v>0.24541668828296642</v>
      </c>
      <c r="J14" s="76">
        <v>402</v>
      </c>
      <c r="K14" s="76"/>
      <c r="L14" s="76">
        <v>26</v>
      </c>
      <c r="M14" s="76">
        <v>40</v>
      </c>
      <c r="N14" s="76">
        <v>103</v>
      </c>
      <c r="O14" s="80">
        <f t="shared" si="2"/>
        <v>6.4676616915422883E-2</v>
      </c>
      <c r="P14" s="80">
        <f t="shared" si="0"/>
        <v>9.950248756218906E-2</v>
      </c>
      <c r="Q14" s="80">
        <f t="shared" si="0"/>
        <v>0.25621890547263682</v>
      </c>
    </row>
    <row r="15" spans="1:17">
      <c r="A15" s="74" t="s">
        <v>67</v>
      </c>
      <c r="B15" s="75">
        <v>13366857.140000001</v>
      </c>
      <c r="C15" s="76">
        <v>321410.27380000002</v>
      </c>
      <c r="D15" s="75">
        <v>736104.44</v>
      </c>
      <c r="E15" s="75">
        <v>3133430.4</v>
      </c>
      <c r="F15" s="75">
        <v>3133430.4</v>
      </c>
      <c r="G15" s="80">
        <f t="shared" si="1"/>
        <v>5.5069372874288078E-2</v>
      </c>
      <c r="H15" s="80">
        <f t="shared" si="1"/>
        <v>0.23441788650701476</v>
      </c>
      <c r="I15" s="80">
        <f t="shared" si="1"/>
        <v>0.23441788650701476</v>
      </c>
      <c r="J15" s="76">
        <v>414</v>
      </c>
      <c r="K15" s="76"/>
      <c r="L15" s="76">
        <v>23</v>
      </c>
      <c r="M15" s="76">
        <v>95</v>
      </c>
      <c r="N15" s="76">
        <v>95</v>
      </c>
      <c r="O15" s="80">
        <f t="shared" si="2"/>
        <v>5.5555555555555552E-2</v>
      </c>
      <c r="P15" s="80">
        <f t="shared" si="0"/>
        <v>0.22946859903381642</v>
      </c>
      <c r="Q15" s="80">
        <f t="shared" si="0"/>
        <v>0.22946859903381642</v>
      </c>
    </row>
    <row r="16" spans="1:17">
      <c r="A16" s="74" t="s">
        <v>68</v>
      </c>
      <c r="B16" s="75">
        <v>5208000</v>
      </c>
      <c r="C16" s="76">
        <v>217921.17819999999</v>
      </c>
      <c r="D16" s="75">
        <v>165889.75</v>
      </c>
      <c r="E16" s="75">
        <v>535226.1</v>
      </c>
      <c r="F16" s="75">
        <v>1242341.95</v>
      </c>
      <c r="G16" s="80">
        <f t="shared" si="1"/>
        <v>3.1852870583717358E-2</v>
      </c>
      <c r="H16" s="80">
        <f t="shared" si="1"/>
        <v>0.10276998847926266</v>
      </c>
      <c r="I16" s="80">
        <f t="shared" si="1"/>
        <v>0.2385449212749616</v>
      </c>
      <c r="J16" s="76">
        <v>719</v>
      </c>
      <c r="K16" s="76"/>
      <c r="L16" s="76">
        <v>34</v>
      </c>
      <c r="M16" s="76">
        <v>73</v>
      </c>
      <c r="N16" s="76">
        <v>181</v>
      </c>
      <c r="O16" s="80">
        <f t="shared" si="2"/>
        <v>4.7287899860917942E-2</v>
      </c>
      <c r="P16" s="80">
        <f t="shared" si="0"/>
        <v>0.10152990264255911</v>
      </c>
      <c r="Q16" s="80">
        <f t="shared" si="0"/>
        <v>0.2517385257301808</v>
      </c>
    </row>
    <row r="17" spans="1:17">
      <c r="A17" s="74" t="s">
        <v>69</v>
      </c>
      <c r="B17" s="75">
        <v>2114500</v>
      </c>
      <c r="C17" s="76">
        <v>118454.11259999999</v>
      </c>
      <c r="D17" s="75">
        <v>95711.26</v>
      </c>
      <c r="E17" s="75">
        <v>201422.51</v>
      </c>
      <c r="F17" s="75">
        <v>534662.77</v>
      </c>
      <c r="G17" s="80">
        <f t="shared" si="1"/>
        <v>4.5264251596122011E-2</v>
      </c>
      <c r="H17" s="80">
        <f t="shared" si="1"/>
        <v>9.5257748876803036E-2</v>
      </c>
      <c r="I17" s="80">
        <f t="shared" si="1"/>
        <v>0.2528554126270986</v>
      </c>
      <c r="J17" s="76">
        <v>92</v>
      </c>
      <c r="K17" s="76"/>
      <c r="L17" s="76">
        <v>4</v>
      </c>
      <c r="M17" s="76">
        <v>9</v>
      </c>
      <c r="N17" s="76">
        <v>23</v>
      </c>
      <c r="O17" s="80">
        <f t="shared" si="2"/>
        <v>4.3478260869565216E-2</v>
      </c>
      <c r="P17" s="80">
        <f t="shared" si="0"/>
        <v>9.7826086956521743E-2</v>
      </c>
      <c r="Q17" s="80">
        <f t="shared" si="0"/>
        <v>0.25</v>
      </c>
    </row>
    <row r="18" spans="1:17">
      <c r="A18" s="74" t="s">
        <v>70</v>
      </c>
      <c r="B18" s="75">
        <v>8596000</v>
      </c>
      <c r="C18" s="76">
        <v>943044.04870000004</v>
      </c>
      <c r="D18" s="75">
        <v>430492.97</v>
      </c>
      <c r="E18" s="75">
        <v>820985.94</v>
      </c>
      <c r="F18" s="75">
        <v>1989420.81</v>
      </c>
      <c r="G18" s="80">
        <f t="shared" si="1"/>
        <v>5.0080615402512796E-2</v>
      </c>
      <c r="H18" s="80">
        <f t="shared" si="1"/>
        <v>9.5507903676128422E-2</v>
      </c>
      <c r="I18" s="80">
        <f t="shared" si="1"/>
        <v>0.23143564564913915</v>
      </c>
      <c r="J18" s="76">
        <v>233</v>
      </c>
      <c r="K18" s="76"/>
      <c r="L18" s="76">
        <v>12</v>
      </c>
      <c r="M18" s="76">
        <v>24</v>
      </c>
      <c r="N18" s="76">
        <v>58</v>
      </c>
      <c r="O18" s="80">
        <f t="shared" si="2"/>
        <v>5.1502145922746781E-2</v>
      </c>
      <c r="P18" s="80">
        <f t="shared" si="2"/>
        <v>0.10300429184549356</v>
      </c>
      <c r="Q18" s="80">
        <f t="shared" si="2"/>
        <v>0.24892703862660945</v>
      </c>
    </row>
    <row r="19" spans="1:17">
      <c r="A19" s="74" t="s">
        <v>71</v>
      </c>
      <c r="B19" s="75">
        <v>3672808.73</v>
      </c>
      <c r="C19" s="76">
        <v>170348.93090000001</v>
      </c>
      <c r="D19" s="75">
        <v>141445.98000000001</v>
      </c>
      <c r="E19" s="75">
        <v>442471.97</v>
      </c>
      <c r="F19" s="75">
        <v>928019.66</v>
      </c>
      <c r="G19" s="80">
        <f t="shared" si="1"/>
        <v>3.8511665158234364E-2</v>
      </c>
      <c r="H19" s="80">
        <f t="shared" si="1"/>
        <v>0.12047236938472426</v>
      </c>
      <c r="I19" s="80">
        <f t="shared" si="1"/>
        <v>0.25267301627220867</v>
      </c>
      <c r="J19" s="76">
        <v>117</v>
      </c>
      <c r="K19" s="76"/>
      <c r="L19" s="76">
        <v>5</v>
      </c>
      <c r="M19" s="76">
        <v>14</v>
      </c>
      <c r="N19" s="76">
        <v>28</v>
      </c>
      <c r="O19" s="80">
        <f t="shared" si="2"/>
        <v>4.2735042735042736E-2</v>
      </c>
      <c r="P19" s="80">
        <f t="shared" si="2"/>
        <v>0.11965811965811966</v>
      </c>
      <c r="Q19" s="80">
        <f t="shared" si="2"/>
        <v>0.23931623931623933</v>
      </c>
    </row>
    <row r="20" spans="1:17">
      <c r="A20" s="74" t="s">
        <v>72</v>
      </c>
      <c r="B20" s="75">
        <v>10146994.6</v>
      </c>
      <c r="C20" s="76">
        <v>127777.7778</v>
      </c>
      <c r="D20" s="75">
        <v>497905.29</v>
      </c>
      <c r="E20" s="75">
        <v>1045810.57</v>
      </c>
      <c r="F20" s="75">
        <v>3059653.94</v>
      </c>
      <c r="G20" s="80">
        <f t="shared" si="1"/>
        <v>4.9069237703152024E-2</v>
      </c>
      <c r="H20" s="80">
        <f t="shared" si="1"/>
        <v>0.10306604184060569</v>
      </c>
      <c r="I20" s="80">
        <f t="shared" si="1"/>
        <v>0.3015330214130596</v>
      </c>
      <c r="J20" s="76">
        <v>46</v>
      </c>
      <c r="K20" s="76"/>
      <c r="L20" s="76">
        <v>2</v>
      </c>
      <c r="M20" s="76">
        <v>5</v>
      </c>
      <c r="N20" s="76">
        <v>14</v>
      </c>
      <c r="O20" s="80">
        <f t="shared" si="2"/>
        <v>4.3478260869565216E-2</v>
      </c>
      <c r="P20" s="80">
        <f t="shared" si="2"/>
        <v>0.10869565217391304</v>
      </c>
      <c r="Q20" s="80">
        <f t="shared" si="2"/>
        <v>0.30434782608695654</v>
      </c>
    </row>
    <row r="21" spans="1:17">
      <c r="A21" s="74" t="s">
        <v>73</v>
      </c>
      <c r="B21" s="75">
        <v>4088000</v>
      </c>
      <c r="C21" s="76">
        <v>124977.1909</v>
      </c>
      <c r="D21" s="75">
        <v>209954.38</v>
      </c>
      <c r="E21" s="75">
        <v>385000</v>
      </c>
      <c r="F21" s="75">
        <v>909432.17</v>
      </c>
      <c r="G21" s="80">
        <f t="shared" si="1"/>
        <v>5.1358703522504892E-2</v>
      </c>
      <c r="H21" s="80">
        <f t="shared" si="1"/>
        <v>9.4178082191780824E-2</v>
      </c>
      <c r="I21" s="80">
        <f t="shared" si="1"/>
        <v>0.22246383806262232</v>
      </c>
      <c r="J21" s="76">
        <v>214</v>
      </c>
      <c r="K21" s="76"/>
      <c r="L21" s="76">
        <v>10</v>
      </c>
      <c r="M21" s="76">
        <v>28</v>
      </c>
      <c r="N21" s="76">
        <v>44</v>
      </c>
      <c r="O21" s="80">
        <f t="shared" si="2"/>
        <v>4.6728971962616821E-2</v>
      </c>
      <c r="P21" s="80">
        <f t="shared" si="2"/>
        <v>0.13084112149532709</v>
      </c>
      <c r="Q21" s="80">
        <f t="shared" si="2"/>
        <v>0.20560747663551401</v>
      </c>
    </row>
    <row r="22" spans="1:17">
      <c r="A22" s="74" t="s">
        <v>74</v>
      </c>
      <c r="B22" s="75">
        <v>37165000</v>
      </c>
      <c r="C22" s="76">
        <v>1130809.0830000001</v>
      </c>
      <c r="D22" s="75">
        <v>1937306</v>
      </c>
      <c r="E22" s="75">
        <v>3612111.99</v>
      </c>
      <c r="F22" s="75">
        <v>7926962.0800000001</v>
      </c>
      <c r="G22" s="80">
        <f t="shared" si="1"/>
        <v>5.2127162653033771E-2</v>
      </c>
      <c r="H22" s="80">
        <f t="shared" si="1"/>
        <v>9.7191228037131719E-2</v>
      </c>
      <c r="I22" s="80">
        <f t="shared" si="1"/>
        <v>0.21329105556302974</v>
      </c>
      <c r="J22" s="76">
        <v>234</v>
      </c>
      <c r="K22" s="76"/>
      <c r="L22" s="76">
        <v>13</v>
      </c>
      <c r="M22" s="76">
        <v>23</v>
      </c>
      <c r="N22" s="76">
        <v>51</v>
      </c>
      <c r="O22" s="80">
        <f t="shared" si="2"/>
        <v>5.5555555555555552E-2</v>
      </c>
      <c r="P22" s="80">
        <f t="shared" si="2"/>
        <v>9.8290598290598288E-2</v>
      </c>
      <c r="Q22" s="80">
        <f t="shared" si="2"/>
        <v>0.21794871794871795</v>
      </c>
    </row>
    <row r="23" spans="1:17">
      <c r="A23" s="74" t="s">
        <v>75</v>
      </c>
      <c r="B23" s="75">
        <v>18210000</v>
      </c>
      <c r="C23" s="76">
        <v>1412951.22</v>
      </c>
      <c r="D23" s="75">
        <v>897138.21</v>
      </c>
      <c r="E23" s="75">
        <v>1607609.76</v>
      </c>
      <c r="F23" s="75">
        <v>9097000</v>
      </c>
      <c r="G23" s="80">
        <f t="shared" si="1"/>
        <v>4.9266238879736406E-2</v>
      </c>
      <c r="H23" s="80">
        <f t="shared" si="1"/>
        <v>8.8281700164744653E-2</v>
      </c>
      <c r="I23" s="80">
        <f t="shared" si="1"/>
        <v>0.49956068094453598</v>
      </c>
      <c r="J23" s="76">
        <v>279</v>
      </c>
      <c r="K23" s="76"/>
      <c r="L23" s="76">
        <v>14</v>
      </c>
      <c r="M23" s="76">
        <v>27</v>
      </c>
      <c r="N23" s="76">
        <v>139</v>
      </c>
      <c r="O23" s="80">
        <f t="shared" si="2"/>
        <v>5.0179211469534052E-2</v>
      </c>
      <c r="P23" s="80">
        <f t="shared" si="2"/>
        <v>9.6774193548387094E-2</v>
      </c>
      <c r="Q23" s="80">
        <f t="shared" si="2"/>
        <v>0.49820788530465948</v>
      </c>
    </row>
    <row r="24" spans="1:17">
      <c r="A24" s="74" t="s">
        <v>76</v>
      </c>
      <c r="B24" s="75">
        <v>6950500</v>
      </c>
      <c r="C24" s="76">
        <v>165428.4601</v>
      </c>
      <c r="D24" s="75">
        <v>283500.93</v>
      </c>
      <c r="E24" s="75">
        <v>694191.53</v>
      </c>
      <c r="F24" s="75">
        <v>1696609.26</v>
      </c>
      <c r="G24" s="80">
        <f t="shared" si="1"/>
        <v>4.078856629019495E-2</v>
      </c>
      <c r="H24" s="80">
        <f t="shared" si="1"/>
        <v>9.9876488022444435E-2</v>
      </c>
      <c r="I24" s="80">
        <f t="shared" si="1"/>
        <v>0.24409887921732248</v>
      </c>
      <c r="J24" s="76">
        <v>294</v>
      </c>
      <c r="K24" s="76"/>
      <c r="L24" s="76">
        <v>14</v>
      </c>
      <c r="M24" s="76">
        <v>29</v>
      </c>
      <c r="N24" s="76">
        <v>73</v>
      </c>
      <c r="O24" s="80">
        <f t="shared" si="2"/>
        <v>4.7619047619047616E-2</v>
      </c>
      <c r="P24" s="80">
        <f t="shared" si="2"/>
        <v>9.8639455782312924E-2</v>
      </c>
      <c r="Q24" s="80">
        <f t="shared" si="2"/>
        <v>0.24829931972789115</v>
      </c>
    </row>
    <row r="25" spans="1:17">
      <c r="A25" s="74" t="s">
        <v>77</v>
      </c>
      <c r="B25" s="75">
        <v>65185200</v>
      </c>
      <c r="C25" s="76">
        <v>6115771.6969999997</v>
      </c>
      <c r="D25" s="75">
        <v>1585281.5</v>
      </c>
      <c r="E25" s="75">
        <v>4477915.9400000004</v>
      </c>
      <c r="F25" s="75">
        <v>9854238.0199999996</v>
      </c>
      <c r="G25" s="80">
        <f t="shared" si="1"/>
        <v>2.4319653847805944E-2</v>
      </c>
      <c r="H25" s="80">
        <f t="shared" si="1"/>
        <v>6.869528573970779E-2</v>
      </c>
      <c r="I25" s="80">
        <f t="shared" si="1"/>
        <v>0.15117293526751471</v>
      </c>
      <c r="J25" s="76">
        <v>610</v>
      </c>
      <c r="K25" s="76"/>
      <c r="L25" s="76">
        <v>29</v>
      </c>
      <c r="M25" s="76">
        <v>64</v>
      </c>
      <c r="N25" s="76">
        <v>148</v>
      </c>
      <c r="O25" s="80">
        <f t="shared" si="2"/>
        <v>4.7540983606557376E-2</v>
      </c>
      <c r="P25" s="80">
        <f t="shared" si="2"/>
        <v>0.10491803278688525</v>
      </c>
      <c r="Q25" s="80">
        <f t="shared" si="2"/>
        <v>0.24262295081967214</v>
      </c>
    </row>
    <row r="26" spans="1:17">
      <c r="A26" s="74" t="s">
        <v>78</v>
      </c>
      <c r="B26" s="75">
        <v>5453008.7300000004</v>
      </c>
      <c r="C26" s="76">
        <v>319566.54849999998</v>
      </c>
      <c r="D26" s="75">
        <v>449077</v>
      </c>
      <c r="E26" s="75">
        <v>673182.06</v>
      </c>
      <c r="F26" s="75">
        <v>1300846.52</v>
      </c>
      <c r="G26" s="80">
        <f t="shared" si="1"/>
        <v>8.2353985154907314E-2</v>
      </c>
      <c r="H26" s="80">
        <f t="shared" si="1"/>
        <v>0.123451491338434</v>
      </c>
      <c r="I26" s="80">
        <f t="shared" si="1"/>
        <v>0.23855573765054286</v>
      </c>
      <c r="J26" s="76">
        <v>143</v>
      </c>
      <c r="K26" s="76"/>
      <c r="L26" s="76">
        <v>9</v>
      </c>
      <c r="M26" s="76">
        <v>15</v>
      </c>
      <c r="N26" s="76">
        <v>36</v>
      </c>
      <c r="O26" s="80">
        <f t="shared" si="2"/>
        <v>6.2937062937062943E-2</v>
      </c>
      <c r="P26" s="80">
        <f t="shared" si="2"/>
        <v>0.1048951048951049</v>
      </c>
      <c r="Q26" s="80">
        <f t="shared" si="2"/>
        <v>0.25174825174825177</v>
      </c>
    </row>
    <row r="27" spans="1:17">
      <c r="A27" s="74" t="s">
        <v>79</v>
      </c>
      <c r="B27" s="75">
        <v>2340558.7000000002</v>
      </c>
      <c r="C27" s="76">
        <v>221074.22380000001</v>
      </c>
      <c r="D27" s="75">
        <v>64740.89</v>
      </c>
      <c r="E27" s="75">
        <v>234815.11</v>
      </c>
      <c r="F27" s="75">
        <v>522704.45</v>
      </c>
      <c r="G27" s="80">
        <f t="shared" si="1"/>
        <v>2.7660442782315178E-2</v>
      </c>
      <c r="H27" s="80">
        <f t="shared" si="1"/>
        <v>0.1003243840882948</v>
      </c>
      <c r="I27" s="80">
        <f t="shared" si="1"/>
        <v>0.22332464893958864</v>
      </c>
      <c r="J27" s="76">
        <v>106</v>
      </c>
      <c r="K27" s="76"/>
      <c r="L27" s="76">
        <v>4</v>
      </c>
      <c r="M27" s="76">
        <v>11</v>
      </c>
      <c r="N27" s="76">
        <v>25</v>
      </c>
      <c r="O27" s="80">
        <f t="shared" si="2"/>
        <v>3.7735849056603772E-2</v>
      </c>
      <c r="P27" s="80">
        <f t="shared" si="2"/>
        <v>0.10377358490566038</v>
      </c>
      <c r="Q27" s="80">
        <f t="shared" si="2"/>
        <v>0.23584905660377359</v>
      </c>
    </row>
    <row r="28" spans="1:17">
      <c r="A28" s="77" t="s">
        <v>20</v>
      </c>
      <c r="B28" s="78">
        <v>269745442.81</v>
      </c>
      <c r="C28" s="79">
        <v>14850791.390000001</v>
      </c>
      <c r="D28" s="78">
        <v>12395782.15</v>
      </c>
      <c r="E28" s="78">
        <v>25798306.399999999</v>
      </c>
      <c r="F28" s="78">
        <v>62972194.560000002</v>
      </c>
      <c r="G28" s="81">
        <f>MEDIAN(G2:G27)</f>
        <v>4.9585669663796544E-2</v>
      </c>
      <c r="H28" s="81">
        <f>MEDIAN(H2:H27)</f>
        <v>9.9843344778976537E-2</v>
      </c>
      <c r="I28" s="81">
        <f>MEDIAN(I2:I27)</f>
        <v>0.24475778375014445</v>
      </c>
      <c r="J28" s="79">
        <v>6470</v>
      </c>
      <c r="K28" s="79"/>
      <c r="L28" s="79">
        <v>365</v>
      </c>
      <c r="M28" s="79">
        <v>701</v>
      </c>
      <c r="N28" s="79">
        <v>1659</v>
      </c>
      <c r="O28" s="81">
        <f>MEDIAN(O2:O27)</f>
        <v>4.8833857442348014E-2</v>
      </c>
      <c r="P28" s="81">
        <f>MEDIAN(P2:P27)</f>
        <v>9.9763033175355453E-2</v>
      </c>
      <c r="Q28" s="81">
        <f>MEDIAN(Q2:Q27)</f>
        <v>0.24952830188679245</v>
      </c>
    </row>
    <row r="32" spans="1:17" s="108" customFormat="1" ht="29">
      <c r="A32" s="107" t="s">
        <v>80</v>
      </c>
      <c r="B32" s="107" t="s">
        <v>81</v>
      </c>
      <c r="C32" s="107" t="s">
        <v>82</v>
      </c>
      <c r="D32" s="107" t="s">
        <v>83</v>
      </c>
      <c r="E32" s="107" t="s">
        <v>84</v>
      </c>
      <c r="G32" s="109"/>
      <c r="H32" s="109"/>
      <c r="I32" s="109"/>
    </row>
    <row r="33" spans="1:9">
      <c r="A33" s="105" t="s">
        <v>45</v>
      </c>
      <c r="B33" s="112">
        <f>F28</f>
        <v>62972194.560000002</v>
      </c>
      <c r="C33" s="113">
        <f>I28</f>
        <v>0.24475778375014445</v>
      </c>
      <c r="D33">
        <f>N28</f>
        <v>1659</v>
      </c>
      <c r="E33" s="113">
        <f>Q28</f>
        <v>0.24952830188679245</v>
      </c>
    </row>
    <row r="34" spans="1:9">
      <c r="A34" s="105" t="s">
        <v>46</v>
      </c>
      <c r="B34" s="112">
        <f>E28</f>
        <v>25798306.399999999</v>
      </c>
      <c r="C34" s="113">
        <f>H28</f>
        <v>9.9843344778976537E-2</v>
      </c>
      <c r="D34" s="105">
        <f>M28</f>
        <v>701</v>
      </c>
      <c r="E34" s="113">
        <f>P28</f>
        <v>9.9763033175355453E-2</v>
      </c>
    </row>
    <row r="35" spans="1:9">
      <c r="A35" s="105" t="s">
        <v>47</v>
      </c>
      <c r="B35" s="112">
        <f>D28</f>
        <v>12395782.15</v>
      </c>
      <c r="C35" s="113">
        <f>G28</f>
        <v>4.9585669663796544E-2</v>
      </c>
      <c r="D35" s="105">
        <f>L28</f>
        <v>365</v>
      </c>
      <c r="E35" s="113">
        <f>O28</f>
        <v>4.8833857442348014E-2</v>
      </c>
    </row>
    <row r="36" spans="1:9">
      <c r="A36" s="105" t="s">
        <v>48</v>
      </c>
      <c r="B36" s="112"/>
      <c r="C36" s="113"/>
      <c r="D36" s="105"/>
      <c r="E36" s="113"/>
    </row>
    <row r="37" spans="1:9">
      <c r="A37" s="106"/>
      <c r="B37" s="114">
        <f>SUM(B33:B35)</f>
        <v>101166283.11000001</v>
      </c>
      <c r="C37" s="115">
        <f>MEDIAN(C33:C35)</f>
        <v>9.9843344778976537E-2</v>
      </c>
      <c r="D37" s="106">
        <f>SUM(D33:D35)</f>
        <v>2725</v>
      </c>
      <c r="E37" s="115">
        <f>MEDIAN(E33:E35)</f>
        <v>9.9763033175355453E-2</v>
      </c>
    </row>
    <row r="41" spans="1:9" ht="29">
      <c r="A41" s="91" t="s">
        <v>792</v>
      </c>
      <c r="B41" s="98" t="s">
        <v>93</v>
      </c>
      <c r="C41" s="95" t="s">
        <v>126</v>
      </c>
      <c r="E41" s="45"/>
      <c r="F41" s="45"/>
      <c r="H41"/>
      <c r="I41"/>
    </row>
    <row r="42" spans="1:9">
      <c r="A42" s="74" t="s">
        <v>75</v>
      </c>
      <c r="B42" s="75">
        <v>9097000</v>
      </c>
      <c r="C42" s="80">
        <v>0.49956068094453598</v>
      </c>
      <c r="E42" s="45"/>
      <c r="F42" s="45"/>
      <c r="H42"/>
      <c r="I42"/>
    </row>
    <row r="43" spans="1:9">
      <c r="A43" s="74" t="s">
        <v>72</v>
      </c>
      <c r="B43" s="75">
        <v>3059653.94</v>
      </c>
      <c r="C43" s="80">
        <v>0.3015330214130596</v>
      </c>
      <c r="E43" s="45"/>
      <c r="F43" s="45"/>
      <c r="H43"/>
      <c r="I43"/>
    </row>
    <row r="44" spans="1:9">
      <c r="A44" s="74" t="s">
        <v>64</v>
      </c>
      <c r="B44" s="75">
        <v>1437165.01</v>
      </c>
      <c r="C44" s="80">
        <v>0.27167580529300567</v>
      </c>
      <c r="E44" s="45"/>
      <c r="F44" s="45"/>
      <c r="H44"/>
      <c r="I44"/>
    </row>
    <row r="45" spans="1:9">
      <c r="A45" s="74" t="s">
        <v>63</v>
      </c>
      <c r="B45" s="75">
        <v>2331420.59</v>
      </c>
      <c r="C45" s="80">
        <v>0.25542955876423429</v>
      </c>
      <c r="E45" s="45"/>
      <c r="F45" s="45"/>
      <c r="H45"/>
      <c r="I45"/>
    </row>
    <row r="46" spans="1:9">
      <c r="A46" s="74" t="s">
        <v>65</v>
      </c>
      <c r="B46" s="75">
        <v>646334.77</v>
      </c>
      <c r="C46" s="80">
        <v>0.25463754010502793</v>
      </c>
      <c r="E46" s="45"/>
      <c r="F46" s="45"/>
      <c r="H46"/>
      <c r="I46"/>
    </row>
    <row r="47" spans="1:9">
      <c r="A47" s="74" t="s">
        <v>69</v>
      </c>
      <c r="B47" s="75">
        <v>534662.77</v>
      </c>
      <c r="C47" s="80">
        <v>0.2528554126270986</v>
      </c>
      <c r="E47" s="45"/>
      <c r="F47" s="45"/>
      <c r="H47"/>
      <c r="I47"/>
    </row>
    <row r="48" spans="1:9">
      <c r="A48" s="74" t="s">
        <v>71</v>
      </c>
      <c r="B48" s="75">
        <v>928019.66</v>
      </c>
      <c r="C48" s="80">
        <v>0.25267301627220867</v>
      </c>
      <c r="E48" s="45"/>
      <c r="F48" s="45"/>
      <c r="H48"/>
      <c r="I48"/>
    </row>
    <row r="49" spans="1:9">
      <c r="A49" s="74" t="s">
        <v>59</v>
      </c>
      <c r="B49" s="75">
        <v>934624.03</v>
      </c>
      <c r="C49" s="80">
        <v>0.25260108918918922</v>
      </c>
      <c r="E49" s="45"/>
      <c r="F49" s="45"/>
      <c r="H49"/>
      <c r="I49"/>
    </row>
    <row r="50" spans="1:9">
      <c r="A50" s="74" t="s">
        <v>58</v>
      </c>
      <c r="B50" s="75">
        <v>1671597.76</v>
      </c>
      <c r="C50" s="80">
        <v>0.25179060778200918</v>
      </c>
      <c r="E50" s="45"/>
      <c r="F50" s="45"/>
      <c r="H50"/>
      <c r="I50"/>
    </row>
    <row r="51" spans="1:9">
      <c r="A51" s="74" t="s">
        <v>56</v>
      </c>
      <c r="B51" s="75">
        <v>3932825.56</v>
      </c>
      <c r="C51" s="80">
        <v>0.25162031733845169</v>
      </c>
      <c r="E51" s="45"/>
      <c r="F51" s="45"/>
      <c r="H51"/>
      <c r="I51"/>
    </row>
    <row r="52" spans="1:9">
      <c r="A52" s="74" t="s">
        <v>60</v>
      </c>
      <c r="B52" s="75">
        <v>3103525.64</v>
      </c>
      <c r="C52" s="80">
        <v>0.25113494416572263</v>
      </c>
      <c r="E52" s="45"/>
      <c r="F52" s="45"/>
      <c r="H52"/>
      <c r="I52"/>
    </row>
    <row r="53" spans="1:9">
      <c r="A53" s="74" t="s">
        <v>55</v>
      </c>
      <c r="B53" s="75">
        <v>1306022.25</v>
      </c>
      <c r="C53" s="80">
        <v>0.25</v>
      </c>
      <c r="E53" s="45"/>
      <c r="F53" s="45"/>
      <c r="H53"/>
      <c r="I53"/>
    </row>
    <row r="54" spans="1:9">
      <c r="A54" s="74" t="s">
        <v>66</v>
      </c>
      <c r="B54" s="75">
        <v>1624470.34</v>
      </c>
      <c r="C54" s="80">
        <v>0.24541668828296642</v>
      </c>
      <c r="E54" s="45"/>
      <c r="F54" s="45"/>
      <c r="H54"/>
      <c r="I54"/>
    </row>
    <row r="55" spans="1:9">
      <c r="A55" s="74" t="s">
        <v>76</v>
      </c>
      <c r="B55" s="75">
        <v>1696609.26</v>
      </c>
      <c r="C55" s="80">
        <v>0.24409887921732248</v>
      </c>
      <c r="E55" s="45"/>
      <c r="F55" s="45"/>
      <c r="H55"/>
      <c r="I55"/>
    </row>
    <row r="56" spans="1:9">
      <c r="A56" s="74" t="s">
        <v>61</v>
      </c>
      <c r="B56" s="75">
        <v>810000</v>
      </c>
      <c r="C56" s="80">
        <v>0.24143070044709389</v>
      </c>
      <c r="E56" s="45"/>
      <c r="F56" s="45"/>
      <c r="H56"/>
      <c r="I56"/>
    </row>
    <row r="57" spans="1:9">
      <c r="A57" s="74" t="s">
        <v>78</v>
      </c>
      <c r="B57" s="75">
        <v>1300846.52</v>
      </c>
      <c r="C57" s="80">
        <v>0.23855573765054286</v>
      </c>
      <c r="E57" s="45"/>
      <c r="F57" s="45"/>
      <c r="H57"/>
      <c r="I57"/>
    </row>
    <row r="58" spans="1:9">
      <c r="A58" s="74" t="s">
        <v>68</v>
      </c>
      <c r="B58" s="75">
        <v>1242341.95</v>
      </c>
      <c r="C58" s="80">
        <v>0.2385449212749616</v>
      </c>
      <c r="E58" s="45"/>
      <c r="F58" s="45"/>
      <c r="H58"/>
      <c r="I58"/>
    </row>
    <row r="59" spans="1:9">
      <c r="A59" s="74" t="s">
        <v>67</v>
      </c>
      <c r="B59" s="75">
        <v>3133430.4</v>
      </c>
      <c r="C59" s="80">
        <v>0.23441788650701476</v>
      </c>
      <c r="E59" s="45"/>
      <c r="F59" s="45"/>
      <c r="H59"/>
      <c r="I59"/>
    </row>
    <row r="60" spans="1:9">
      <c r="A60" s="74" t="s">
        <v>70</v>
      </c>
      <c r="B60" s="75">
        <v>1989420.81</v>
      </c>
      <c r="C60" s="80">
        <v>0.23143564564913915</v>
      </c>
      <c r="E60" s="45"/>
      <c r="F60" s="45"/>
      <c r="H60"/>
      <c r="I60"/>
    </row>
    <row r="61" spans="1:9">
      <c r="A61" s="74" t="s">
        <v>79</v>
      </c>
      <c r="B61" s="75">
        <v>522704.45</v>
      </c>
      <c r="C61" s="80">
        <v>0.22332464893958864</v>
      </c>
      <c r="E61" s="45"/>
      <c r="F61" s="45"/>
      <c r="H61"/>
      <c r="I61"/>
    </row>
    <row r="62" spans="1:9">
      <c r="A62" s="74" t="s">
        <v>54</v>
      </c>
      <c r="B62" s="75">
        <v>847521.33</v>
      </c>
      <c r="C62" s="80">
        <v>0.22302692140606989</v>
      </c>
      <c r="E62" s="45"/>
      <c r="F62" s="45"/>
      <c r="H62"/>
      <c r="I62"/>
    </row>
    <row r="63" spans="1:9">
      <c r="A63" s="74" t="s">
        <v>73</v>
      </c>
      <c r="B63" s="75">
        <v>909432.17</v>
      </c>
      <c r="C63" s="80">
        <v>0.22246383806262232</v>
      </c>
      <c r="E63" s="45"/>
      <c r="F63" s="45"/>
      <c r="H63"/>
      <c r="I63"/>
    </row>
    <row r="64" spans="1:9">
      <c r="A64" s="74" t="s">
        <v>114</v>
      </c>
      <c r="B64" s="75">
        <v>7926962.0800000001</v>
      </c>
      <c r="C64" s="80">
        <v>0.21329105556302974</v>
      </c>
      <c r="E64" s="45"/>
      <c r="F64" s="45"/>
      <c r="H64"/>
      <c r="I64"/>
    </row>
    <row r="65" spans="1:9">
      <c r="A65" s="74" t="s">
        <v>57</v>
      </c>
      <c r="B65" s="75">
        <v>753326.25</v>
      </c>
      <c r="C65" s="80">
        <v>0.21125434945013527</v>
      </c>
      <c r="E65" s="45"/>
      <c r="F65" s="45"/>
      <c r="H65"/>
      <c r="I65"/>
    </row>
    <row r="66" spans="1:9">
      <c r="A66" s="74" t="s">
        <v>793</v>
      </c>
      <c r="B66" s="75">
        <v>9854238.0199999996</v>
      </c>
      <c r="C66" s="80">
        <v>0.15117293526751471</v>
      </c>
      <c r="E66" s="45"/>
      <c r="F66" s="45"/>
      <c r="H66"/>
      <c r="I66"/>
    </row>
    <row r="67" spans="1:9">
      <c r="A67" s="74" t="s">
        <v>62</v>
      </c>
      <c r="B67" s="75">
        <v>1378039.01</v>
      </c>
      <c r="C67" s="80">
        <v>0.14658283368652342</v>
      </c>
      <c r="E67" s="45"/>
      <c r="F67" s="45"/>
      <c r="H67"/>
      <c r="I67"/>
    </row>
    <row r="68" spans="1:9">
      <c r="E68" s="45"/>
      <c r="F68" s="45"/>
      <c r="H68"/>
      <c r="I68"/>
    </row>
  </sheetData>
  <autoFilter ref="A41:E41" xr:uid="{D236D411-F558-47A3-8044-4637B572EC23}">
    <sortState xmlns:xlrd2="http://schemas.microsoft.com/office/spreadsheetml/2017/richdata2" ref="A42:E67">
      <sortCondition descending="1" ref="C41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4B61A-2295-4397-A4D9-1BD2D48D181F}">
  <dimension ref="A1:Q68"/>
  <sheetViews>
    <sheetView topLeftCell="A39" zoomScale="70" zoomScaleNormal="70" workbookViewId="0">
      <selection activeCell="A41" sqref="A41:C67"/>
    </sheetView>
  </sheetViews>
  <sheetFormatPr defaultColWidth="10.81640625" defaultRowHeight="14.5"/>
  <cols>
    <col min="1" max="1" width="20.453125" customWidth="1"/>
    <col min="2" max="3" width="27.1796875" customWidth="1"/>
    <col min="4" max="4" width="20.453125" bestFit="1" customWidth="1"/>
    <col min="5" max="5" width="25.1796875" bestFit="1" customWidth="1"/>
    <col min="6" max="6" width="22.81640625" bestFit="1" customWidth="1"/>
    <col min="7" max="9" width="22.81640625" style="45" customWidth="1"/>
    <col min="10" max="10" width="17.453125" bestFit="1" customWidth="1"/>
    <col min="11" max="11" width="17.453125" customWidth="1"/>
    <col min="12" max="12" width="20.54296875" bestFit="1" customWidth="1"/>
    <col min="13" max="13" width="25.453125" bestFit="1" customWidth="1"/>
    <col min="14" max="14" width="23" bestFit="1" customWidth="1"/>
    <col min="15" max="15" width="12.453125" bestFit="1" customWidth="1"/>
    <col min="16" max="16" width="17" bestFit="1" customWidth="1"/>
    <col min="17" max="17" width="15.1796875" bestFit="1" customWidth="1"/>
  </cols>
  <sheetData>
    <row r="1" spans="1:17" s="108" customFormat="1" ht="29">
      <c r="A1" s="110" t="s">
        <v>0</v>
      </c>
      <c r="B1" s="110" t="s">
        <v>21</v>
      </c>
      <c r="C1" s="110" t="s">
        <v>49</v>
      </c>
      <c r="D1" s="110" t="s">
        <v>24</v>
      </c>
      <c r="E1" s="110" t="s">
        <v>23</v>
      </c>
      <c r="F1" s="110" t="s">
        <v>22</v>
      </c>
      <c r="G1" s="111" t="s">
        <v>50</v>
      </c>
      <c r="H1" s="111" t="s">
        <v>51</v>
      </c>
      <c r="I1" s="111" t="s">
        <v>52</v>
      </c>
      <c r="J1" s="110" t="s">
        <v>28</v>
      </c>
      <c r="K1" s="116"/>
      <c r="L1" s="110" t="s">
        <v>31</v>
      </c>
      <c r="M1" s="110" t="s">
        <v>30</v>
      </c>
      <c r="N1" s="110" t="s">
        <v>29</v>
      </c>
      <c r="O1" s="111" t="s">
        <v>53</v>
      </c>
      <c r="P1" s="111" t="s">
        <v>51</v>
      </c>
      <c r="Q1" s="111" t="s">
        <v>52</v>
      </c>
    </row>
    <row r="2" spans="1:17">
      <c r="A2" s="74" t="s">
        <v>54</v>
      </c>
      <c r="B2" s="75">
        <v>3800085.32</v>
      </c>
      <c r="C2" s="76">
        <v>197840.44330000001</v>
      </c>
      <c r="D2" s="75">
        <v>148507.10999999999</v>
      </c>
      <c r="E2" s="75">
        <v>349507.11</v>
      </c>
      <c r="F2" s="75">
        <v>847521.33</v>
      </c>
      <c r="G2" s="80">
        <f>D2/$B2</f>
        <v>3.9079940973535822E-2</v>
      </c>
      <c r="H2" s="129">
        <f>E2/$B2</f>
        <v>9.1973490216267037E-2</v>
      </c>
      <c r="I2" s="80">
        <f>F2/$B2</f>
        <v>0.22302692140606989</v>
      </c>
      <c r="J2" s="76">
        <v>87</v>
      </c>
      <c r="K2" s="76"/>
      <c r="L2" s="76">
        <v>4</v>
      </c>
      <c r="M2" s="76">
        <v>8</v>
      </c>
      <c r="N2" s="76">
        <v>20</v>
      </c>
      <c r="O2" s="80">
        <f>L2/$J2</f>
        <v>4.5977011494252873E-2</v>
      </c>
      <c r="P2" s="80">
        <f t="shared" ref="P2:Q17" si="0">M2/$J2</f>
        <v>9.1954022988505746E-2</v>
      </c>
      <c r="Q2" s="80">
        <f t="shared" si="0"/>
        <v>0.22988505747126436</v>
      </c>
    </row>
    <row r="3" spans="1:17">
      <c r="A3" s="74" t="s">
        <v>55</v>
      </c>
      <c r="B3" s="75">
        <v>5224089</v>
      </c>
      <c r="C3" s="76">
        <v>52240.89</v>
      </c>
      <c r="D3" s="75">
        <v>261204.45</v>
      </c>
      <c r="E3" s="75">
        <v>522408.9</v>
      </c>
      <c r="F3" s="75">
        <v>1306022.25</v>
      </c>
      <c r="G3" s="80">
        <f t="shared" ref="G3:I27" si="1">D3/$B3</f>
        <v>0.05</v>
      </c>
      <c r="H3" s="129">
        <f t="shared" si="1"/>
        <v>0.1</v>
      </c>
      <c r="I3" s="80">
        <f t="shared" si="1"/>
        <v>0.25</v>
      </c>
      <c r="J3" s="76">
        <v>100</v>
      </c>
      <c r="K3" s="76"/>
      <c r="L3" s="76">
        <v>5</v>
      </c>
      <c r="M3" s="76">
        <v>10</v>
      </c>
      <c r="N3" s="76">
        <v>25</v>
      </c>
      <c r="O3" s="80">
        <f t="shared" ref="O3:Q27" si="2">L3/$J3</f>
        <v>0.05</v>
      </c>
      <c r="P3" s="80">
        <f t="shared" si="0"/>
        <v>0.1</v>
      </c>
      <c r="Q3" s="80">
        <f t="shared" si="0"/>
        <v>0.25</v>
      </c>
    </row>
    <row r="4" spans="1:17">
      <c r="A4" s="74" t="s">
        <v>56</v>
      </c>
      <c r="B4" s="75">
        <v>15630000</v>
      </c>
      <c r="C4" s="76">
        <v>134044.17230000001</v>
      </c>
      <c r="D4" s="75">
        <v>780016.72</v>
      </c>
      <c r="E4" s="75">
        <v>1560033.45</v>
      </c>
      <c r="F4" s="75">
        <v>3932825.56</v>
      </c>
      <c r="G4" s="80">
        <f t="shared" si="1"/>
        <v>4.9905100447856683E-2</v>
      </c>
      <c r="H4" s="129">
        <f t="shared" si="1"/>
        <v>9.9810201535508639E-2</v>
      </c>
      <c r="I4" s="80">
        <f t="shared" si="1"/>
        <v>0.25162031733845169</v>
      </c>
      <c r="J4" s="76">
        <v>422</v>
      </c>
      <c r="K4" s="76"/>
      <c r="L4" s="76">
        <v>21</v>
      </c>
      <c r="M4" s="76">
        <v>42</v>
      </c>
      <c r="N4" s="76">
        <v>106</v>
      </c>
      <c r="O4" s="80">
        <f t="shared" si="2"/>
        <v>4.9763033175355451E-2</v>
      </c>
      <c r="P4" s="80">
        <f t="shared" si="0"/>
        <v>9.9526066350710901E-2</v>
      </c>
      <c r="Q4" s="80">
        <f t="shared" si="0"/>
        <v>0.25118483412322273</v>
      </c>
    </row>
    <row r="5" spans="1:17">
      <c r="A5" s="74" t="s">
        <v>57</v>
      </c>
      <c r="B5" s="75">
        <v>3565968</v>
      </c>
      <c r="C5" s="76">
        <v>573073.01930000004</v>
      </c>
      <c r="D5" s="75">
        <v>132665.25</v>
      </c>
      <c r="E5" s="75">
        <v>265330.5</v>
      </c>
      <c r="F5" s="75">
        <v>753326.25</v>
      </c>
      <c r="G5" s="80">
        <f t="shared" si="1"/>
        <v>3.7203152131482953E-2</v>
      </c>
      <c r="H5" s="129">
        <f t="shared" si="1"/>
        <v>7.4406304262965905E-2</v>
      </c>
      <c r="I5" s="80">
        <f t="shared" si="1"/>
        <v>0.21125434945013527</v>
      </c>
      <c r="J5" s="76">
        <v>265</v>
      </c>
      <c r="K5" s="76"/>
      <c r="L5" s="76">
        <v>13</v>
      </c>
      <c r="M5" s="76">
        <v>26</v>
      </c>
      <c r="N5" s="76">
        <v>66</v>
      </c>
      <c r="O5" s="80">
        <f t="shared" si="2"/>
        <v>4.9056603773584909E-2</v>
      </c>
      <c r="P5" s="80">
        <f t="shared" si="0"/>
        <v>9.8113207547169817E-2</v>
      </c>
      <c r="Q5" s="80">
        <f t="shared" si="0"/>
        <v>0.24905660377358491</v>
      </c>
    </row>
    <row r="6" spans="1:17">
      <c r="A6" s="74" t="s">
        <v>58</v>
      </c>
      <c r="B6" s="75">
        <v>6638840.7999999998</v>
      </c>
      <c r="C6" s="76">
        <v>175822.64129999999</v>
      </c>
      <c r="D6" s="75">
        <v>559744.81999999995</v>
      </c>
      <c r="E6" s="75">
        <v>639929.96</v>
      </c>
      <c r="F6" s="75">
        <v>1671597.76</v>
      </c>
      <c r="G6" s="80">
        <f t="shared" si="1"/>
        <v>8.431363800740635E-2</v>
      </c>
      <c r="H6" s="129">
        <f t="shared" si="1"/>
        <v>9.6391821897581872E-2</v>
      </c>
      <c r="I6" s="80">
        <f t="shared" si="1"/>
        <v>0.25179060778200918</v>
      </c>
      <c r="J6" s="76">
        <v>155</v>
      </c>
      <c r="K6" s="76"/>
      <c r="L6" s="76">
        <v>13</v>
      </c>
      <c r="M6" s="76">
        <v>15</v>
      </c>
      <c r="N6" s="76">
        <v>39</v>
      </c>
      <c r="O6" s="80">
        <f t="shared" si="2"/>
        <v>8.387096774193549E-2</v>
      </c>
      <c r="P6" s="80">
        <f t="shared" si="0"/>
        <v>9.6774193548387094E-2</v>
      </c>
      <c r="Q6" s="80">
        <f t="shared" si="0"/>
        <v>0.25161290322580643</v>
      </c>
    </row>
    <row r="7" spans="1:17">
      <c r="A7" s="74" t="s">
        <v>59</v>
      </c>
      <c r="B7" s="75">
        <v>3700000</v>
      </c>
      <c r="C7" s="76">
        <v>75350.043220000007</v>
      </c>
      <c r="D7" s="75">
        <v>167554.01999999999</v>
      </c>
      <c r="E7" s="75">
        <v>383535</v>
      </c>
      <c r="F7" s="75">
        <v>934624.03</v>
      </c>
      <c r="G7" s="80">
        <f t="shared" si="1"/>
        <v>4.5284870270270269E-2</v>
      </c>
      <c r="H7" s="129">
        <f t="shared" si="1"/>
        <v>0.1036581081081081</v>
      </c>
      <c r="I7" s="80">
        <f t="shared" si="1"/>
        <v>0.25260108918918922</v>
      </c>
      <c r="J7" s="76">
        <v>134</v>
      </c>
      <c r="K7" s="76"/>
      <c r="L7" s="76">
        <v>6</v>
      </c>
      <c r="M7" s="76">
        <v>14</v>
      </c>
      <c r="N7" s="76">
        <v>34</v>
      </c>
      <c r="O7" s="80">
        <f t="shared" si="2"/>
        <v>4.4776119402985072E-2</v>
      </c>
      <c r="P7" s="80">
        <f t="shared" si="0"/>
        <v>0.1044776119402985</v>
      </c>
      <c r="Q7" s="80">
        <f t="shared" si="0"/>
        <v>0.2537313432835821</v>
      </c>
    </row>
    <row r="8" spans="1:17">
      <c r="A8" s="74" t="s">
        <v>60</v>
      </c>
      <c r="B8" s="75">
        <v>12358000</v>
      </c>
      <c r="C8" s="76">
        <v>95536.127229999998</v>
      </c>
      <c r="D8" s="75">
        <v>625874.57999999996</v>
      </c>
      <c r="E8" s="75">
        <v>1221493.83</v>
      </c>
      <c r="F8" s="75">
        <v>3103525.64</v>
      </c>
      <c r="G8" s="80">
        <f t="shared" si="1"/>
        <v>5.0645296973620323E-2</v>
      </c>
      <c r="H8" s="129">
        <f t="shared" si="1"/>
        <v>9.8842355559151968E-2</v>
      </c>
      <c r="I8" s="80">
        <f t="shared" si="1"/>
        <v>0.25113494416572263</v>
      </c>
      <c r="J8" s="76">
        <v>374</v>
      </c>
      <c r="K8" s="76"/>
      <c r="L8" s="76">
        <v>19</v>
      </c>
      <c r="M8" s="76">
        <v>37</v>
      </c>
      <c r="N8" s="76">
        <v>94</v>
      </c>
      <c r="O8" s="80">
        <f t="shared" si="2"/>
        <v>5.0802139037433157E-2</v>
      </c>
      <c r="P8" s="80">
        <f t="shared" si="0"/>
        <v>9.8930481283422467E-2</v>
      </c>
      <c r="Q8" s="80">
        <f t="shared" si="0"/>
        <v>0.25133689839572193</v>
      </c>
    </row>
    <row r="9" spans="1:17">
      <c r="A9" s="74" t="s">
        <v>61</v>
      </c>
      <c r="B9" s="75">
        <v>3355000</v>
      </c>
      <c r="C9" s="76">
        <v>140000</v>
      </c>
      <c r="D9" s="75">
        <v>185000</v>
      </c>
      <c r="E9" s="75">
        <v>340000</v>
      </c>
      <c r="F9" s="75">
        <v>810000</v>
      </c>
      <c r="G9" s="80">
        <f t="shared" si="1"/>
        <v>5.5141579731743669E-2</v>
      </c>
      <c r="H9" s="129">
        <f t="shared" si="1"/>
        <v>0.10134128166915052</v>
      </c>
      <c r="I9" s="80">
        <f t="shared" si="1"/>
        <v>0.24143070044709389</v>
      </c>
      <c r="J9" s="76">
        <v>144</v>
      </c>
      <c r="K9" s="76"/>
      <c r="L9" s="76">
        <v>7</v>
      </c>
      <c r="M9" s="76">
        <v>14</v>
      </c>
      <c r="N9" s="76">
        <v>35</v>
      </c>
      <c r="O9" s="80">
        <f t="shared" si="2"/>
        <v>4.8611111111111112E-2</v>
      </c>
      <c r="P9" s="80">
        <f t="shared" si="0"/>
        <v>9.7222222222222224E-2</v>
      </c>
      <c r="Q9" s="80">
        <f t="shared" si="0"/>
        <v>0.24305555555555555</v>
      </c>
    </row>
    <row r="10" spans="1:17">
      <c r="A10" s="74" t="s">
        <v>62</v>
      </c>
      <c r="B10" s="75">
        <v>9401094.0800000001</v>
      </c>
      <c r="C10" s="76">
        <v>875984.58</v>
      </c>
      <c r="D10" s="75">
        <v>885729.45</v>
      </c>
      <c r="E10" s="75">
        <v>335457.45</v>
      </c>
      <c r="F10" s="75">
        <v>1378039.01</v>
      </c>
      <c r="G10" s="80">
        <f t="shared" si="1"/>
        <v>9.4215571343372828E-2</v>
      </c>
      <c r="H10" s="129">
        <f t="shared" si="1"/>
        <v>3.5682809590604589E-2</v>
      </c>
      <c r="I10" s="80">
        <f t="shared" si="1"/>
        <v>0.14658283368652342</v>
      </c>
      <c r="J10" s="76">
        <v>283</v>
      </c>
      <c r="K10" s="76"/>
      <c r="L10" s="76">
        <v>46</v>
      </c>
      <c r="M10" s="76">
        <v>17</v>
      </c>
      <c r="N10" s="76">
        <v>50</v>
      </c>
      <c r="O10" s="80">
        <f t="shared" si="2"/>
        <v>0.16254416961130741</v>
      </c>
      <c r="P10" s="80">
        <f t="shared" si="0"/>
        <v>6.0070671378091869E-2</v>
      </c>
      <c r="Q10" s="80">
        <f t="shared" si="0"/>
        <v>0.17667844522968199</v>
      </c>
    </row>
    <row r="11" spans="1:17">
      <c r="A11" s="74" t="s">
        <v>63</v>
      </c>
      <c r="B11" s="75">
        <v>9127450.25</v>
      </c>
      <c r="C11" s="76">
        <v>492306.58929999999</v>
      </c>
      <c r="D11" s="75">
        <v>412583.47</v>
      </c>
      <c r="E11" s="75">
        <v>841901.89</v>
      </c>
      <c r="F11" s="75">
        <v>2331420.59</v>
      </c>
      <c r="G11" s="80">
        <f t="shared" si="1"/>
        <v>4.5202489052186288E-2</v>
      </c>
      <c r="H11" s="129">
        <f t="shared" si="1"/>
        <v>9.2238452902002943E-2</v>
      </c>
      <c r="I11" s="80">
        <f t="shared" si="1"/>
        <v>0.25542955876423429</v>
      </c>
      <c r="J11" s="76">
        <v>228</v>
      </c>
      <c r="K11" s="76"/>
      <c r="L11" s="76">
        <v>11</v>
      </c>
      <c r="M11" s="76">
        <v>23</v>
      </c>
      <c r="N11" s="76">
        <v>56</v>
      </c>
      <c r="O11" s="80">
        <f t="shared" si="2"/>
        <v>4.8245614035087717E-2</v>
      </c>
      <c r="P11" s="80">
        <f t="shared" si="0"/>
        <v>0.10087719298245613</v>
      </c>
      <c r="Q11" s="80">
        <f t="shared" si="0"/>
        <v>0.24561403508771928</v>
      </c>
    </row>
    <row r="12" spans="1:17">
      <c r="A12" s="74" t="s">
        <v>64</v>
      </c>
      <c r="B12" s="75">
        <v>5290000</v>
      </c>
      <c r="C12" s="76">
        <v>294806.63650000002</v>
      </c>
      <c r="D12" s="75">
        <v>272068.17</v>
      </c>
      <c r="E12" s="75">
        <v>543613.27</v>
      </c>
      <c r="F12" s="75">
        <v>1437165.01</v>
      </c>
      <c r="G12" s="80">
        <f t="shared" si="1"/>
        <v>5.143065595463138E-2</v>
      </c>
      <c r="H12" s="129">
        <f t="shared" si="1"/>
        <v>0.10276243289224953</v>
      </c>
      <c r="I12" s="80">
        <f t="shared" si="1"/>
        <v>0.27167580529300567</v>
      </c>
      <c r="J12" s="76">
        <v>224</v>
      </c>
      <c r="K12" s="76"/>
      <c r="L12" s="76">
        <v>14</v>
      </c>
      <c r="M12" s="76">
        <v>23</v>
      </c>
      <c r="N12" s="76">
        <v>78</v>
      </c>
      <c r="O12" s="80">
        <f t="shared" si="2"/>
        <v>6.25E-2</v>
      </c>
      <c r="P12" s="80">
        <f t="shared" si="0"/>
        <v>0.10267857142857142</v>
      </c>
      <c r="Q12" s="80">
        <f t="shared" si="0"/>
        <v>0.3482142857142857</v>
      </c>
    </row>
    <row r="13" spans="1:17">
      <c r="A13" s="74" t="s">
        <v>65</v>
      </c>
      <c r="B13" s="75">
        <v>2538254.06</v>
      </c>
      <c r="C13" s="76">
        <v>55477.290220000003</v>
      </c>
      <c r="D13" s="75">
        <v>120185.35</v>
      </c>
      <c r="E13" s="75">
        <v>258459.33</v>
      </c>
      <c r="F13" s="75">
        <v>646334.77</v>
      </c>
      <c r="G13" s="80">
        <f t="shared" si="1"/>
        <v>4.7349614009875751E-2</v>
      </c>
      <c r="H13" s="129">
        <f t="shared" si="1"/>
        <v>0.10182563442841493</v>
      </c>
      <c r="I13" s="80">
        <f t="shared" si="1"/>
        <v>0.25463754010502793</v>
      </c>
      <c r="J13" s="76">
        <v>151</v>
      </c>
      <c r="K13" s="76"/>
      <c r="L13" s="76">
        <v>7</v>
      </c>
      <c r="M13" s="76">
        <v>15</v>
      </c>
      <c r="N13" s="76">
        <v>38</v>
      </c>
      <c r="O13" s="80">
        <f t="shared" si="2"/>
        <v>4.6357615894039736E-2</v>
      </c>
      <c r="P13" s="80">
        <f t="shared" si="0"/>
        <v>9.9337748344370855E-2</v>
      </c>
      <c r="Q13" s="80">
        <f t="shared" si="0"/>
        <v>0.25165562913907286</v>
      </c>
    </row>
    <row r="14" spans="1:17">
      <c r="A14" s="74" t="s">
        <v>66</v>
      </c>
      <c r="B14" s="75">
        <v>6619233.4000000004</v>
      </c>
      <c r="C14" s="76">
        <v>298774.21429999999</v>
      </c>
      <c r="D14" s="75">
        <v>350100.17</v>
      </c>
      <c r="E14" s="75">
        <v>672461.84</v>
      </c>
      <c r="F14" s="75">
        <v>1624470.34</v>
      </c>
      <c r="G14" s="80">
        <f t="shared" si="1"/>
        <v>5.2891346904310695E-2</v>
      </c>
      <c r="H14" s="129">
        <f t="shared" si="1"/>
        <v>0.10159210279546872</v>
      </c>
      <c r="I14" s="80">
        <f t="shared" si="1"/>
        <v>0.24541668828296642</v>
      </c>
      <c r="J14" s="76">
        <v>402</v>
      </c>
      <c r="K14" s="76"/>
      <c r="L14" s="76">
        <v>26</v>
      </c>
      <c r="M14" s="76">
        <v>40</v>
      </c>
      <c r="N14" s="76">
        <v>103</v>
      </c>
      <c r="O14" s="80">
        <f t="shared" si="2"/>
        <v>6.4676616915422883E-2</v>
      </c>
      <c r="P14" s="80">
        <f t="shared" si="0"/>
        <v>9.950248756218906E-2</v>
      </c>
      <c r="Q14" s="80">
        <f t="shared" si="0"/>
        <v>0.25621890547263682</v>
      </c>
    </row>
    <row r="15" spans="1:17">
      <c r="A15" s="74" t="s">
        <v>67</v>
      </c>
      <c r="B15" s="75">
        <v>13366857.140000001</v>
      </c>
      <c r="C15" s="76">
        <v>321410.27380000002</v>
      </c>
      <c r="D15" s="75">
        <v>736104.44</v>
      </c>
      <c r="E15" s="75">
        <v>3133430.4</v>
      </c>
      <c r="F15" s="75">
        <v>3133430.4</v>
      </c>
      <c r="G15" s="80">
        <f t="shared" si="1"/>
        <v>5.5069372874288078E-2</v>
      </c>
      <c r="H15" s="129">
        <f t="shared" si="1"/>
        <v>0.23441788650701476</v>
      </c>
      <c r="I15" s="80">
        <f t="shared" si="1"/>
        <v>0.23441788650701476</v>
      </c>
      <c r="J15" s="76">
        <v>414</v>
      </c>
      <c r="K15" s="76"/>
      <c r="L15" s="76">
        <v>23</v>
      </c>
      <c r="M15" s="76">
        <v>95</v>
      </c>
      <c r="N15" s="76">
        <v>95</v>
      </c>
      <c r="O15" s="80">
        <f t="shared" si="2"/>
        <v>5.5555555555555552E-2</v>
      </c>
      <c r="P15" s="80">
        <f t="shared" si="0"/>
        <v>0.22946859903381642</v>
      </c>
      <c r="Q15" s="80">
        <f t="shared" si="0"/>
        <v>0.22946859903381642</v>
      </c>
    </row>
    <row r="16" spans="1:17">
      <c r="A16" s="74" t="s">
        <v>68</v>
      </c>
      <c r="B16" s="75">
        <v>5208000</v>
      </c>
      <c r="C16" s="76">
        <v>217921.17819999999</v>
      </c>
      <c r="D16" s="75">
        <v>165889.75</v>
      </c>
      <c r="E16" s="75">
        <v>535226.1</v>
      </c>
      <c r="F16" s="75">
        <v>1242341.95</v>
      </c>
      <c r="G16" s="80">
        <f t="shared" si="1"/>
        <v>3.1852870583717358E-2</v>
      </c>
      <c r="H16" s="129">
        <f t="shared" si="1"/>
        <v>0.10276998847926266</v>
      </c>
      <c r="I16" s="80">
        <f t="shared" si="1"/>
        <v>0.2385449212749616</v>
      </c>
      <c r="J16" s="76">
        <v>719</v>
      </c>
      <c r="K16" s="76"/>
      <c r="L16" s="76">
        <v>34</v>
      </c>
      <c r="M16" s="76">
        <v>73</v>
      </c>
      <c r="N16" s="76">
        <v>181</v>
      </c>
      <c r="O16" s="80">
        <f t="shared" si="2"/>
        <v>4.7287899860917942E-2</v>
      </c>
      <c r="P16" s="80">
        <f t="shared" si="0"/>
        <v>0.10152990264255911</v>
      </c>
      <c r="Q16" s="80">
        <f t="shared" si="0"/>
        <v>0.2517385257301808</v>
      </c>
    </row>
    <row r="17" spans="1:17">
      <c r="A17" s="74" t="s">
        <v>69</v>
      </c>
      <c r="B17" s="75">
        <v>2114500</v>
      </c>
      <c r="C17" s="76">
        <v>118454.11259999999</v>
      </c>
      <c r="D17" s="75">
        <v>95711.26</v>
      </c>
      <c r="E17" s="75">
        <v>201422.51</v>
      </c>
      <c r="F17" s="75">
        <v>534662.77</v>
      </c>
      <c r="G17" s="80">
        <f t="shared" si="1"/>
        <v>4.5264251596122011E-2</v>
      </c>
      <c r="H17" s="129">
        <f t="shared" si="1"/>
        <v>9.5257748876803036E-2</v>
      </c>
      <c r="I17" s="80">
        <f t="shared" si="1"/>
        <v>0.2528554126270986</v>
      </c>
      <c r="J17" s="76">
        <v>92</v>
      </c>
      <c r="K17" s="76"/>
      <c r="L17" s="76">
        <v>4</v>
      </c>
      <c r="M17" s="76">
        <v>9</v>
      </c>
      <c r="N17" s="76">
        <v>23</v>
      </c>
      <c r="O17" s="80">
        <f t="shared" si="2"/>
        <v>4.3478260869565216E-2</v>
      </c>
      <c r="P17" s="80">
        <f t="shared" si="0"/>
        <v>9.7826086956521743E-2</v>
      </c>
      <c r="Q17" s="80">
        <f t="shared" si="0"/>
        <v>0.25</v>
      </c>
    </row>
    <row r="18" spans="1:17">
      <c r="A18" s="74" t="s">
        <v>70</v>
      </c>
      <c r="B18" s="75">
        <v>8596000</v>
      </c>
      <c r="C18" s="76">
        <v>943044.04870000004</v>
      </c>
      <c r="D18" s="75">
        <v>430492.97</v>
      </c>
      <c r="E18" s="75">
        <v>820985.94</v>
      </c>
      <c r="F18" s="75">
        <v>1989420.81</v>
      </c>
      <c r="G18" s="80">
        <f t="shared" si="1"/>
        <v>5.0080615402512796E-2</v>
      </c>
      <c r="H18" s="129">
        <f t="shared" si="1"/>
        <v>9.5507903676128422E-2</v>
      </c>
      <c r="I18" s="80">
        <f t="shared" si="1"/>
        <v>0.23143564564913915</v>
      </c>
      <c r="J18" s="76">
        <v>233</v>
      </c>
      <c r="K18" s="76"/>
      <c r="L18" s="76">
        <v>12</v>
      </c>
      <c r="M18" s="76">
        <v>24</v>
      </c>
      <c r="N18" s="76">
        <v>58</v>
      </c>
      <c r="O18" s="80">
        <f t="shared" si="2"/>
        <v>5.1502145922746781E-2</v>
      </c>
      <c r="P18" s="80">
        <f t="shared" si="2"/>
        <v>0.10300429184549356</v>
      </c>
      <c r="Q18" s="80">
        <f t="shared" si="2"/>
        <v>0.24892703862660945</v>
      </c>
    </row>
    <row r="19" spans="1:17">
      <c r="A19" s="74" t="s">
        <v>71</v>
      </c>
      <c r="B19" s="75">
        <v>3672808.73</v>
      </c>
      <c r="C19" s="76">
        <v>170348.93090000001</v>
      </c>
      <c r="D19" s="75">
        <v>141445.98000000001</v>
      </c>
      <c r="E19" s="75">
        <v>442471.97</v>
      </c>
      <c r="F19" s="75">
        <v>928019.66</v>
      </c>
      <c r="G19" s="80">
        <f t="shared" si="1"/>
        <v>3.8511665158234364E-2</v>
      </c>
      <c r="H19" s="129">
        <f t="shared" si="1"/>
        <v>0.12047236938472426</v>
      </c>
      <c r="I19" s="80">
        <f t="shared" si="1"/>
        <v>0.25267301627220867</v>
      </c>
      <c r="J19" s="76">
        <v>117</v>
      </c>
      <c r="K19" s="76"/>
      <c r="L19" s="76">
        <v>5</v>
      </c>
      <c r="M19" s="76">
        <v>14</v>
      </c>
      <c r="N19" s="76">
        <v>28</v>
      </c>
      <c r="O19" s="80">
        <f t="shared" si="2"/>
        <v>4.2735042735042736E-2</v>
      </c>
      <c r="P19" s="80">
        <f t="shared" si="2"/>
        <v>0.11965811965811966</v>
      </c>
      <c r="Q19" s="80">
        <f t="shared" si="2"/>
        <v>0.23931623931623933</v>
      </c>
    </row>
    <row r="20" spans="1:17">
      <c r="A20" s="74" t="s">
        <v>72</v>
      </c>
      <c r="B20" s="75">
        <v>10146994.6</v>
      </c>
      <c r="C20" s="76">
        <v>127777.7778</v>
      </c>
      <c r="D20" s="75">
        <v>497905.29</v>
      </c>
      <c r="E20" s="75">
        <v>1045810.57</v>
      </c>
      <c r="F20" s="75">
        <v>3059653.94</v>
      </c>
      <c r="G20" s="80">
        <f t="shared" si="1"/>
        <v>4.9069237703152024E-2</v>
      </c>
      <c r="H20" s="129">
        <f t="shared" si="1"/>
        <v>0.10306604184060569</v>
      </c>
      <c r="I20" s="80">
        <f t="shared" si="1"/>
        <v>0.3015330214130596</v>
      </c>
      <c r="J20" s="76">
        <v>46</v>
      </c>
      <c r="K20" s="76"/>
      <c r="L20" s="76">
        <v>2</v>
      </c>
      <c r="M20" s="76">
        <v>5</v>
      </c>
      <c r="N20" s="76">
        <v>14</v>
      </c>
      <c r="O20" s="80">
        <f t="shared" si="2"/>
        <v>4.3478260869565216E-2</v>
      </c>
      <c r="P20" s="80">
        <f t="shared" si="2"/>
        <v>0.10869565217391304</v>
      </c>
      <c r="Q20" s="80">
        <f t="shared" si="2"/>
        <v>0.30434782608695654</v>
      </c>
    </row>
    <row r="21" spans="1:17">
      <c r="A21" s="74" t="s">
        <v>73</v>
      </c>
      <c r="B21" s="75">
        <v>4088000</v>
      </c>
      <c r="C21" s="76">
        <v>124977.1909</v>
      </c>
      <c r="D21" s="75">
        <v>209954.38</v>
      </c>
      <c r="E21" s="75">
        <v>385000</v>
      </c>
      <c r="F21" s="75">
        <v>909432.17</v>
      </c>
      <c r="G21" s="80">
        <f t="shared" si="1"/>
        <v>5.1358703522504892E-2</v>
      </c>
      <c r="H21" s="129">
        <f t="shared" si="1"/>
        <v>9.4178082191780824E-2</v>
      </c>
      <c r="I21" s="80">
        <f t="shared" si="1"/>
        <v>0.22246383806262232</v>
      </c>
      <c r="J21" s="76">
        <v>214</v>
      </c>
      <c r="K21" s="76"/>
      <c r="L21" s="76">
        <v>10</v>
      </c>
      <c r="M21" s="76">
        <v>28</v>
      </c>
      <c r="N21" s="76">
        <v>44</v>
      </c>
      <c r="O21" s="80">
        <f t="shared" si="2"/>
        <v>4.6728971962616821E-2</v>
      </c>
      <c r="P21" s="80">
        <f t="shared" si="2"/>
        <v>0.13084112149532709</v>
      </c>
      <c r="Q21" s="80">
        <f t="shared" si="2"/>
        <v>0.20560747663551401</v>
      </c>
    </row>
    <row r="22" spans="1:17">
      <c r="A22" s="74" t="s">
        <v>74</v>
      </c>
      <c r="B22" s="75">
        <v>37165000</v>
      </c>
      <c r="C22" s="76">
        <v>1130809.0830000001</v>
      </c>
      <c r="D22" s="75">
        <v>1937306</v>
      </c>
      <c r="E22" s="75">
        <v>3612111.99</v>
      </c>
      <c r="F22" s="75">
        <v>7926962.0800000001</v>
      </c>
      <c r="G22" s="80">
        <f t="shared" si="1"/>
        <v>5.2127162653033771E-2</v>
      </c>
      <c r="H22" s="129">
        <f t="shared" si="1"/>
        <v>9.7191228037131719E-2</v>
      </c>
      <c r="I22" s="80">
        <f t="shared" si="1"/>
        <v>0.21329105556302974</v>
      </c>
      <c r="J22" s="76">
        <v>234</v>
      </c>
      <c r="K22" s="76"/>
      <c r="L22" s="76">
        <v>13</v>
      </c>
      <c r="M22" s="76">
        <v>23</v>
      </c>
      <c r="N22" s="76">
        <v>51</v>
      </c>
      <c r="O22" s="80">
        <f t="shared" si="2"/>
        <v>5.5555555555555552E-2</v>
      </c>
      <c r="P22" s="80">
        <f t="shared" si="2"/>
        <v>9.8290598290598288E-2</v>
      </c>
      <c r="Q22" s="80">
        <f t="shared" si="2"/>
        <v>0.21794871794871795</v>
      </c>
    </row>
    <row r="23" spans="1:17">
      <c r="A23" s="74" t="s">
        <v>75</v>
      </c>
      <c r="B23" s="75">
        <v>18210000</v>
      </c>
      <c r="C23" s="76">
        <v>1412951.22</v>
      </c>
      <c r="D23" s="75">
        <v>897138.21</v>
      </c>
      <c r="E23" s="75">
        <v>1607609.76</v>
      </c>
      <c r="F23" s="75">
        <v>9097000</v>
      </c>
      <c r="G23" s="80">
        <f t="shared" si="1"/>
        <v>4.9266238879736406E-2</v>
      </c>
      <c r="H23" s="129">
        <f t="shared" si="1"/>
        <v>8.8281700164744653E-2</v>
      </c>
      <c r="I23" s="80">
        <f t="shared" si="1"/>
        <v>0.49956068094453598</v>
      </c>
      <c r="J23" s="76">
        <v>279</v>
      </c>
      <c r="K23" s="76"/>
      <c r="L23" s="76">
        <v>14</v>
      </c>
      <c r="M23" s="76">
        <v>27</v>
      </c>
      <c r="N23" s="76">
        <v>139</v>
      </c>
      <c r="O23" s="80">
        <f t="shared" si="2"/>
        <v>5.0179211469534052E-2</v>
      </c>
      <c r="P23" s="80">
        <f t="shared" si="2"/>
        <v>9.6774193548387094E-2</v>
      </c>
      <c r="Q23" s="80">
        <f t="shared" si="2"/>
        <v>0.49820788530465948</v>
      </c>
    </row>
    <row r="24" spans="1:17">
      <c r="A24" s="74" t="s">
        <v>76</v>
      </c>
      <c r="B24" s="75">
        <v>6950500</v>
      </c>
      <c r="C24" s="76">
        <v>165428.4601</v>
      </c>
      <c r="D24" s="75">
        <v>283500.93</v>
      </c>
      <c r="E24" s="75">
        <v>694191.53</v>
      </c>
      <c r="F24" s="75">
        <v>1696609.26</v>
      </c>
      <c r="G24" s="80">
        <f t="shared" si="1"/>
        <v>4.078856629019495E-2</v>
      </c>
      <c r="H24" s="129">
        <f t="shared" si="1"/>
        <v>9.9876488022444435E-2</v>
      </c>
      <c r="I24" s="80">
        <f t="shared" si="1"/>
        <v>0.24409887921732248</v>
      </c>
      <c r="J24" s="76">
        <v>294</v>
      </c>
      <c r="K24" s="76"/>
      <c r="L24" s="76">
        <v>14</v>
      </c>
      <c r="M24" s="76">
        <v>29</v>
      </c>
      <c r="N24" s="76">
        <v>73</v>
      </c>
      <c r="O24" s="80">
        <f t="shared" si="2"/>
        <v>4.7619047619047616E-2</v>
      </c>
      <c r="P24" s="80">
        <f t="shared" si="2"/>
        <v>9.8639455782312924E-2</v>
      </c>
      <c r="Q24" s="80">
        <f t="shared" si="2"/>
        <v>0.24829931972789115</v>
      </c>
    </row>
    <row r="25" spans="1:17">
      <c r="A25" s="74" t="s">
        <v>77</v>
      </c>
      <c r="B25" s="75">
        <v>65185200</v>
      </c>
      <c r="C25" s="76">
        <v>6115771.6969999997</v>
      </c>
      <c r="D25" s="75">
        <v>1585281.5</v>
      </c>
      <c r="E25" s="75">
        <v>4477915.9400000004</v>
      </c>
      <c r="F25" s="75">
        <v>9854238.0199999996</v>
      </c>
      <c r="G25" s="80">
        <f t="shared" si="1"/>
        <v>2.4319653847805944E-2</v>
      </c>
      <c r="H25" s="129">
        <f t="shared" si="1"/>
        <v>6.869528573970779E-2</v>
      </c>
      <c r="I25" s="80">
        <f t="shared" si="1"/>
        <v>0.15117293526751471</v>
      </c>
      <c r="J25" s="76">
        <v>610</v>
      </c>
      <c r="K25" s="76"/>
      <c r="L25" s="76">
        <v>29</v>
      </c>
      <c r="M25" s="76">
        <v>64</v>
      </c>
      <c r="N25" s="76">
        <v>148</v>
      </c>
      <c r="O25" s="80">
        <f t="shared" si="2"/>
        <v>4.7540983606557376E-2</v>
      </c>
      <c r="P25" s="80">
        <f t="shared" si="2"/>
        <v>0.10491803278688525</v>
      </c>
      <c r="Q25" s="80">
        <f t="shared" si="2"/>
        <v>0.24262295081967214</v>
      </c>
    </row>
    <row r="26" spans="1:17">
      <c r="A26" s="74" t="s">
        <v>78</v>
      </c>
      <c r="B26" s="75">
        <v>5453008.7300000004</v>
      </c>
      <c r="C26" s="76">
        <v>319566.54849999998</v>
      </c>
      <c r="D26" s="75">
        <v>449077</v>
      </c>
      <c r="E26" s="75">
        <v>673182.06</v>
      </c>
      <c r="F26" s="75">
        <v>1300846.52</v>
      </c>
      <c r="G26" s="80">
        <f t="shared" si="1"/>
        <v>8.2353985154907314E-2</v>
      </c>
      <c r="H26" s="129">
        <f t="shared" si="1"/>
        <v>0.123451491338434</v>
      </c>
      <c r="I26" s="80">
        <f t="shared" si="1"/>
        <v>0.23855573765054286</v>
      </c>
      <c r="J26" s="76">
        <v>143</v>
      </c>
      <c r="K26" s="76"/>
      <c r="L26" s="76">
        <v>9</v>
      </c>
      <c r="M26" s="76">
        <v>15</v>
      </c>
      <c r="N26" s="76">
        <v>36</v>
      </c>
      <c r="O26" s="80">
        <f t="shared" si="2"/>
        <v>6.2937062937062943E-2</v>
      </c>
      <c r="P26" s="80">
        <f t="shared" si="2"/>
        <v>0.1048951048951049</v>
      </c>
      <c r="Q26" s="80">
        <f t="shared" si="2"/>
        <v>0.25174825174825177</v>
      </c>
    </row>
    <row r="27" spans="1:17">
      <c r="A27" s="74" t="s">
        <v>79</v>
      </c>
      <c r="B27" s="75">
        <v>2340558.7000000002</v>
      </c>
      <c r="C27" s="76">
        <v>221074.22380000001</v>
      </c>
      <c r="D27" s="75">
        <v>64740.89</v>
      </c>
      <c r="E27" s="75">
        <v>234815.11</v>
      </c>
      <c r="F27" s="75">
        <v>522704.45</v>
      </c>
      <c r="G27" s="80">
        <f t="shared" si="1"/>
        <v>2.7660442782315178E-2</v>
      </c>
      <c r="H27" s="129">
        <f t="shared" si="1"/>
        <v>0.1003243840882948</v>
      </c>
      <c r="I27" s="80">
        <f t="shared" si="1"/>
        <v>0.22332464893958864</v>
      </c>
      <c r="J27" s="76">
        <v>106</v>
      </c>
      <c r="K27" s="76"/>
      <c r="L27" s="76">
        <v>4</v>
      </c>
      <c r="M27" s="76">
        <v>11</v>
      </c>
      <c r="N27" s="76">
        <v>25</v>
      </c>
      <c r="O27" s="80">
        <f t="shared" si="2"/>
        <v>3.7735849056603772E-2</v>
      </c>
      <c r="P27" s="80">
        <f t="shared" si="2"/>
        <v>0.10377358490566038</v>
      </c>
      <c r="Q27" s="80">
        <f t="shared" si="2"/>
        <v>0.23584905660377359</v>
      </c>
    </row>
    <row r="28" spans="1:17">
      <c r="A28" s="77" t="s">
        <v>20</v>
      </c>
      <c r="B28" s="78">
        <v>269745442.81</v>
      </c>
      <c r="C28" s="79">
        <v>14850791.390000001</v>
      </c>
      <c r="D28" s="78">
        <v>12395782.15</v>
      </c>
      <c r="E28" s="78">
        <v>25798306.399999999</v>
      </c>
      <c r="F28" s="78">
        <v>62972194.560000002</v>
      </c>
      <c r="G28" s="81">
        <f>MEDIAN(G2:G27)</f>
        <v>4.9585669663796544E-2</v>
      </c>
      <c r="H28" s="81">
        <f>MEDIAN(H2:H27)</f>
        <v>9.9843344778976537E-2</v>
      </c>
      <c r="I28" s="81">
        <f>MEDIAN(I2:I27)</f>
        <v>0.24475778375014445</v>
      </c>
      <c r="J28" s="79">
        <v>6470</v>
      </c>
      <c r="K28" s="79"/>
      <c r="L28" s="79">
        <v>365</v>
      </c>
      <c r="M28" s="79">
        <v>701</v>
      </c>
      <c r="N28" s="79">
        <v>1659</v>
      </c>
      <c r="O28" s="81">
        <f>MEDIAN(O2:O27)</f>
        <v>4.8833857442348014E-2</v>
      </c>
      <c r="P28" s="81">
        <f>MEDIAN(P2:P27)</f>
        <v>9.9763033175355453E-2</v>
      </c>
      <c r="Q28" s="81">
        <f>MEDIAN(Q2:Q27)</f>
        <v>0.24952830188679245</v>
      </c>
    </row>
    <row r="32" spans="1:17" s="108" customFormat="1" ht="29">
      <c r="A32" s="107" t="s">
        <v>80</v>
      </c>
      <c r="B32" s="107" t="s">
        <v>81</v>
      </c>
      <c r="C32" s="107" t="s">
        <v>82</v>
      </c>
      <c r="D32" s="107" t="s">
        <v>83</v>
      </c>
      <c r="E32" s="107" t="s">
        <v>84</v>
      </c>
      <c r="G32" s="109"/>
      <c r="H32" s="109"/>
      <c r="I32" s="109"/>
    </row>
    <row r="33" spans="1:9">
      <c r="A33" s="105" t="s">
        <v>45</v>
      </c>
      <c r="B33" s="112">
        <f>F28</f>
        <v>62972194.560000002</v>
      </c>
      <c r="C33" s="113">
        <f>I28</f>
        <v>0.24475778375014445</v>
      </c>
      <c r="D33">
        <f>N28</f>
        <v>1659</v>
      </c>
      <c r="E33" s="113">
        <f>Q28</f>
        <v>0.24952830188679245</v>
      </c>
    </row>
    <row r="34" spans="1:9">
      <c r="A34" s="105" t="s">
        <v>46</v>
      </c>
      <c r="B34" s="112">
        <f>E28</f>
        <v>25798306.399999999</v>
      </c>
      <c r="C34" s="113">
        <f>H28</f>
        <v>9.9843344778976537E-2</v>
      </c>
      <c r="D34" s="105">
        <f>M28</f>
        <v>701</v>
      </c>
      <c r="E34" s="113">
        <f>P28</f>
        <v>9.9763033175355453E-2</v>
      </c>
    </row>
    <row r="35" spans="1:9">
      <c r="A35" s="105" t="s">
        <v>47</v>
      </c>
      <c r="B35" s="112">
        <f>D28</f>
        <v>12395782.15</v>
      </c>
      <c r="C35" s="113">
        <f>G28</f>
        <v>4.9585669663796544E-2</v>
      </c>
      <c r="D35" s="105">
        <f>L28</f>
        <v>365</v>
      </c>
      <c r="E35" s="113">
        <f>O28</f>
        <v>4.8833857442348014E-2</v>
      </c>
    </row>
    <row r="36" spans="1:9">
      <c r="A36" s="105" t="s">
        <v>48</v>
      </c>
      <c r="B36" s="112"/>
      <c r="C36" s="113"/>
      <c r="D36" s="105"/>
      <c r="E36" s="113"/>
    </row>
    <row r="37" spans="1:9">
      <c r="A37" s="106"/>
      <c r="B37" s="114">
        <f>SUM(B33:B35)</f>
        <v>101166283.11000001</v>
      </c>
      <c r="C37" s="115">
        <f>MEDIAN(C33:C35)</f>
        <v>9.9843344778976537E-2</v>
      </c>
      <c r="D37" s="106">
        <f>SUM(D33:D35)</f>
        <v>2725</v>
      </c>
      <c r="E37" s="115">
        <f>MEDIAN(E33:E35)</f>
        <v>9.9763033175355453E-2</v>
      </c>
    </row>
    <row r="41" spans="1:9" ht="29">
      <c r="A41" s="126" t="s">
        <v>792</v>
      </c>
      <c r="B41" s="98" t="s">
        <v>129</v>
      </c>
      <c r="C41" s="95" t="s">
        <v>130</v>
      </c>
      <c r="E41" s="45"/>
      <c r="F41" s="45"/>
      <c r="H41"/>
      <c r="I41"/>
    </row>
    <row r="42" spans="1:9">
      <c r="A42" s="74" t="s">
        <v>67</v>
      </c>
      <c r="B42" s="127">
        <v>442471.97</v>
      </c>
      <c r="C42" s="128">
        <v>0.23441788650701476</v>
      </c>
      <c r="E42" s="45"/>
      <c r="F42" s="45"/>
      <c r="H42"/>
      <c r="I42"/>
    </row>
    <row r="43" spans="1:9">
      <c r="A43" s="74" t="s">
        <v>78</v>
      </c>
      <c r="B43" s="127">
        <v>201422.51</v>
      </c>
      <c r="C43" s="128">
        <v>0.123451491338434</v>
      </c>
      <c r="E43" s="45"/>
      <c r="F43" s="45"/>
      <c r="H43"/>
      <c r="I43"/>
    </row>
    <row r="44" spans="1:9">
      <c r="A44" s="74" t="s">
        <v>71</v>
      </c>
      <c r="B44" s="127">
        <v>1221493.83</v>
      </c>
      <c r="C44" s="128">
        <v>0.12047236938472426</v>
      </c>
      <c r="E44" s="45"/>
      <c r="F44" s="45"/>
      <c r="H44"/>
      <c r="I44"/>
    </row>
    <row r="45" spans="1:9">
      <c r="A45" s="74" t="s">
        <v>59</v>
      </c>
      <c r="B45" s="127">
        <v>340000</v>
      </c>
      <c r="C45" s="128">
        <v>0.1036581081081081</v>
      </c>
      <c r="E45" s="45"/>
      <c r="F45" s="45"/>
      <c r="H45"/>
      <c r="I45"/>
    </row>
    <row r="46" spans="1:9">
      <c r="A46" s="74" t="s">
        <v>72</v>
      </c>
      <c r="B46" s="127">
        <v>522408.9</v>
      </c>
      <c r="C46" s="128">
        <v>0.10306604184060569</v>
      </c>
      <c r="E46" s="45"/>
      <c r="F46" s="45"/>
      <c r="H46"/>
      <c r="I46"/>
    </row>
    <row r="47" spans="1:9">
      <c r="A47" s="74" t="s">
        <v>68</v>
      </c>
      <c r="B47" s="127">
        <v>820985.94</v>
      </c>
      <c r="C47" s="128">
        <v>0.10276998847926266</v>
      </c>
      <c r="E47" s="45"/>
      <c r="F47" s="45"/>
      <c r="H47"/>
      <c r="I47"/>
    </row>
    <row r="48" spans="1:9">
      <c r="A48" s="74" t="s">
        <v>64</v>
      </c>
      <c r="B48" s="127">
        <v>1560033.45</v>
      </c>
      <c r="C48" s="128">
        <v>0.10276243289224953</v>
      </c>
      <c r="E48" s="45"/>
      <c r="F48" s="45"/>
      <c r="H48"/>
      <c r="I48"/>
    </row>
    <row r="49" spans="1:9">
      <c r="A49" s="74" t="s">
        <v>65</v>
      </c>
      <c r="B49" s="127">
        <v>639929.96</v>
      </c>
      <c r="C49" s="128">
        <v>0.10182563442841493</v>
      </c>
      <c r="E49" s="45"/>
      <c r="F49" s="45"/>
      <c r="H49"/>
      <c r="I49"/>
    </row>
    <row r="50" spans="1:9">
      <c r="A50" s="74" t="s">
        <v>66</v>
      </c>
      <c r="B50" s="127">
        <v>672461.84</v>
      </c>
      <c r="C50" s="128">
        <v>0.10159210279546872</v>
      </c>
      <c r="E50" s="45"/>
      <c r="F50" s="45"/>
      <c r="H50"/>
      <c r="I50"/>
    </row>
    <row r="51" spans="1:9">
      <c r="A51" s="74" t="s">
        <v>61</v>
      </c>
      <c r="B51" s="127">
        <v>535226.1</v>
      </c>
      <c r="C51" s="128">
        <v>0.10134128166915052</v>
      </c>
      <c r="E51" s="45"/>
      <c r="F51" s="45"/>
      <c r="H51"/>
      <c r="I51"/>
    </row>
    <row r="52" spans="1:9">
      <c r="A52" s="74" t="s">
        <v>79</v>
      </c>
      <c r="B52" s="127">
        <v>385000</v>
      </c>
      <c r="C52" s="128">
        <v>0.1003243840882948</v>
      </c>
      <c r="E52" s="45"/>
      <c r="F52" s="45"/>
      <c r="H52"/>
      <c r="I52"/>
    </row>
    <row r="53" spans="1:9">
      <c r="A53" s="74" t="s">
        <v>55</v>
      </c>
      <c r="B53" s="127">
        <v>258459.33</v>
      </c>
      <c r="C53" s="128">
        <v>0.1</v>
      </c>
      <c r="E53" s="45"/>
      <c r="F53" s="45"/>
      <c r="H53"/>
      <c r="I53"/>
    </row>
    <row r="54" spans="1:9">
      <c r="A54" s="74" t="s">
        <v>76</v>
      </c>
      <c r="B54" s="127">
        <v>3133430.4</v>
      </c>
      <c r="C54" s="128">
        <v>9.9876488022444435E-2</v>
      </c>
      <c r="E54" s="45"/>
      <c r="F54" s="45"/>
      <c r="H54"/>
      <c r="I54"/>
    </row>
    <row r="55" spans="1:9">
      <c r="A55" s="74" t="s">
        <v>56</v>
      </c>
      <c r="B55" s="127">
        <v>841901.89</v>
      </c>
      <c r="C55" s="128">
        <v>9.9810201535508639E-2</v>
      </c>
      <c r="E55" s="45"/>
      <c r="F55" s="45"/>
      <c r="H55"/>
      <c r="I55"/>
    </row>
    <row r="56" spans="1:9">
      <c r="A56" s="74" t="s">
        <v>60</v>
      </c>
      <c r="B56" s="127">
        <v>543613.27</v>
      </c>
      <c r="C56" s="128">
        <v>9.8842355559151968E-2</v>
      </c>
      <c r="E56" s="45"/>
      <c r="F56" s="45"/>
      <c r="H56"/>
      <c r="I56"/>
    </row>
    <row r="57" spans="1:9">
      <c r="A57" s="74" t="s">
        <v>114</v>
      </c>
      <c r="B57" s="127">
        <v>694191.53</v>
      </c>
      <c r="C57" s="128">
        <v>9.7191228037131719E-2</v>
      </c>
      <c r="E57" s="45"/>
      <c r="F57" s="45"/>
      <c r="H57"/>
      <c r="I57"/>
    </row>
    <row r="58" spans="1:9">
      <c r="A58" s="74" t="s">
        <v>58</v>
      </c>
      <c r="B58" s="127">
        <v>335457.45</v>
      </c>
      <c r="C58" s="128">
        <v>9.6391821897581872E-2</v>
      </c>
      <c r="E58" s="45"/>
      <c r="F58" s="45"/>
      <c r="H58"/>
      <c r="I58"/>
    </row>
    <row r="59" spans="1:9">
      <c r="A59" s="74" t="s">
        <v>70</v>
      </c>
      <c r="B59" s="127">
        <v>1045810.57</v>
      </c>
      <c r="C59" s="128">
        <v>9.5507903676128422E-2</v>
      </c>
      <c r="E59" s="45"/>
      <c r="F59" s="45"/>
      <c r="H59"/>
      <c r="I59"/>
    </row>
    <row r="60" spans="1:9">
      <c r="A60" s="74" t="s">
        <v>69</v>
      </c>
      <c r="B60" s="127">
        <v>383535</v>
      </c>
      <c r="C60" s="128">
        <v>9.5257748876803036E-2</v>
      </c>
      <c r="E60" s="45"/>
      <c r="F60" s="45"/>
      <c r="H60"/>
      <c r="I60"/>
    </row>
    <row r="61" spans="1:9">
      <c r="A61" s="74" t="s">
        <v>73</v>
      </c>
      <c r="B61" s="127">
        <v>1607609.76</v>
      </c>
      <c r="C61" s="128">
        <v>9.4178082191780824E-2</v>
      </c>
      <c r="E61" s="45"/>
      <c r="F61" s="45"/>
      <c r="H61"/>
      <c r="I61"/>
    </row>
    <row r="62" spans="1:9">
      <c r="A62" s="74" t="s">
        <v>63</v>
      </c>
      <c r="B62" s="127">
        <v>265330.5</v>
      </c>
      <c r="C62" s="128">
        <v>9.2238452902002943E-2</v>
      </c>
      <c r="E62" s="45"/>
      <c r="F62" s="45"/>
      <c r="H62"/>
      <c r="I62"/>
    </row>
    <row r="63" spans="1:9">
      <c r="A63" s="74" t="s">
        <v>54</v>
      </c>
      <c r="B63" s="127">
        <v>3612111.99</v>
      </c>
      <c r="C63" s="128">
        <v>9.1973490216267037E-2</v>
      </c>
      <c r="E63" s="45"/>
      <c r="F63" s="45"/>
      <c r="H63"/>
      <c r="I63"/>
    </row>
    <row r="64" spans="1:9">
      <c r="A64" s="74" t="s">
        <v>75</v>
      </c>
      <c r="B64" s="127">
        <v>349507.11</v>
      </c>
      <c r="C64" s="128">
        <v>8.8281700164744653E-2</v>
      </c>
      <c r="E64" s="45"/>
      <c r="F64" s="45"/>
      <c r="H64"/>
      <c r="I64"/>
    </row>
    <row r="65" spans="1:9">
      <c r="A65" s="74" t="s">
        <v>57</v>
      </c>
      <c r="B65" s="127">
        <v>4477915.9400000004</v>
      </c>
      <c r="C65" s="128">
        <v>7.4406304262965905E-2</v>
      </c>
      <c r="E65" s="45"/>
      <c r="F65" s="45"/>
      <c r="H65"/>
      <c r="I65"/>
    </row>
    <row r="66" spans="1:9">
      <c r="A66" s="74" t="s">
        <v>793</v>
      </c>
      <c r="B66" s="127">
        <v>673182.06</v>
      </c>
      <c r="C66" s="128">
        <v>6.869528573970779E-2</v>
      </c>
      <c r="E66" s="45"/>
      <c r="F66" s="45"/>
      <c r="H66"/>
      <c r="I66"/>
    </row>
    <row r="67" spans="1:9">
      <c r="A67" s="74" t="s">
        <v>62</v>
      </c>
      <c r="B67" s="127">
        <v>234815.11</v>
      </c>
      <c r="C67" s="128">
        <v>3.5682809590604589E-2</v>
      </c>
      <c r="E67" s="45"/>
      <c r="F67" s="45"/>
      <c r="H67"/>
      <c r="I67"/>
    </row>
    <row r="68" spans="1:9">
      <c r="E68" s="45"/>
      <c r="F68" s="45"/>
      <c r="H68"/>
      <c r="I68"/>
    </row>
  </sheetData>
  <autoFilter ref="A41:E41" xr:uid="{D236D411-F558-47A3-8044-4637B572EC23}">
    <sortState xmlns:xlrd2="http://schemas.microsoft.com/office/spreadsheetml/2017/richdata2" ref="A42:E67">
      <sortCondition descending="1" ref="C41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3146-91CC-4ECB-A310-38A96F9BE681}">
  <dimension ref="A1:Q68"/>
  <sheetViews>
    <sheetView topLeftCell="A40" zoomScale="70" zoomScaleNormal="70" workbookViewId="0">
      <selection activeCell="A41" sqref="A41:C67"/>
    </sheetView>
  </sheetViews>
  <sheetFormatPr defaultColWidth="10.81640625" defaultRowHeight="14.5"/>
  <cols>
    <col min="1" max="1" width="20.453125" customWidth="1"/>
    <col min="2" max="3" width="27.1796875" customWidth="1"/>
    <col min="4" max="4" width="20.453125" bestFit="1" customWidth="1"/>
    <col min="5" max="5" width="25.1796875" bestFit="1" customWidth="1"/>
    <col min="6" max="6" width="22.81640625" bestFit="1" customWidth="1"/>
    <col min="7" max="9" width="22.81640625" style="45" customWidth="1"/>
    <col min="10" max="10" width="17.453125" bestFit="1" customWidth="1"/>
    <col min="11" max="11" width="17.453125" customWidth="1"/>
    <col min="12" max="12" width="20.54296875" bestFit="1" customWidth="1"/>
    <col min="13" max="13" width="25.453125" bestFit="1" customWidth="1"/>
    <col min="14" max="14" width="23" bestFit="1" customWidth="1"/>
    <col min="15" max="15" width="12.453125" bestFit="1" customWidth="1"/>
    <col min="16" max="16" width="17" bestFit="1" customWidth="1"/>
    <col min="17" max="17" width="15.1796875" bestFit="1" customWidth="1"/>
  </cols>
  <sheetData>
    <row r="1" spans="1:17" s="108" customFormat="1" ht="29">
      <c r="A1" s="110" t="s">
        <v>0</v>
      </c>
      <c r="B1" s="110" t="s">
        <v>21</v>
      </c>
      <c r="C1" s="110" t="s">
        <v>49</v>
      </c>
      <c r="D1" s="110" t="s">
        <v>24</v>
      </c>
      <c r="E1" s="110" t="s">
        <v>23</v>
      </c>
      <c r="F1" s="110" t="s">
        <v>22</v>
      </c>
      <c r="G1" s="111" t="s">
        <v>50</v>
      </c>
      <c r="H1" s="111" t="s">
        <v>51</v>
      </c>
      <c r="I1" s="111" t="s">
        <v>52</v>
      </c>
      <c r="J1" s="110" t="s">
        <v>28</v>
      </c>
      <c r="K1" s="116"/>
      <c r="L1" s="110" t="s">
        <v>31</v>
      </c>
      <c r="M1" s="110" t="s">
        <v>30</v>
      </c>
      <c r="N1" s="110" t="s">
        <v>29</v>
      </c>
      <c r="O1" s="111" t="s">
        <v>53</v>
      </c>
      <c r="P1" s="111" t="s">
        <v>51</v>
      </c>
      <c r="Q1" s="111" t="s">
        <v>52</v>
      </c>
    </row>
    <row r="2" spans="1:17">
      <c r="A2" s="74" t="s">
        <v>54</v>
      </c>
      <c r="B2" s="75">
        <v>3800085.32</v>
      </c>
      <c r="C2" s="76">
        <v>197840.44330000001</v>
      </c>
      <c r="D2" s="75">
        <v>148507.10999999999</v>
      </c>
      <c r="E2" s="75">
        <v>349507.11</v>
      </c>
      <c r="F2" s="75">
        <v>847521.33</v>
      </c>
      <c r="G2" s="80">
        <f>D2/$B2</f>
        <v>3.9079940973535822E-2</v>
      </c>
      <c r="H2" s="80">
        <f>E2/$B2</f>
        <v>9.1973490216267037E-2</v>
      </c>
      <c r="I2" s="80">
        <f>F2/$B2</f>
        <v>0.22302692140606989</v>
      </c>
      <c r="J2" s="76">
        <v>87</v>
      </c>
      <c r="K2" s="76"/>
      <c r="L2" s="76">
        <v>4</v>
      </c>
      <c r="M2" s="76">
        <v>8</v>
      </c>
      <c r="N2" s="76">
        <v>20</v>
      </c>
      <c r="O2" s="80">
        <f>L2/$J2</f>
        <v>4.5977011494252873E-2</v>
      </c>
      <c r="P2" s="80">
        <f t="shared" ref="P2:Q17" si="0">M2/$J2</f>
        <v>9.1954022988505746E-2</v>
      </c>
      <c r="Q2" s="80">
        <f t="shared" si="0"/>
        <v>0.22988505747126436</v>
      </c>
    </row>
    <row r="3" spans="1:17">
      <c r="A3" s="74" t="s">
        <v>55</v>
      </c>
      <c r="B3" s="75">
        <v>5224089</v>
      </c>
      <c r="C3" s="76">
        <v>52240.89</v>
      </c>
      <c r="D3" s="75">
        <v>261204.45</v>
      </c>
      <c r="E3" s="75">
        <v>522408.9</v>
      </c>
      <c r="F3" s="75">
        <v>1306022.25</v>
      </c>
      <c r="G3" s="80">
        <f t="shared" ref="G3:I27" si="1">D3/$B3</f>
        <v>0.05</v>
      </c>
      <c r="H3" s="80">
        <f t="shared" si="1"/>
        <v>0.1</v>
      </c>
      <c r="I3" s="80">
        <f t="shared" si="1"/>
        <v>0.25</v>
      </c>
      <c r="J3" s="76">
        <v>100</v>
      </c>
      <c r="K3" s="76"/>
      <c r="L3" s="76">
        <v>5</v>
      </c>
      <c r="M3" s="76">
        <v>10</v>
      </c>
      <c r="N3" s="76">
        <v>25</v>
      </c>
      <c r="O3" s="80">
        <f t="shared" ref="O3:Q27" si="2">L3/$J3</f>
        <v>0.05</v>
      </c>
      <c r="P3" s="80">
        <f t="shared" si="0"/>
        <v>0.1</v>
      </c>
      <c r="Q3" s="80">
        <f t="shared" si="0"/>
        <v>0.25</v>
      </c>
    </row>
    <row r="4" spans="1:17">
      <c r="A4" s="74" t="s">
        <v>56</v>
      </c>
      <c r="B4" s="75">
        <v>15630000</v>
      </c>
      <c r="C4" s="76">
        <v>134044.17230000001</v>
      </c>
      <c r="D4" s="75">
        <v>780016.72</v>
      </c>
      <c r="E4" s="75">
        <v>1560033.45</v>
      </c>
      <c r="F4" s="75">
        <v>3932825.56</v>
      </c>
      <c r="G4" s="80">
        <f t="shared" si="1"/>
        <v>4.9905100447856683E-2</v>
      </c>
      <c r="H4" s="80">
        <f t="shared" si="1"/>
        <v>9.9810201535508639E-2</v>
      </c>
      <c r="I4" s="80">
        <f t="shared" si="1"/>
        <v>0.25162031733845169</v>
      </c>
      <c r="J4" s="76">
        <v>422</v>
      </c>
      <c r="K4" s="76"/>
      <c r="L4" s="76">
        <v>21</v>
      </c>
      <c r="M4" s="76">
        <v>42</v>
      </c>
      <c r="N4" s="76">
        <v>106</v>
      </c>
      <c r="O4" s="80">
        <f t="shared" si="2"/>
        <v>4.9763033175355451E-2</v>
      </c>
      <c r="P4" s="80">
        <f t="shared" si="0"/>
        <v>9.9526066350710901E-2</v>
      </c>
      <c r="Q4" s="80">
        <f t="shared" si="0"/>
        <v>0.25118483412322273</v>
      </c>
    </row>
    <row r="5" spans="1:17">
      <c r="A5" s="74" t="s">
        <v>57</v>
      </c>
      <c r="B5" s="75">
        <v>3565968</v>
      </c>
      <c r="C5" s="76">
        <v>573073.01930000004</v>
      </c>
      <c r="D5" s="75">
        <v>132665.25</v>
      </c>
      <c r="E5" s="75">
        <v>265330.5</v>
      </c>
      <c r="F5" s="75">
        <v>753326.25</v>
      </c>
      <c r="G5" s="80">
        <f t="shared" si="1"/>
        <v>3.7203152131482953E-2</v>
      </c>
      <c r="H5" s="80">
        <f t="shared" si="1"/>
        <v>7.4406304262965905E-2</v>
      </c>
      <c r="I5" s="80">
        <f t="shared" si="1"/>
        <v>0.21125434945013527</v>
      </c>
      <c r="J5" s="76">
        <v>265</v>
      </c>
      <c r="K5" s="76"/>
      <c r="L5" s="76">
        <v>13</v>
      </c>
      <c r="M5" s="76">
        <v>26</v>
      </c>
      <c r="N5" s="76">
        <v>66</v>
      </c>
      <c r="O5" s="80">
        <f t="shared" si="2"/>
        <v>4.9056603773584909E-2</v>
      </c>
      <c r="P5" s="80">
        <f t="shared" si="0"/>
        <v>9.8113207547169817E-2</v>
      </c>
      <c r="Q5" s="80">
        <f t="shared" si="0"/>
        <v>0.24905660377358491</v>
      </c>
    </row>
    <row r="6" spans="1:17">
      <c r="A6" s="74" t="s">
        <v>58</v>
      </c>
      <c r="B6" s="75">
        <v>6638840.7999999998</v>
      </c>
      <c r="C6" s="76">
        <v>175822.64129999999</v>
      </c>
      <c r="D6" s="75">
        <v>559744.81999999995</v>
      </c>
      <c r="E6" s="75">
        <v>639929.96</v>
      </c>
      <c r="F6" s="75">
        <v>1671597.76</v>
      </c>
      <c r="G6" s="80">
        <f t="shared" si="1"/>
        <v>8.431363800740635E-2</v>
      </c>
      <c r="H6" s="80">
        <f t="shared" si="1"/>
        <v>9.6391821897581872E-2</v>
      </c>
      <c r="I6" s="80">
        <f t="shared" si="1"/>
        <v>0.25179060778200918</v>
      </c>
      <c r="J6" s="76">
        <v>155</v>
      </c>
      <c r="K6" s="76"/>
      <c r="L6" s="76">
        <v>13</v>
      </c>
      <c r="M6" s="76">
        <v>15</v>
      </c>
      <c r="N6" s="76">
        <v>39</v>
      </c>
      <c r="O6" s="80">
        <f t="shared" si="2"/>
        <v>8.387096774193549E-2</v>
      </c>
      <c r="P6" s="80">
        <f t="shared" si="0"/>
        <v>9.6774193548387094E-2</v>
      </c>
      <c r="Q6" s="80">
        <f t="shared" si="0"/>
        <v>0.25161290322580643</v>
      </c>
    </row>
    <row r="7" spans="1:17">
      <c r="A7" s="74" t="s">
        <v>59</v>
      </c>
      <c r="B7" s="75">
        <v>3700000</v>
      </c>
      <c r="C7" s="76">
        <v>75350.043220000007</v>
      </c>
      <c r="D7" s="75">
        <v>167554.01999999999</v>
      </c>
      <c r="E7" s="75">
        <v>383535</v>
      </c>
      <c r="F7" s="75">
        <v>934624.03</v>
      </c>
      <c r="G7" s="80">
        <f t="shared" si="1"/>
        <v>4.5284870270270269E-2</v>
      </c>
      <c r="H7" s="80">
        <f t="shared" si="1"/>
        <v>0.1036581081081081</v>
      </c>
      <c r="I7" s="80">
        <f t="shared" si="1"/>
        <v>0.25260108918918922</v>
      </c>
      <c r="J7" s="76">
        <v>134</v>
      </c>
      <c r="K7" s="76"/>
      <c r="L7" s="76">
        <v>6</v>
      </c>
      <c r="M7" s="76">
        <v>14</v>
      </c>
      <c r="N7" s="76">
        <v>34</v>
      </c>
      <c r="O7" s="80">
        <f t="shared" si="2"/>
        <v>4.4776119402985072E-2</v>
      </c>
      <c r="P7" s="80">
        <f t="shared" si="0"/>
        <v>0.1044776119402985</v>
      </c>
      <c r="Q7" s="80">
        <f t="shared" si="0"/>
        <v>0.2537313432835821</v>
      </c>
    </row>
    <row r="8" spans="1:17">
      <c r="A8" s="74" t="s">
        <v>60</v>
      </c>
      <c r="B8" s="75">
        <v>12358000</v>
      </c>
      <c r="C8" s="76">
        <v>95536.127229999998</v>
      </c>
      <c r="D8" s="75">
        <v>625874.57999999996</v>
      </c>
      <c r="E8" s="75">
        <v>1221493.83</v>
      </c>
      <c r="F8" s="75">
        <v>3103525.64</v>
      </c>
      <c r="G8" s="80">
        <f t="shared" si="1"/>
        <v>5.0645296973620323E-2</v>
      </c>
      <c r="H8" s="80">
        <f t="shared" si="1"/>
        <v>9.8842355559151968E-2</v>
      </c>
      <c r="I8" s="80">
        <f t="shared" si="1"/>
        <v>0.25113494416572263</v>
      </c>
      <c r="J8" s="76">
        <v>374</v>
      </c>
      <c r="K8" s="76"/>
      <c r="L8" s="76">
        <v>19</v>
      </c>
      <c r="M8" s="76">
        <v>37</v>
      </c>
      <c r="N8" s="76">
        <v>94</v>
      </c>
      <c r="O8" s="80">
        <f t="shared" si="2"/>
        <v>5.0802139037433157E-2</v>
      </c>
      <c r="P8" s="80">
        <f t="shared" si="0"/>
        <v>9.8930481283422467E-2</v>
      </c>
      <c r="Q8" s="80">
        <f t="shared" si="0"/>
        <v>0.25133689839572193</v>
      </c>
    </row>
    <row r="9" spans="1:17">
      <c r="A9" s="74" t="s">
        <v>61</v>
      </c>
      <c r="B9" s="75">
        <v>3355000</v>
      </c>
      <c r="C9" s="76">
        <v>140000</v>
      </c>
      <c r="D9" s="75">
        <v>185000</v>
      </c>
      <c r="E9" s="75">
        <v>340000</v>
      </c>
      <c r="F9" s="75">
        <v>810000</v>
      </c>
      <c r="G9" s="80">
        <f t="shared" si="1"/>
        <v>5.5141579731743669E-2</v>
      </c>
      <c r="H9" s="80">
        <f t="shared" si="1"/>
        <v>0.10134128166915052</v>
      </c>
      <c r="I9" s="80">
        <f t="shared" si="1"/>
        <v>0.24143070044709389</v>
      </c>
      <c r="J9" s="76">
        <v>144</v>
      </c>
      <c r="K9" s="76"/>
      <c r="L9" s="76">
        <v>7</v>
      </c>
      <c r="M9" s="76">
        <v>14</v>
      </c>
      <c r="N9" s="76">
        <v>35</v>
      </c>
      <c r="O9" s="80">
        <f t="shared" si="2"/>
        <v>4.8611111111111112E-2</v>
      </c>
      <c r="P9" s="80">
        <f t="shared" si="0"/>
        <v>9.7222222222222224E-2</v>
      </c>
      <c r="Q9" s="80">
        <f t="shared" si="0"/>
        <v>0.24305555555555555</v>
      </c>
    </row>
    <row r="10" spans="1:17">
      <c r="A10" s="74" t="s">
        <v>62</v>
      </c>
      <c r="B10" s="75">
        <v>9401094.0800000001</v>
      </c>
      <c r="C10" s="76">
        <v>875984.58</v>
      </c>
      <c r="D10" s="75">
        <v>885729.45</v>
      </c>
      <c r="E10" s="75">
        <v>335457.45</v>
      </c>
      <c r="F10" s="75">
        <v>1378039.01</v>
      </c>
      <c r="G10" s="80">
        <f t="shared" si="1"/>
        <v>9.4215571343372828E-2</v>
      </c>
      <c r="H10" s="80">
        <f t="shared" si="1"/>
        <v>3.5682809590604589E-2</v>
      </c>
      <c r="I10" s="80">
        <f t="shared" si="1"/>
        <v>0.14658283368652342</v>
      </c>
      <c r="J10" s="76">
        <v>283</v>
      </c>
      <c r="K10" s="76"/>
      <c r="L10" s="76">
        <v>46</v>
      </c>
      <c r="M10" s="76">
        <v>17</v>
      </c>
      <c r="N10" s="76">
        <v>50</v>
      </c>
      <c r="O10" s="80">
        <f t="shared" si="2"/>
        <v>0.16254416961130741</v>
      </c>
      <c r="P10" s="80">
        <f t="shared" si="0"/>
        <v>6.0070671378091869E-2</v>
      </c>
      <c r="Q10" s="80">
        <f t="shared" si="0"/>
        <v>0.17667844522968199</v>
      </c>
    </row>
    <row r="11" spans="1:17">
      <c r="A11" s="74" t="s">
        <v>63</v>
      </c>
      <c r="B11" s="75">
        <v>9127450.25</v>
      </c>
      <c r="C11" s="76">
        <v>492306.58929999999</v>
      </c>
      <c r="D11" s="75">
        <v>412583.47</v>
      </c>
      <c r="E11" s="75">
        <v>841901.89</v>
      </c>
      <c r="F11" s="75">
        <v>2331420.59</v>
      </c>
      <c r="G11" s="80">
        <f t="shared" si="1"/>
        <v>4.5202489052186288E-2</v>
      </c>
      <c r="H11" s="80">
        <f t="shared" si="1"/>
        <v>9.2238452902002943E-2</v>
      </c>
      <c r="I11" s="80">
        <f t="shared" si="1"/>
        <v>0.25542955876423429</v>
      </c>
      <c r="J11" s="76">
        <v>228</v>
      </c>
      <c r="K11" s="76"/>
      <c r="L11" s="76">
        <v>11</v>
      </c>
      <c r="M11" s="76">
        <v>23</v>
      </c>
      <c r="N11" s="76">
        <v>56</v>
      </c>
      <c r="O11" s="80">
        <f t="shared" si="2"/>
        <v>4.8245614035087717E-2</v>
      </c>
      <c r="P11" s="80">
        <f t="shared" si="0"/>
        <v>0.10087719298245613</v>
      </c>
      <c r="Q11" s="80">
        <f t="shared" si="0"/>
        <v>0.24561403508771928</v>
      </c>
    </row>
    <row r="12" spans="1:17">
      <c r="A12" s="74" t="s">
        <v>64</v>
      </c>
      <c r="B12" s="75">
        <v>5290000</v>
      </c>
      <c r="C12" s="76">
        <v>294806.63650000002</v>
      </c>
      <c r="D12" s="75">
        <v>272068.17</v>
      </c>
      <c r="E12" s="75">
        <v>543613.27</v>
      </c>
      <c r="F12" s="75">
        <v>1437165.01</v>
      </c>
      <c r="G12" s="80">
        <f t="shared" si="1"/>
        <v>5.143065595463138E-2</v>
      </c>
      <c r="H12" s="80">
        <f t="shared" si="1"/>
        <v>0.10276243289224953</v>
      </c>
      <c r="I12" s="80">
        <f t="shared" si="1"/>
        <v>0.27167580529300567</v>
      </c>
      <c r="J12" s="76">
        <v>224</v>
      </c>
      <c r="K12" s="76"/>
      <c r="L12" s="76">
        <v>14</v>
      </c>
      <c r="M12" s="76">
        <v>23</v>
      </c>
      <c r="N12" s="76">
        <v>78</v>
      </c>
      <c r="O12" s="80">
        <f t="shared" si="2"/>
        <v>6.25E-2</v>
      </c>
      <c r="P12" s="80">
        <f t="shared" si="0"/>
        <v>0.10267857142857142</v>
      </c>
      <c r="Q12" s="80">
        <f t="shared" si="0"/>
        <v>0.3482142857142857</v>
      </c>
    </row>
    <row r="13" spans="1:17">
      <c r="A13" s="74" t="s">
        <v>65</v>
      </c>
      <c r="B13" s="75">
        <v>2538254.06</v>
      </c>
      <c r="C13" s="76">
        <v>55477.290220000003</v>
      </c>
      <c r="D13" s="75">
        <v>120185.35</v>
      </c>
      <c r="E13" s="75">
        <v>258459.33</v>
      </c>
      <c r="F13" s="75">
        <v>646334.77</v>
      </c>
      <c r="G13" s="80">
        <f t="shared" si="1"/>
        <v>4.7349614009875751E-2</v>
      </c>
      <c r="H13" s="80">
        <f t="shared" si="1"/>
        <v>0.10182563442841493</v>
      </c>
      <c r="I13" s="80">
        <f t="shared" si="1"/>
        <v>0.25463754010502793</v>
      </c>
      <c r="J13" s="76">
        <v>151</v>
      </c>
      <c r="K13" s="76"/>
      <c r="L13" s="76">
        <v>7</v>
      </c>
      <c r="M13" s="76">
        <v>15</v>
      </c>
      <c r="N13" s="76">
        <v>38</v>
      </c>
      <c r="O13" s="80">
        <f t="shared" si="2"/>
        <v>4.6357615894039736E-2</v>
      </c>
      <c r="P13" s="80">
        <f t="shared" si="0"/>
        <v>9.9337748344370855E-2</v>
      </c>
      <c r="Q13" s="80">
        <f t="shared" si="0"/>
        <v>0.25165562913907286</v>
      </c>
    </row>
    <row r="14" spans="1:17">
      <c r="A14" s="74" t="s">
        <v>66</v>
      </c>
      <c r="B14" s="75">
        <v>6619233.4000000004</v>
      </c>
      <c r="C14" s="76">
        <v>298774.21429999999</v>
      </c>
      <c r="D14" s="75">
        <v>350100.17</v>
      </c>
      <c r="E14" s="75">
        <v>672461.84</v>
      </c>
      <c r="F14" s="75">
        <v>1624470.34</v>
      </c>
      <c r="G14" s="80">
        <f t="shared" si="1"/>
        <v>5.2891346904310695E-2</v>
      </c>
      <c r="H14" s="80">
        <f t="shared" si="1"/>
        <v>0.10159210279546872</v>
      </c>
      <c r="I14" s="80">
        <f t="shared" si="1"/>
        <v>0.24541668828296642</v>
      </c>
      <c r="J14" s="76">
        <v>402</v>
      </c>
      <c r="K14" s="76"/>
      <c r="L14" s="76">
        <v>26</v>
      </c>
      <c r="M14" s="76">
        <v>40</v>
      </c>
      <c r="N14" s="76">
        <v>103</v>
      </c>
      <c r="O14" s="80">
        <f t="shared" si="2"/>
        <v>6.4676616915422883E-2</v>
      </c>
      <c r="P14" s="80">
        <f t="shared" si="0"/>
        <v>9.950248756218906E-2</v>
      </c>
      <c r="Q14" s="80">
        <f t="shared" si="0"/>
        <v>0.25621890547263682</v>
      </c>
    </row>
    <row r="15" spans="1:17">
      <c r="A15" s="74" t="s">
        <v>67</v>
      </c>
      <c r="B15" s="75">
        <v>13366857.140000001</v>
      </c>
      <c r="C15" s="76">
        <v>321410.27380000002</v>
      </c>
      <c r="D15" s="75">
        <v>736104.44</v>
      </c>
      <c r="E15" s="75">
        <v>3133430.4</v>
      </c>
      <c r="F15" s="75">
        <v>3133430.4</v>
      </c>
      <c r="G15" s="80">
        <f t="shared" si="1"/>
        <v>5.5069372874288078E-2</v>
      </c>
      <c r="H15" s="80">
        <f t="shared" si="1"/>
        <v>0.23441788650701476</v>
      </c>
      <c r="I15" s="80">
        <f t="shared" si="1"/>
        <v>0.23441788650701476</v>
      </c>
      <c r="J15" s="76">
        <v>414</v>
      </c>
      <c r="K15" s="76"/>
      <c r="L15" s="76">
        <v>23</v>
      </c>
      <c r="M15" s="76">
        <v>95</v>
      </c>
      <c r="N15" s="76">
        <v>95</v>
      </c>
      <c r="O15" s="80">
        <f t="shared" si="2"/>
        <v>5.5555555555555552E-2</v>
      </c>
      <c r="P15" s="80">
        <f t="shared" si="0"/>
        <v>0.22946859903381642</v>
      </c>
      <c r="Q15" s="80">
        <f t="shared" si="0"/>
        <v>0.22946859903381642</v>
      </c>
    </row>
    <row r="16" spans="1:17">
      <c r="A16" s="74" t="s">
        <v>68</v>
      </c>
      <c r="B16" s="75">
        <v>5208000</v>
      </c>
      <c r="C16" s="76">
        <v>217921.17819999999</v>
      </c>
      <c r="D16" s="75">
        <v>165889.75</v>
      </c>
      <c r="E16" s="75">
        <v>535226.1</v>
      </c>
      <c r="F16" s="75">
        <v>1242341.95</v>
      </c>
      <c r="G16" s="80">
        <f t="shared" si="1"/>
        <v>3.1852870583717358E-2</v>
      </c>
      <c r="H16" s="80">
        <f t="shared" si="1"/>
        <v>0.10276998847926266</v>
      </c>
      <c r="I16" s="80">
        <f t="shared" si="1"/>
        <v>0.2385449212749616</v>
      </c>
      <c r="J16" s="76">
        <v>719</v>
      </c>
      <c r="K16" s="76"/>
      <c r="L16" s="76">
        <v>34</v>
      </c>
      <c r="M16" s="76">
        <v>73</v>
      </c>
      <c r="N16" s="76">
        <v>181</v>
      </c>
      <c r="O16" s="80">
        <f t="shared" si="2"/>
        <v>4.7287899860917942E-2</v>
      </c>
      <c r="P16" s="80">
        <f t="shared" si="0"/>
        <v>0.10152990264255911</v>
      </c>
      <c r="Q16" s="80">
        <f t="shared" si="0"/>
        <v>0.2517385257301808</v>
      </c>
    </row>
    <row r="17" spans="1:17">
      <c r="A17" s="74" t="s">
        <v>69</v>
      </c>
      <c r="B17" s="75">
        <v>2114500</v>
      </c>
      <c r="C17" s="76">
        <v>118454.11259999999</v>
      </c>
      <c r="D17" s="75">
        <v>95711.26</v>
      </c>
      <c r="E17" s="75">
        <v>201422.51</v>
      </c>
      <c r="F17" s="75">
        <v>534662.77</v>
      </c>
      <c r="G17" s="80">
        <f t="shared" si="1"/>
        <v>4.5264251596122011E-2</v>
      </c>
      <c r="H17" s="80">
        <f t="shared" si="1"/>
        <v>9.5257748876803036E-2</v>
      </c>
      <c r="I17" s="80">
        <f t="shared" si="1"/>
        <v>0.2528554126270986</v>
      </c>
      <c r="J17" s="76">
        <v>92</v>
      </c>
      <c r="K17" s="76"/>
      <c r="L17" s="76">
        <v>4</v>
      </c>
      <c r="M17" s="76">
        <v>9</v>
      </c>
      <c r="N17" s="76">
        <v>23</v>
      </c>
      <c r="O17" s="80">
        <f t="shared" si="2"/>
        <v>4.3478260869565216E-2</v>
      </c>
      <c r="P17" s="80">
        <f t="shared" si="0"/>
        <v>9.7826086956521743E-2</v>
      </c>
      <c r="Q17" s="80">
        <f t="shared" si="0"/>
        <v>0.25</v>
      </c>
    </row>
    <row r="18" spans="1:17">
      <c r="A18" s="74" t="s">
        <v>70</v>
      </c>
      <c r="B18" s="75">
        <v>8596000</v>
      </c>
      <c r="C18" s="76">
        <v>943044.04870000004</v>
      </c>
      <c r="D18" s="75">
        <v>430492.97</v>
      </c>
      <c r="E18" s="75">
        <v>820985.94</v>
      </c>
      <c r="F18" s="75">
        <v>1989420.81</v>
      </c>
      <c r="G18" s="80">
        <f t="shared" si="1"/>
        <v>5.0080615402512796E-2</v>
      </c>
      <c r="H18" s="80">
        <f t="shared" si="1"/>
        <v>9.5507903676128422E-2</v>
      </c>
      <c r="I18" s="80">
        <f t="shared" si="1"/>
        <v>0.23143564564913915</v>
      </c>
      <c r="J18" s="76">
        <v>233</v>
      </c>
      <c r="K18" s="76"/>
      <c r="L18" s="76">
        <v>12</v>
      </c>
      <c r="M18" s="76">
        <v>24</v>
      </c>
      <c r="N18" s="76">
        <v>58</v>
      </c>
      <c r="O18" s="80">
        <f t="shared" si="2"/>
        <v>5.1502145922746781E-2</v>
      </c>
      <c r="P18" s="80">
        <f t="shared" si="2"/>
        <v>0.10300429184549356</v>
      </c>
      <c r="Q18" s="80">
        <f t="shared" si="2"/>
        <v>0.24892703862660945</v>
      </c>
    </row>
    <row r="19" spans="1:17">
      <c r="A19" s="74" t="s">
        <v>71</v>
      </c>
      <c r="B19" s="75">
        <v>3672808.73</v>
      </c>
      <c r="C19" s="76">
        <v>170348.93090000001</v>
      </c>
      <c r="D19" s="75">
        <v>141445.98000000001</v>
      </c>
      <c r="E19" s="75">
        <v>442471.97</v>
      </c>
      <c r="F19" s="75">
        <v>928019.66</v>
      </c>
      <c r="G19" s="80">
        <f t="shared" si="1"/>
        <v>3.8511665158234364E-2</v>
      </c>
      <c r="H19" s="80">
        <f t="shared" si="1"/>
        <v>0.12047236938472426</v>
      </c>
      <c r="I19" s="80">
        <f t="shared" si="1"/>
        <v>0.25267301627220867</v>
      </c>
      <c r="J19" s="76">
        <v>117</v>
      </c>
      <c r="K19" s="76"/>
      <c r="L19" s="76">
        <v>5</v>
      </c>
      <c r="M19" s="76">
        <v>14</v>
      </c>
      <c r="N19" s="76">
        <v>28</v>
      </c>
      <c r="O19" s="80">
        <f t="shared" si="2"/>
        <v>4.2735042735042736E-2</v>
      </c>
      <c r="P19" s="80">
        <f t="shared" si="2"/>
        <v>0.11965811965811966</v>
      </c>
      <c r="Q19" s="80">
        <f t="shared" si="2"/>
        <v>0.23931623931623933</v>
      </c>
    </row>
    <row r="20" spans="1:17">
      <c r="A20" s="74" t="s">
        <v>72</v>
      </c>
      <c r="B20" s="75">
        <v>10146994.6</v>
      </c>
      <c r="C20" s="76">
        <v>127777.7778</v>
      </c>
      <c r="D20" s="75">
        <v>497905.29</v>
      </c>
      <c r="E20" s="75">
        <v>1045810.57</v>
      </c>
      <c r="F20" s="75">
        <v>3059653.94</v>
      </c>
      <c r="G20" s="80">
        <f t="shared" si="1"/>
        <v>4.9069237703152024E-2</v>
      </c>
      <c r="H20" s="80">
        <f t="shared" si="1"/>
        <v>0.10306604184060569</v>
      </c>
      <c r="I20" s="80">
        <f t="shared" si="1"/>
        <v>0.3015330214130596</v>
      </c>
      <c r="J20" s="76">
        <v>46</v>
      </c>
      <c r="K20" s="76"/>
      <c r="L20" s="76">
        <v>2</v>
      </c>
      <c r="M20" s="76">
        <v>5</v>
      </c>
      <c r="N20" s="76">
        <v>14</v>
      </c>
      <c r="O20" s="80">
        <f t="shared" si="2"/>
        <v>4.3478260869565216E-2</v>
      </c>
      <c r="P20" s="80">
        <f t="shared" si="2"/>
        <v>0.10869565217391304</v>
      </c>
      <c r="Q20" s="80">
        <f t="shared" si="2"/>
        <v>0.30434782608695654</v>
      </c>
    </row>
    <row r="21" spans="1:17">
      <c r="A21" s="74" t="s">
        <v>73</v>
      </c>
      <c r="B21" s="75">
        <v>4088000</v>
      </c>
      <c r="C21" s="76">
        <v>124977.1909</v>
      </c>
      <c r="D21" s="75">
        <v>209954.38</v>
      </c>
      <c r="E21" s="75">
        <v>385000</v>
      </c>
      <c r="F21" s="75">
        <v>909432.17</v>
      </c>
      <c r="G21" s="80">
        <f t="shared" si="1"/>
        <v>5.1358703522504892E-2</v>
      </c>
      <c r="H21" s="80">
        <f t="shared" si="1"/>
        <v>9.4178082191780824E-2</v>
      </c>
      <c r="I21" s="80">
        <f t="shared" si="1"/>
        <v>0.22246383806262232</v>
      </c>
      <c r="J21" s="76">
        <v>214</v>
      </c>
      <c r="K21" s="76"/>
      <c r="L21" s="76">
        <v>10</v>
      </c>
      <c r="M21" s="76">
        <v>28</v>
      </c>
      <c r="N21" s="76">
        <v>44</v>
      </c>
      <c r="O21" s="80">
        <f t="shared" si="2"/>
        <v>4.6728971962616821E-2</v>
      </c>
      <c r="P21" s="80">
        <f t="shared" si="2"/>
        <v>0.13084112149532709</v>
      </c>
      <c r="Q21" s="80">
        <f t="shared" si="2"/>
        <v>0.20560747663551401</v>
      </c>
    </row>
    <row r="22" spans="1:17">
      <c r="A22" s="74" t="s">
        <v>74</v>
      </c>
      <c r="B22" s="75">
        <v>37165000</v>
      </c>
      <c r="C22" s="76">
        <v>1130809.0830000001</v>
      </c>
      <c r="D22" s="75">
        <v>1937306</v>
      </c>
      <c r="E22" s="75">
        <v>3612111.99</v>
      </c>
      <c r="F22" s="75">
        <v>7926962.0800000001</v>
      </c>
      <c r="G22" s="80">
        <f t="shared" si="1"/>
        <v>5.2127162653033771E-2</v>
      </c>
      <c r="H22" s="80">
        <f t="shared" si="1"/>
        <v>9.7191228037131719E-2</v>
      </c>
      <c r="I22" s="80">
        <f t="shared" si="1"/>
        <v>0.21329105556302974</v>
      </c>
      <c r="J22" s="76">
        <v>234</v>
      </c>
      <c r="K22" s="76"/>
      <c r="L22" s="76">
        <v>13</v>
      </c>
      <c r="M22" s="76">
        <v>23</v>
      </c>
      <c r="N22" s="76">
        <v>51</v>
      </c>
      <c r="O22" s="80">
        <f t="shared" si="2"/>
        <v>5.5555555555555552E-2</v>
      </c>
      <c r="P22" s="80">
        <f t="shared" si="2"/>
        <v>9.8290598290598288E-2</v>
      </c>
      <c r="Q22" s="80">
        <f t="shared" si="2"/>
        <v>0.21794871794871795</v>
      </c>
    </row>
    <row r="23" spans="1:17">
      <c r="A23" s="74" t="s">
        <v>75</v>
      </c>
      <c r="B23" s="75">
        <v>18210000</v>
      </c>
      <c r="C23" s="76">
        <v>1412951.22</v>
      </c>
      <c r="D23" s="75">
        <v>897138.21</v>
      </c>
      <c r="E23" s="75">
        <v>1607609.76</v>
      </c>
      <c r="F23" s="75">
        <v>9097000</v>
      </c>
      <c r="G23" s="80">
        <f t="shared" si="1"/>
        <v>4.9266238879736406E-2</v>
      </c>
      <c r="H23" s="80">
        <f t="shared" si="1"/>
        <v>8.8281700164744653E-2</v>
      </c>
      <c r="I23" s="80">
        <f t="shared" si="1"/>
        <v>0.49956068094453598</v>
      </c>
      <c r="J23" s="76">
        <v>279</v>
      </c>
      <c r="K23" s="76"/>
      <c r="L23" s="76">
        <v>14</v>
      </c>
      <c r="M23" s="76">
        <v>27</v>
      </c>
      <c r="N23" s="76">
        <v>139</v>
      </c>
      <c r="O23" s="80">
        <f t="shared" si="2"/>
        <v>5.0179211469534052E-2</v>
      </c>
      <c r="P23" s="80">
        <f t="shared" si="2"/>
        <v>9.6774193548387094E-2</v>
      </c>
      <c r="Q23" s="80">
        <f t="shared" si="2"/>
        <v>0.49820788530465948</v>
      </c>
    </row>
    <row r="24" spans="1:17">
      <c r="A24" s="74" t="s">
        <v>76</v>
      </c>
      <c r="B24" s="75">
        <v>6950500</v>
      </c>
      <c r="C24" s="76">
        <v>165428.4601</v>
      </c>
      <c r="D24" s="75">
        <v>283500.93</v>
      </c>
      <c r="E24" s="75">
        <v>694191.53</v>
      </c>
      <c r="F24" s="75">
        <v>1696609.26</v>
      </c>
      <c r="G24" s="80">
        <f t="shared" si="1"/>
        <v>4.078856629019495E-2</v>
      </c>
      <c r="H24" s="80">
        <f t="shared" si="1"/>
        <v>9.9876488022444435E-2</v>
      </c>
      <c r="I24" s="80">
        <f t="shared" si="1"/>
        <v>0.24409887921732248</v>
      </c>
      <c r="J24" s="76">
        <v>294</v>
      </c>
      <c r="K24" s="76"/>
      <c r="L24" s="76">
        <v>14</v>
      </c>
      <c r="M24" s="76">
        <v>29</v>
      </c>
      <c r="N24" s="76">
        <v>73</v>
      </c>
      <c r="O24" s="80">
        <f t="shared" si="2"/>
        <v>4.7619047619047616E-2</v>
      </c>
      <c r="P24" s="80">
        <f t="shared" si="2"/>
        <v>9.8639455782312924E-2</v>
      </c>
      <c r="Q24" s="80">
        <f t="shared" si="2"/>
        <v>0.24829931972789115</v>
      </c>
    </row>
    <row r="25" spans="1:17">
      <c r="A25" s="74" t="s">
        <v>77</v>
      </c>
      <c r="B25" s="75">
        <v>65185200</v>
      </c>
      <c r="C25" s="76">
        <v>6115771.6969999997</v>
      </c>
      <c r="D25" s="75">
        <v>1585281.5</v>
      </c>
      <c r="E25" s="75">
        <v>4477915.9400000004</v>
      </c>
      <c r="F25" s="75">
        <v>9854238.0199999996</v>
      </c>
      <c r="G25" s="80">
        <f t="shared" si="1"/>
        <v>2.4319653847805944E-2</v>
      </c>
      <c r="H25" s="80">
        <f t="shared" si="1"/>
        <v>6.869528573970779E-2</v>
      </c>
      <c r="I25" s="80">
        <f t="shared" si="1"/>
        <v>0.15117293526751471</v>
      </c>
      <c r="J25" s="76">
        <v>610</v>
      </c>
      <c r="K25" s="76"/>
      <c r="L25" s="76">
        <v>29</v>
      </c>
      <c r="M25" s="76">
        <v>64</v>
      </c>
      <c r="N25" s="76">
        <v>148</v>
      </c>
      <c r="O25" s="80">
        <f t="shared" si="2"/>
        <v>4.7540983606557376E-2</v>
      </c>
      <c r="P25" s="80">
        <f t="shared" si="2"/>
        <v>0.10491803278688525</v>
      </c>
      <c r="Q25" s="80">
        <f t="shared" si="2"/>
        <v>0.24262295081967214</v>
      </c>
    </row>
    <row r="26" spans="1:17">
      <c r="A26" s="74" t="s">
        <v>78</v>
      </c>
      <c r="B26" s="75">
        <v>5453008.7300000004</v>
      </c>
      <c r="C26" s="76">
        <v>319566.54849999998</v>
      </c>
      <c r="D26" s="75">
        <v>449077</v>
      </c>
      <c r="E26" s="75">
        <v>673182.06</v>
      </c>
      <c r="F26" s="75">
        <v>1300846.52</v>
      </c>
      <c r="G26" s="80">
        <f t="shared" si="1"/>
        <v>8.2353985154907314E-2</v>
      </c>
      <c r="H26" s="80">
        <f t="shared" si="1"/>
        <v>0.123451491338434</v>
      </c>
      <c r="I26" s="80">
        <f t="shared" si="1"/>
        <v>0.23855573765054286</v>
      </c>
      <c r="J26" s="76">
        <v>143</v>
      </c>
      <c r="K26" s="76"/>
      <c r="L26" s="76">
        <v>9</v>
      </c>
      <c r="M26" s="76">
        <v>15</v>
      </c>
      <c r="N26" s="76">
        <v>36</v>
      </c>
      <c r="O26" s="80">
        <f t="shared" si="2"/>
        <v>6.2937062937062943E-2</v>
      </c>
      <c r="P26" s="80">
        <f t="shared" si="2"/>
        <v>0.1048951048951049</v>
      </c>
      <c r="Q26" s="80">
        <f t="shared" si="2"/>
        <v>0.25174825174825177</v>
      </c>
    </row>
    <row r="27" spans="1:17">
      <c r="A27" s="74" t="s">
        <v>79</v>
      </c>
      <c r="B27" s="75">
        <v>2340558.7000000002</v>
      </c>
      <c r="C27" s="76">
        <v>221074.22380000001</v>
      </c>
      <c r="D27" s="75">
        <v>64740.89</v>
      </c>
      <c r="E27" s="75">
        <v>234815.11</v>
      </c>
      <c r="F27" s="75">
        <v>522704.45</v>
      </c>
      <c r="G27" s="80">
        <f t="shared" si="1"/>
        <v>2.7660442782315178E-2</v>
      </c>
      <c r="H27" s="80">
        <f t="shared" si="1"/>
        <v>0.1003243840882948</v>
      </c>
      <c r="I27" s="80">
        <f t="shared" si="1"/>
        <v>0.22332464893958864</v>
      </c>
      <c r="J27" s="76">
        <v>106</v>
      </c>
      <c r="K27" s="76"/>
      <c r="L27" s="76">
        <v>4</v>
      </c>
      <c r="M27" s="76">
        <v>11</v>
      </c>
      <c r="N27" s="76">
        <v>25</v>
      </c>
      <c r="O27" s="80">
        <f t="shared" si="2"/>
        <v>3.7735849056603772E-2</v>
      </c>
      <c r="P27" s="80">
        <f t="shared" si="2"/>
        <v>0.10377358490566038</v>
      </c>
      <c r="Q27" s="80">
        <f t="shared" si="2"/>
        <v>0.23584905660377359</v>
      </c>
    </row>
    <row r="28" spans="1:17">
      <c r="A28" s="77" t="s">
        <v>20</v>
      </c>
      <c r="B28" s="78">
        <v>269745442.81</v>
      </c>
      <c r="C28" s="79">
        <v>14850791.390000001</v>
      </c>
      <c r="D28" s="78">
        <v>12395782.15</v>
      </c>
      <c r="E28" s="78">
        <v>25798306.399999999</v>
      </c>
      <c r="F28" s="78">
        <v>62972194.560000002</v>
      </c>
      <c r="G28" s="81">
        <f>MEDIAN(G2:G27)</f>
        <v>4.9585669663796544E-2</v>
      </c>
      <c r="H28" s="81">
        <f>MEDIAN(H2:H27)</f>
        <v>9.9843344778976537E-2</v>
      </c>
      <c r="I28" s="81">
        <f>MEDIAN(I2:I27)</f>
        <v>0.24475778375014445</v>
      </c>
      <c r="J28" s="79">
        <v>6470</v>
      </c>
      <c r="K28" s="79"/>
      <c r="L28" s="79">
        <v>365</v>
      </c>
      <c r="M28" s="79">
        <v>701</v>
      </c>
      <c r="N28" s="79">
        <v>1659</v>
      </c>
      <c r="O28" s="81">
        <f>MEDIAN(O2:O27)</f>
        <v>4.8833857442348014E-2</v>
      </c>
      <c r="P28" s="81">
        <f>MEDIAN(P2:P27)</f>
        <v>9.9763033175355453E-2</v>
      </c>
      <c r="Q28" s="81">
        <f>MEDIAN(Q2:Q27)</f>
        <v>0.24952830188679245</v>
      </c>
    </row>
    <row r="32" spans="1:17" s="108" customFormat="1" ht="29">
      <c r="A32" s="107" t="s">
        <v>80</v>
      </c>
      <c r="B32" s="107" t="s">
        <v>81</v>
      </c>
      <c r="C32" s="107" t="s">
        <v>82</v>
      </c>
      <c r="D32" s="107" t="s">
        <v>83</v>
      </c>
      <c r="E32" s="107" t="s">
        <v>84</v>
      </c>
      <c r="G32" s="109"/>
      <c r="H32" s="109"/>
      <c r="I32" s="109"/>
    </row>
    <row r="33" spans="1:9">
      <c r="A33" s="105" t="s">
        <v>45</v>
      </c>
      <c r="B33" s="112">
        <f>F28</f>
        <v>62972194.560000002</v>
      </c>
      <c r="C33" s="113">
        <f>I28</f>
        <v>0.24475778375014445</v>
      </c>
      <c r="D33">
        <f>N28</f>
        <v>1659</v>
      </c>
      <c r="E33" s="113">
        <f>Q28</f>
        <v>0.24952830188679245</v>
      </c>
    </row>
    <row r="34" spans="1:9">
      <c r="A34" s="105" t="s">
        <v>46</v>
      </c>
      <c r="B34" s="112">
        <f>E28</f>
        <v>25798306.399999999</v>
      </c>
      <c r="C34" s="113">
        <f>H28</f>
        <v>9.9843344778976537E-2</v>
      </c>
      <c r="D34" s="105">
        <f>M28</f>
        <v>701</v>
      </c>
      <c r="E34" s="113">
        <f>P28</f>
        <v>9.9763033175355453E-2</v>
      </c>
    </row>
    <row r="35" spans="1:9">
      <c r="A35" s="105" t="s">
        <v>47</v>
      </c>
      <c r="B35" s="112">
        <f>D28</f>
        <v>12395782.15</v>
      </c>
      <c r="C35" s="113">
        <f>G28</f>
        <v>4.9585669663796544E-2</v>
      </c>
      <c r="D35" s="105">
        <f>L28</f>
        <v>365</v>
      </c>
      <c r="E35" s="113">
        <f>O28</f>
        <v>4.8833857442348014E-2</v>
      </c>
    </row>
    <row r="36" spans="1:9">
      <c r="A36" s="105" t="s">
        <v>48</v>
      </c>
      <c r="B36" s="112"/>
      <c r="C36" s="113"/>
      <c r="D36" s="105"/>
      <c r="E36" s="113"/>
    </row>
    <row r="37" spans="1:9">
      <c r="A37" s="106"/>
      <c r="B37" s="114">
        <f>SUM(B33:B35)</f>
        <v>101166283.11000001</v>
      </c>
      <c r="C37" s="115">
        <f>MEDIAN(C33:C35)</f>
        <v>9.9843344778976537E-2</v>
      </c>
      <c r="D37" s="106">
        <f>SUM(D33:D35)</f>
        <v>2725</v>
      </c>
      <c r="E37" s="115">
        <f>MEDIAN(E33:E35)</f>
        <v>9.9763033175355453E-2</v>
      </c>
    </row>
    <row r="41" spans="1:9" ht="29">
      <c r="A41" s="126" t="s">
        <v>792</v>
      </c>
      <c r="B41" s="98" t="s">
        <v>129</v>
      </c>
      <c r="C41" s="95" t="s">
        <v>130</v>
      </c>
      <c r="E41" s="45"/>
      <c r="F41" s="45"/>
      <c r="H41"/>
      <c r="I41"/>
    </row>
    <row r="42" spans="1:9">
      <c r="A42" s="74" t="s">
        <v>62</v>
      </c>
      <c r="B42" s="130">
        <v>234815.11</v>
      </c>
      <c r="C42" s="80">
        <v>9.4215571343372828E-2</v>
      </c>
      <c r="E42" s="45"/>
      <c r="F42" s="45"/>
      <c r="H42"/>
      <c r="I42"/>
    </row>
    <row r="43" spans="1:9">
      <c r="A43" s="74" t="s">
        <v>58</v>
      </c>
      <c r="B43" s="130">
        <v>335457.45</v>
      </c>
      <c r="C43" s="80">
        <v>8.431363800740635E-2</v>
      </c>
      <c r="E43" s="45"/>
      <c r="F43" s="45"/>
      <c r="H43"/>
      <c r="I43"/>
    </row>
    <row r="44" spans="1:9">
      <c r="A44" s="74" t="s">
        <v>78</v>
      </c>
      <c r="B44" s="130">
        <v>201422.51</v>
      </c>
      <c r="C44" s="80">
        <v>8.2353985154907314E-2</v>
      </c>
      <c r="E44" s="45"/>
      <c r="F44" s="45"/>
      <c r="H44"/>
      <c r="I44"/>
    </row>
    <row r="45" spans="1:9">
      <c r="A45" s="74" t="s">
        <v>61</v>
      </c>
      <c r="B45" s="130">
        <v>535226.1</v>
      </c>
      <c r="C45" s="80">
        <v>5.5141579731743669E-2</v>
      </c>
      <c r="E45" s="45"/>
      <c r="F45" s="45"/>
      <c r="H45"/>
      <c r="I45"/>
    </row>
    <row r="46" spans="1:9">
      <c r="A46" s="74" t="s">
        <v>67</v>
      </c>
      <c r="B46" s="130">
        <v>442471.97</v>
      </c>
      <c r="C46" s="80">
        <v>5.5069372874288078E-2</v>
      </c>
      <c r="E46" s="45"/>
      <c r="F46" s="45"/>
      <c r="H46"/>
      <c r="I46"/>
    </row>
    <row r="47" spans="1:9">
      <c r="A47" s="74" t="s">
        <v>66</v>
      </c>
      <c r="B47" s="130">
        <v>672461.84</v>
      </c>
      <c r="C47" s="80">
        <v>5.2891346904310695E-2</v>
      </c>
      <c r="E47" s="45"/>
      <c r="F47" s="45"/>
      <c r="H47"/>
      <c r="I47"/>
    </row>
    <row r="48" spans="1:9">
      <c r="A48" s="74" t="s">
        <v>114</v>
      </c>
      <c r="B48" s="130">
        <v>694191.53</v>
      </c>
      <c r="C48" s="80">
        <v>5.2127162653033771E-2</v>
      </c>
      <c r="E48" s="45"/>
      <c r="F48" s="45"/>
      <c r="H48"/>
      <c r="I48"/>
    </row>
    <row r="49" spans="1:9">
      <c r="A49" s="74" t="s">
        <v>64</v>
      </c>
      <c r="B49" s="130">
        <v>1560033.45</v>
      </c>
      <c r="C49" s="80">
        <v>5.143065595463138E-2</v>
      </c>
      <c r="E49" s="45"/>
      <c r="F49" s="45"/>
      <c r="H49"/>
      <c r="I49"/>
    </row>
    <row r="50" spans="1:9">
      <c r="A50" s="74" t="s">
        <v>73</v>
      </c>
      <c r="B50" s="130">
        <v>1607609.76</v>
      </c>
      <c r="C50" s="80">
        <v>5.1358703522504892E-2</v>
      </c>
      <c r="E50" s="45"/>
      <c r="F50" s="45"/>
      <c r="H50"/>
      <c r="I50"/>
    </row>
    <row r="51" spans="1:9">
      <c r="A51" s="74" t="s">
        <v>60</v>
      </c>
      <c r="B51" s="130">
        <v>543613.27</v>
      </c>
      <c r="C51" s="80">
        <v>5.0645296973620323E-2</v>
      </c>
      <c r="E51" s="45"/>
      <c r="F51" s="45"/>
      <c r="H51"/>
      <c r="I51"/>
    </row>
    <row r="52" spans="1:9">
      <c r="A52" s="74" t="s">
        <v>70</v>
      </c>
      <c r="B52" s="130">
        <v>1045810.57</v>
      </c>
      <c r="C52" s="80">
        <v>5.0080615402512796E-2</v>
      </c>
      <c r="E52" s="45"/>
      <c r="F52" s="45"/>
      <c r="H52"/>
      <c r="I52"/>
    </row>
    <row r="53" spans="1:9">
      <c r="A53" s="74" t="s">
        <v>55</v>
      </c>
      <c r="B53" s="130">
        <v>258459.33</v>
      </c>
      <c r="C53" s="80">
        <v>0.05</v>
      </c>
      <c r="E53" s="45"/>
      <c r="F53" s="45"/>
      <c r="H53"/>
      <c r="I53"/>
    </row>
    <row r="54" spans="1:9">
      <c r="A54" s="74" t="s">
        <v>56</v>
      </c>
      <c r="B54" s="130">
        <v>841901.89</v>
      </c>
      <c r="C54" s="80">
        <v>4.9905100447856683E-2</v>
      </c>
      <c r="E54" s="45"/>
      <c r="F54" s="45"/>
      <c r="H54"/>
      <c r="I54"/>
    </row>
    <row r="55" spans="1:9">
      <c r="A55" s="74" t="s">
        <v>75</v>
      </c>
      <c r="B55" s="130">
        <v>349507.11</v>
      </c>
      <c r="C55" s="80">
        <v>4.9266238879736406E-2</v>
      </c>
      <c r="E55" s="45"/>
      <c r="F55" s="45"/>
      <c r="H55"/>
      <c r="I55"/>
    </row>
    <row r="56" spans="1:9">
      <c r="A56" s="74" t="s">
        <v>72</v>
      </c>
      <c r="B56" s="130">
        <v>522408.9</v>
      </c>
      <c r="C56" s="80">
        <v>4.9069237703152024E-2</v>
      </c>
      <c r="E56" s="45"/>
      <c r="F56" s="45"/>
      <c r="H56"/>
      <c r="I56"/>
    </row>
    <row r="57" spans="1:9">
      <c r="A57" s="74" t="s">
        <v>65</v>
      </c>
      <c r="B57" s="130">
        <v>639929.96</v>
      </c>
      <c r="C57" s="80">
        <v>4.7349614009875751E-2</v>
      </c>
      <c r="E57" s="45"/>
      <c r="F57" s="45"/>
      <c r="H57"/>
      <c r="I57"/>
    </row>
    <row r="58" spans="1:9">
      <c r="A58" s="74" t="s">
        <v>59</v>
      </c>
      <c r="B58" s="130">
        <v>340000</v>
      </c>
      <c r="C58" s="80">
        <v>4.5284870270270269E-2</v>
      </c>
      <c r="E58" s="45"/>
      <c r="F58" s="45"/>
      <c r="H58"/>
      <c r="I58"/>
    </row>
    <row r="59" spans="1:9">
      <c r="A59" s="74" t="s">
        <v>69</v>
      </c>
      <c r="B59" s="130">
        <v>383535</v>
      </c>
      <c r="C59" s="80">
        <v>4.5264251596122011E-2</v>
      </c>
      <c r="E59" s="45"/>
      <c r="F59" s="45"/>
      <c r="H59"/>
      <c r="I59"/>
    </row>
    <row r="60" spans="1:9">
      <c r="A60" s="74" t="s">
        <v>63</v>
      </c>
      <c r="B60" s="130">
        <v>265330.5</v>
      </c>
      <c r="C60" s="80">
        <v>4.5202489052186288E-2</v>
      </c>
      <c r="E60" s="45"/>
      <c r="F60" s="45"/>
      <c r="H60"/>
      <c r="I60"/>
    </row>
    <row r="61" spans="1:9">
      <c r="A61" s="74" t="s">
        <v>76</v>
      </c>
      <c r="B61" s="130">
        <v>3133430.4</v>
      </c>
      <c r="C61" s="80">
        <v>4.078856629019495E-2</v>
      </c>
      <c r="E61" s="45"/>
      <c r="F61" s="45"/>
      <c r="H61"/>
      <c r="I61"/>
    </row>
    <row r="62" spans="1:9">
      <c r="A62" s="74" t="s">
        <v>54</v>
      </c>
      <c r="B62" s="130">
        <v>3612111.99</v>
      </c>
      <c r="C62" s="80">
        <v>3.9079940973535822E-2</v>
      </c>
      <c r="E62" s="45"/>
      <c r="F62" s="45"/>
      <c r="H62"/>
      <c r="I62"/>
    </row>
    <row r="63" spans="1:9">
      <c r="A63" s="74" t="s">
        <v>71</v>
      </c>
      <c r="B63" s="130">
        <v>1221493.83</v>
      </c>
      <c r="C63" s="80">
        <v>3.8511665158234364E-2</v>
      </c>
      <c r="E63" s="45"/>
      <c r="F63" s="45"/>
      <c r="H63"/>
      <c r="I63"/>
    </row>
    <row r="64" spans="1:9">
      <c r="A64" s="74" t="s">
        <v>57</v>
      </c>
      <c r="B64" s="130">
        <v>4477915.9400000004</v>
      </c>
      <c r="C64" s="80">
        <v>3.7203152131482953E-2</v>
      </c>
      <c r="E64" s="45"/>
      <c r="F64" s="45"/>
      <c r="H64"/>
      <c r="I64"/>
    </row>
    <row r="65" spans="1:9">
      <c r="A65" s="74" t="s">
        <v>68</v>
      </c>
      <c r="B65" s="130">
        <v>820985.94</v>
      </c>
      <c r="C65" s="80">
        <v>3.1852870583717358E-2</v>
      </c>
      <c r="E65" s="45"/>
      <c r="F65" s="45"/>
      <c r="H65"/>
      <c r="I65"/>
    </row>
    <row r="66" spans="1:9">
      <c r="A66" s="74" t="s">
        <v>79</v>
      </c>
      <c r="B66" s="130">
        <v>385000</v>
      </c>
      <c r="C66" s="80">
        <v>2.7660442782315178E-2</v>
      </c>
      <c r="E66" s="45"/>
      <c r="F66" s="45"/>
      <c r="H66"/>
      <c r="I66"/>
    </row>
    <row r="67" spans="1:9">
      <c r="A67" s="74" t="s">
        <v>793</v>
      </c>
      <c r="B67" s="130">
        <v>673182.06</v>
      </c>
      <c r="C67" s="80">
        <v>2.4319653847805944E-2</v>
      </c>
      <c r="E67" s="45"/>
      <c r="F67" s="45"/>
      <c r="H67"/>
      <c r="I67"/>
    </row>
    <row r="68" spans="1:9">
      <c r="E68" s="45"/>
      <c r="F68" s="45"/>
      <c r="H68"/>
      <c r="I68"/>
    </row>
  </sheetData>
  <autoFilter ref="A41:E41" xr:uid="{D236D411-F558-47A3-8044-4637B572EC23}">
    <sortState xmlns:xlrd2="http://schemas.microsoft.com/office/spreadsheetml/2017/richdata2" ref="A42:E67">
      <sortCondition descending="1" ref="C41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20EF6-139A-CA44-A984-B1545B5CC564}">
  <dimension ref="A1:Q96"/>
  <sheetViews>
    <sheetView topLeftCell="A31" zoomScale="57" zoomScaleNormal="57" workbookViewId="0">
      <selection activeCell="F37" sqref="F37"/>
    </sheetView>
  </sheetViews>
  <sheetFormatPr defaultColWidth="10.81640625" defaultRowHeight="14.5"/>
  <cols>
    <col min="1" max="1" width="24.54296875" customWidth="1"/>
    <col min="2" max="2" width="21.81640625" style="82" customWidth="1"/>
    <col min="3" max="3" width="24.453125" style="82" customWidth="1"/>
    <col min="4" max="4" width="20.54296875" customWidth="1"/>
    <col min="5" max="5" width="31.7265625" style="82" customWidth="1"/>
    <col min="6" max="6" width="24.453125" style="45" customWidth="1"/>
    <col min="7" max="7" width="27.81640625" style="84" customWidth="1"/>
    <col min="8" max="8" width="20.54296875" customWidth="1"/>
    <col min="11" max="11" width="17.453125" bestFit="1" customWidth="1"/>
    <col min="12" max="12" width="20.54296875" bestFit="1" customWidth="1"/>
    <col min="13" max="13" width="25.453125" bestFit="1" customWidth="1"/>
    <col min="14" max="14" width="23" bestFit="1" customWidth="1"/>
    <col min="15" max="15" width="13" style="45" bestFit="1" customWidth="1"/>
    <col min="16" max="16" width="23.1796875" style="45" bestFit="1" customWidth="1"/>
    <col min="17" max="17" width="20.54296875" style="45" bestFit="1" customWidth="1"/>
  </cols>
  <sheetData>
    <row r="1" spans="1:17" ht="20.149999999999999" customHeight="1">
      <c r="A1" s="87" t="s">
        <v>89</v>
      </c>
      <c r="B1" s="88" t="s">
        <v>90</v>
      </c>
      <c r="C1" s="88" t="s">
        <v>91</v>
      </c>
      <c r="D1" s="87" t="s">
        <v>85</v>
      </c>
      <c r="E1" s="88" t="s">
        <v>92</v>
      </c>
      <c r="F1" s="89" t="s">
        <v>86</v>
      </c>
      <c r="G1" s="90" t="s">
        <v>93</v>
      </c>
      <c r="H1" s="87" t="s">
        <v>87</v>
      </c>
    </row>
    <row r="2" spans="1:17" ht="14.5" customHeight="1">
      <c r="A2" s="67" t="s">
        <v>94</v>
      </c>
      <c r="B2" s="82">
        <v>14554345.48</v>
      </c>
      <c r="C2" s="82">
        <v>2005888.4941265839</v>
      </c>
      <c r="D2" s="45">
        <f t="shared" ref="D2:D28" si="0">C2/B2</f>
        <v>0.13782059089383275</v>
      </c>
      <c r="E2" s="82">
        <v>3270862.8531009429</v>
      </c>
      <c r="F2" s="45">
        <f t="shared" ref="F2:F28" si="1">E2/B2</f>
        <v>0.22473445182372728</v>
      </c>
      <c r="G2" s="84">
        <v>3309759.2681612917</v>
      </c>
      <c r="H2" s="45">
        <f t="shared" ref="H2:H28" si="2">G2/B2</f>
        <v>0.2274069467919001</v>
      </c>
      <c r="K2" s="69" t="s">
        <v>28</v>
      </c>
      <c r="L2" s="69" t="s">
        <v>31</v>
      </c>
      <c r="M2" s="69" t="s">
        <v>30</v>
      </c>
      <c r="N2" s="69" t="s">
        <v>29</v>
      </c>
      <c r="O2" s="72" t="s">
        <v>53</v>
      </c>
      <c r="P2" s="72" t="s">
        <v>95</v>
      </c>
      <c r="Q2" s="72" t="s">
        <v>96</v>
      </c>
    </row>
    <row r="3" spans="1:17">
      <c r="A3" s="67" t="s">
        <v>97</v>
      </c>
      <c r="B3" s="82">
        <v>25616700</v>
      </c>
      <c r="C3" s="82">
        <v>1538565.9774556381</v>
      </c>
      <c r="D3" s="45">
        <f t="shared" si="0"/>
        <v>6.0061053041790637E-2</v>
      </c>
      <c r="E3" s="82">
        <v>2463523.7638668236</v>
      </c>
      <c r="F3" s="45">
        <f t="shared" si="1"/>
        <v>9.6168662000445951E-2</v>
      </c>
      <c r="G3" s="84">
        <v>6285252.4649804393</v>
      </c>
      <c r="H3" s="45">
        <f t="shared" si="2"/>
        <v>0.24535761690539529</v>
      </c>
      <c r="K3">
        <v>479</v>
      </c>
      <c r="L3">
        <v>71</v>
      </c>
      <c r="M3">
        <v>143</v>
      </c>
      <c r="N3">
        <v>100</v>
      </c>
      <c r="O3" s="45">
        <f>L3/$K3</f>
        <v>0.14822546972860126</v>
      </c>
      <c r="P3" s="45">
        <f>M3/$K3</f>
        <v>0.29853862212943633</v>
      </c>
      <c r="Q3" s="45">
        <f>N3/$K3</f>
        <v>0.20876826722338204</v>
      </c>
    </row>
    <row r="4" spans="1:17">
      <c r="A4" s="67" t="s">
        <v>98</v>
      </c>
      <c r="B4" s="82">
        <v>16266800</v>
      </c>
      <c r="C4" s="82">
        <v>881932.46753246756</v>
      </c>
      <c r="D4" s="45">
        <f t="shared" si="0"/>
        <v>5.4216715489983747E-2</v>
      </c>
      <c r="E4" s="82">
        <v>1656722.0779220778</v>
      </c>
      <c r="F4" s="45">
        <f t="shared" si="1"/>
        <v>0.10184683391460385</v>
      </c>
      <c r="G4" s="84">
        <v>4124451.9480519481</v>
      </c>
      <c r="H4" s="45">
        <f t="shared" si="2"/>
        <v>0.25355029557454128</v>
      </c>
      <c r="K4">
        <v>1268</v>
      </c>
      <c r="L4">
        <v>80</v>
      </c>
      <c r="M4">
        <v>129</v>
      </c>
      <c r="N4">
        <v>322</v>
      </c>
      <c r="O4" s="45">
        <f t="shared" ref="O4:O29" si="3">L4/$K4</f>
        <v>6.3091482649842268E-2</v>
      </c>
      <c r="P4" s="45">
        <f t="shared" ref="P4:P29" si="4">M4/$K4</f>
        <v>0.10173501577287067</v>
      </c>
      <c r="Q4" s="45">
        <f t="shared" ref="Q4:Q29" si="5">N4/$K4</f>
        <v>0.25394321766561512</v>
      </c>
    </row>
    <row r="5" spans="1:17">
      <c r="A5" s="67" t="s">
        <v>99</v>
      </c>
      <c r="B5" s="82">
        <v>32595988.399999999</v>
      </c>
      <c r="C5" s="82">
        <v>2574178.4949162058</v>
      </c>
      <c r="D5" s="45">
        <f t="shared" si="0"/>
        <v>7.8972248465894221E-2</v>
      </c>
      <c r="E5" s="82">
        <v>8821792.4692580514</v>
      </c>
      <c r="F5" s="45">
        <f t="shared" si="1"/>
        <v>0.27064043467563792</v>
      </c>
      <c r="G5" s="84">
        <v>8629298.2692580521</v>
      </c>
      <c r="H5" s="45">
        <f t="shared" si="2"/>
        <v>0.26473497791703876</v>
      </c>
      <c r="K5">
        <v>732</v>
      </c>
      <c r="L5">
        <v>37</v>
      </c>
      <c r="M5">
        <v>74</v>
      </c>
      <c r="N5">
        <v>183</v>
      </c>
      <c r="O5" s="45">
        <f t="shared" si="3"/>
        <v>5.0546448087431695E-2</v>
      </c>
      <c r="P5" s="45">
        <f t="shared" si="4"/>
        <v>0.10109289617486339</v>
      </c>
      <c r="Q5" s="45">
        <f t="shared" si="5"/>
        <v>0.25</v>
      </c>
    </row>
    <row r="6" spans="1:17">
      <c r="A6" s="67" t="s">
        <v>100</v>
      </c>
      <c r="B6" s="82">
        <v>71810000</v>
      </c>
      <c r="C6" s="82">
        <v>3534538.3548535174</v>
      </c>
      <c r="D6" s="45">
        <f t="shared" si="0"/>
        <v>4.922069843828878E-2</v>
      </c>
      <c r="E6" s="82">
        <v>10185518.394824337</v>
      </c>
      <c r="F6" s="45">
        <f t="shared" si="1"/>
        <v>0.14183983282028043</v>
      </c>
      <c r="G6" s="84">
        <v>33776687.042519644</v>
      </c>
      <c r="H6" s="45">
        <f t="shared" si="2"/>
        <v>0.4703618861233762</v>
      </c>
      <c r="K6">
        <v>667</v>
      </c>
      <c r="L6">
        <v>62</v>
      </c>
      <c r="M6">
        <v>184</v>
      </c>
      <c r="N6">
        <v>187</v>
      </c>
      <c r="O6" s="45">
        <f t="shared" si="3"/>
        <v>9.2953523238380811E-2</v>
      </c>
      <c r="P6" s="45">
        <f t="shared" si="4"/>
        <v>0.27586206896551724</v>
      </c>
      <c r="Q6" s="45">
        <f t="shared" si="5"/>
        <v>0.28035982008995503</v>
      </c>
    </row>
    <row r="7" spans="1:17">
      <c r="A7" s="67" t="s">
        <v>101</v>
      </c>
      <c r="B7" s="82">
        <v>87559000</v>
      </c>
      <c r="C7" s="82">
        <v>8039142.3944476573</v>
      </c>
      <c r="D7" s="45">
        <f t="shared" si="0"/>
        <v>9.1814004207992975E-2</v>
      </c>
      <c r="E7" s="82">
        <v>9539142.3944476582</v>
      </c>
      <c r="F7" s="45">
        <f t="shared" si="1"/>
        <v>0.10894530995611711</v>
      </c>
      <c r="G7" s="84">
        <v>22399842.269839704</v>
      </c>
      <c r="H7" s="45">
        <f t="shared" si="2"/>
        <v>0.25582569775625241</v>
      </c>
      <c r="K7">
        <v>1063</v>
      </c>
      <c r="L7">
        <v>54</v>
      </c>
      <c r="M7">
        <v>171</v>
      </c>
      <c r="N7">
        <v>505</v>
      </c>
      <c r="O7" s="45">
        <f t="shared" si="3"/>
        <v>5.0799623706491062E-2</v>
      </c>
      <c r="P7" s="45">
        <f t="shared" si="4"/>
        <v>0.16086547507055504</v>
      </c>
      <c r="Q7" s="45">
        <f t="shared" si="5"/>
        <v>0.47507055503292567</v>
      </c>
    </row>
    <row r="8" spans="1:17">
      <c r="A8" s="67" t="s">
        <v>102</v>
      </c>
      <c r="B8" s="82">
        <v>30506206.84</v>
      </c>
      <c r="C8" s="82">
        <v>4273856.9212429002</v>
      </c>
      <c r="D8" s="45">
        <f t="shared" si="0"/>
        <v>0.14009794608876061</v>
      </c>
      <c r="E8" s="82">
        <v>4192498.9257734716</v>
      </c>
      <c r="F8" s="45">
        <f t="shared" si="1"/>
        <v>0.1374310135561079</v>
      </c>
      <c r="G8" s="84">
        <v>7675419.5282058138</v>
      </c>
      <c r="H8" s="45">
        <f t="shared" si="2"/>
        <v>0.25160189755685186</v>
      </c>
      <c r="K8">
        <v>946</v>
      </c>
      <c r="L8">
        <v>85</v>
      </c>
      <c r="M8">
        <v>134</v>
      </c>
      <c r="N8">
        <v>260</v>
      </c>
      <c r="O8" s="45">
        <f t="shared" si="3"/>
        <v>8.9852008456659624E-2</v>
      </c>
      <c r="P8" s="45">
        <f t="shared" si="4"/>
        <v>0.14164904862579281</v>
      </c>
      <c r="Q8" s="45">
        <f t="shared" si="5"/>
        <v>0.27484143763213531</v>
      </c>
    </row>
    <row r="9" spans="1:17">
      <c r="A9" s="67" t="s">
        <v>103</v>
      </c>
      <c r="B9" s="82">
        <v>41530000</v>
      </c>
      <c r="C9" s="82">
        <v>1787755.7937893884</v>
      </c>
      <c r="D9" s="45">
        <f t="shared" si="0"/>
        <v>4.3047334307473838E-2</v>
      </c>
      <c r="E9" s="82">
        <v>4102756.3924193261</v>
      </c>
      <c r="F9" s="45">
        <f t="shared" si="1"/>
        <v>9.8790185225603802E-2</v>
      </c>
      <c r="G9" s="84">
        <v>9504339.6537517477</v>
      </c>
      <c r="H9" s="45">
        <f t="shared" si="2"/>
        <v>0.22885479541901632</v>
      </c>
      <c r="K9">
        <v>178</v>
      </c>
      <c r="L9">
        <v>17</v>
      </c>
      <c r="M9">
        <v>21</v>
      </c>
      <c r="N9">
        <v>46</v>
      </c>
      <c r="O9" s="45">
        <f t="shared" si="3"/>
        <v>9.5505617977528087E-2</v>
      </c>
      <c r="P9" s="45">
        <f t="shared" si="4"/>
        <v>0.11797752808988764</v>
      </c>
      <c r="Q9" s="45">
        <f t="shared" si="5"/>
        <v>0.25842696629213485</v>
      </c>
    </row>
    <row r="10" spans="1:17">
      <c r="A10" s="67" t="s">
        <v>104</v>
      </c>
      <c r="B10" s="82">
        <v>47264000</v>
      </c>
      <c r="C10" s="82">
        <v>4480021.6588512547</v>
      </c>
      <c r="D10" s="45">
        <f t="shared" si="0"/>
        <v>9.4787188110427703E-2</v>
      </c>
      <c r="E10" s="82">
        <v>4480021.6588512547</v>
      </c>
      <c r="F10" s="45">
        <f t="shared" si="1"/>
        <v>9.4787188110427703E-2</v>
      </c>
      <c r="G10" s="84">
        <v>11663783.697558582</v>
      </c>
      <c r="H10" s="45">
        <f t="shared" si="2"/>
        <v>0.24677944519208239</v>
      </c>
      <c r="K10">
        <v>609</v>
      </c>
      <c r="L10">
        <v>27</v>
      </c>
      <c r="M10">
        <v>57</v>
      </c>
      <c r="N10">
        <v>140</v>
      </c>
      <c r="O10" s="45">
        <f t="shared" si="3"/>
        <v>4.4334975369458129E-2</v>
      </c>
      <c r="P10" s="45">
        <f t="shared" si="4"/>
        <v>9.3596059113300489E-2</v>
      </c>
      <c r="Q10" s="45">
        <f t="shared" si="5"/>
        <v>0.22988505747126436</v>
      </c>
    </row>
    <row r="11" spans="1:17">
      <c r="A11" s="67" t="s">
        <v>105</v>
      </c>
      <c r="B11" s="82">
        <v>31050000</v>
      </c>
      <c r="C11" s="82">
        <v>1362805.9885784842</v>
      </c>
      <c r="D11" s="45">
        <f t="shared" si="0"/>
        <v>4.3890692063719296E-2</v>
      </c>
      <c r="E11" s="82">
        <v>3204336.124401914</v>
      </c>
      <c r="F11" s="45">
        <f t="shared" si="1"/>
        <v>0.10319923105964296</v>
      </c>
      <c r="G11" s="84">
        <v>7598665.7373823123</v>
      </c>
      <c r="H11" s="45">
        <f t="shared" si="2"/>
        <v>0.24472353421521134</v>
      </c>
      <c r="K11">
        <v>576</v>
      </c>
      <c r="L11">
        <v>56</v>
      </c>
      <c r="M11">
        <v>56</v>
      </c>
      <c r="N11">
        <v>146</v>
      </c>
      <c r="O11" s="45">
        <f t="shared" si="3"/>
        <v>9.7222222222222224E-2</v>
      </c>
      <c r="P11" s="45">
        <f t="shared" si="4"/>
        <v>9.7222222222222224E-2</v>
      </c>
      <c r="Q11" s="45">
        <f t="shared" si="5"/>
        <v>0.25347222222222221</v>
      </c>
    </row>
    <row r="12" spans="1:17">
      <c r="A12" s="67" t="s">
        <v>106</v>
      </c>
      <c r="B12" s="82">
        <v>18448000</v>
      </c>
      <c r="C12" s="82">
        <v>830586.54634946678</v>
      </c>
      <c r="D12" s="45">
        <f t="shared" si="0"/>
        <v>4.5023121549732585E-2</v>
      </c>
      <c r="E12" s="82">
        <v>1726267.432321575</v>
      </c>
      <c r="F12" s="45">
        <f t="shared" si="1"/>
        <v>9.3574774085081039E-2</v>
      </c>
      <c r="G12" s="84">
        <v>4171990.9762100074</v>
      </c>
      <c r="H12" s="45">
        <f t="shared" si="2"/>
        <v>0.22614868691511314</v>
      </c>
      <c r="K12">
        <v>1176</v>
      </c>
      <c r="L12">
        <v>50</v>
      </c>
      <c r="M12">
        <v>119</v>
      </c>
      <c r="N12">
        <v>286</v>
      </c>
      <c r="O12" s="45">
        <f t="shared" si="3"/>
        <v>4.2517006802721087E-2</v>
      </c>
      <c r="P12" s="45">
        <f t="shared" si="4"/>
        <v>0.10119047619047619</v>
      </c>
      <c r="Q12" s="45">
        <f t="shared" si="5"/>
        <v>0.24319727891156462</v>
      </c>
    </row>
    <row r="13" spans="1:17">
      <c r="A13" s="67" t="s">
        <v>107</v>
      </c>
      <c r="B13" s="82">
        <v>18978000</v>
      </c>
      <c r="C13" s="82">
        <v>1027752.9304029305</v>
      </c>
      <c r="D13" s="45">
        <f t="shared" si="0"/>
        <v>5.4154965244121112E-2</v>
      </c>
      <c r="E13" s="82">
        <v>2527118.9560439559</v>
      </c>
      <c r="F13" s="45">
        <f t="shared" si="1"/>
        <v>0.13316044662472104</v>
      </c>
      <c r="G13" s="84">
        <v>4442586.0805860804</v>
      </c>
      <c r="H13" s="45">
        <f t="shared" si="2"/>
        <v>0.23409137319981455</v>
      </c>
      <c r="K13">
        <v>230</v>
      </c>
      <c r="L13">
        <v>11</v>
      </c>
      <c r="M13">
        <v>22</v>
      </c>
      <c r="N13">
        <v>53</v>
      </c>
      <c r="O13" s="45">
        <f t="shared" si="3"/>
        <v>4.7826086956521741E-2</v>
      </c>
      <c r="P13" s="45">
        <f t="shared" si="4"/>
        <v>9.5652173913043481E-2</v>
      </c>
      <c r="Q13" s="45">
        <f t="shared" si="5"/>
        <v>0.23043478260869565</v>
      </c>
    </row>
    <row r="14" spans="1:17">
      <c r="A14" s="67" t="s">
        <v>108</v>
      </c>
      <c r="B14" s="82">
        <v>130012500</v>
      </c>
      <c r="C14" s="82">
        <v>6382596.502499626</v>
      </c>
      <c r="D14" s="45">
        <f t="shared" si="0"/>
        <v>4.9092175771557549E-2</v>
      </c>
      <c r="E14" s="82">
        <v>13276558.294056913</v>
      </c>
      <c r="F14" s="45">
        <f t="shared" si="1"/>
        <v>0.10211755249731305</v>
      </c>
      <c r="G14" s="84">
        <v>32640942.140595905</v>
      </c>
      <c r="H14" s="45">
        <f t="shared" si="2"/>
        <v>0.25106002992478343</v>
      </c>
      <c r="K14">
        <v>775</v>
      </c>
      <c r="L14">
        <v>62</v>
      </c>
      <c r="M14">
        <v>166</v>
      </c>
      <c r="N14">
        <v>169</v>
      </c>
      <c r="O14" s="45">
        <f t="shared" si="3"/>
        <v>0.08</v>
      </c>
      <c r="P14" s="45">
        <f t="shared" si="4"/>
        <v>0.21419354838709678</v>
      </c>
      <c r="Q14" s="45">
        <f t="shared" si="5"/>
        <v>0.21806451612903227</v>
      </c>
    </row>
    <row r="15" spans="1:17">
      <c r="A15" s="67" t="s">
        <v>109</v>
      </c>
      <c r="B15" s="82">
        <v>59441250.910000004</v>
      </c>
      <c r="C15" s="82">
        <v>5085705.7224659156</v>
      </c>
      <c r="D15" s="45">
        <f t="shared" si="0"/>
        <v>8.5558524502894168E-2</v>
      </c>
      <c r="E15" s="82">
        <v>5927860.4194659162</v>
      </c>
      <c r="F15" s="45">
        <f t="shared" si="1"/>
        <v>9.9726374003152957E-2</v>
      </c>
      <c r="G15" s="84">
        <v>14893839.288723627</v>
      </c>
      <c r="H15" s="45">
        <f t="shared" si="2"/>
        <v>0.2505640285275017</v>
      </c>
      <c r="K15">
        <v>4215</v>
      </c>
      <c r="L15">
        <v>207</v>
      </c>
      <c r="M15">
        <v>428</v>
      </c>
      <c r="N15">
        <v>1055</v>
      </c>
      <c r="O15" s="45">
        <f t="shared" si="3"/>
        <v>4.9110320284697508E-2</v>
      </c>
      <c r="P15" s="45">
        <f t="shared" si="4"/>
        <v>0.10154211150652431</v>
      </c>
      <c r="Q15" s="45">
        <f t="shared" si="5"/>
        <v>0.25029655990510086</v>
      </c>
    </row>
    <row r="16" spans="1:17">
      <c r="A16" s="67" t="s">
        <v>110</v>
      </c>
      <c r="B16" s="82">
        <v>35600000</v>
      </c>
      <c r="C16" s="82">
        <v>1815151.5088996005</v>
      </c>
      <c r="D16" s="45">
        <f t="shared" si="0"/>
        <v>5.0987401935382037E-2</v>
      </c>
      <c r="E16" s="82">
        <v>4968141.3245306369</v>
      </c>
      <c r="F16" s="45">
        <f t="shared" si="1"/>
        <v>0.13955453158793923</v>
      </c>
      <c r="G16" s="84">
        <v>8345146.6886734059</v>
      </c>
      <c r="H16" s="45">
        <f t="shared" si="2"/>
        <v>0.23441423282790466</v>
      </c>
      <c r="K16">
        <v>1487</v>
      </c>
      <c r="L16">
        <v>126</v>
      </c>
      <c r="M16">
        <v>148</v>
      </c>
      <c r="N16">
        <v>372</v>
      </c>
      <c r="O16" s="45">
        <f t="shared" si="3"/>
        <v>8.4734364492266304E-2</v>
      </c>
      <c r="P16" s="45">
        <f t="shared" si="4"/>
        <v>9.9529253530598522E-2</v>
      </c>
      <c r="Q16" s="45">
        <f t="shared" si="5"/>
        <v>0.25016812373907193</v>
      </c>
    </row>
    <row r="17" spans="1:17">
      <c r="A17" s="67" t="s">
        <v>111</v>
      </c>
      <c r="B17" s="82">
        <v>64273011.980000004</v>
      </c>
      <c r="C17" s="82">
        <v>3188543.0866047665</v>
      </c>
      <c r="D17" s="45">
        <f t="shared" si="0"/>
        <v>4.9609361509259181E-2</v>
      </c>
      <c r="E17" s="82">
        <v>6241991.8335868921</v>
      </c>
      <c r="F17" s="45">
        <f t="shared" si="1"/>
        <v>9.7116840199261686E-2</v>
      </c>
      <c r="G17" s="84">
        <v>16459026.558778552</v>
      </c>
      <c r="H17" s="45">
        <f t="shared" si="2"/>
        <v>0.25607990121732821</v>
      </c>
      <c r="K17">
        <v>2028</v>
      </c>
      <c r="L17">
        <v>103</v>
      </c>
      <c r="M17">
        <v>297</v>
      </c>
      <c r="N17">
        <v>467</v>
      </c>
      <c r="O17" s="45">
        <f t="shared" si="3"/>
        <v>5.0788954635108484E-2</v>
      </c>
      <c r="P17" s="45">
        <f t="shared" si="4"/>
        <v>0.14644970414201183</v>
      </c>
      <c r="Q17" s="45">
        <f t="shared" si="5"/>
        <v>0.23027613412228798</v>
      </c>
    </row>
    <row r="18" spans="1:17">
      <c r="A18" s="67" t="s">
        <v>112</v>
      </c>
      <c r="B18" s="82">
        <v>65927166.600000001</v>
      </c>
      <c r="C18" s="82">
        <v>3206358.33</v>
      </c>
      <c r="D18" s="45">
        <f t="shared" si="0"/>
        <v>4.8634857151588856E-2</v>
      </c>
      <c r="E18" s="82">
        <v>6712716.6600000001</v>
      </c>
      <c r="F18" s="45">
        <f t="shared" si="1"/>
        <v>0.1018201904645482</v>
      </c>
      <c r="G18" s="84">
        <v>17381791.649999999</v>
      </c>
      <c r="H18" s="45">
        <f t="shared" si="2"/>
        <v>0.26365142848411138</v>
      </c>
      <c r="K18">
        <v>645</v>
      </c>
      <c r="L18">
        <v>32</v>
      </c>
      <c r="M18">
        <v>64</v>
      </c>
      <c r="N18">
        <v>162</v>
      </c>
      <c r="O18" s="45">
        <f t="shared" si="3"/>
        <v>4.9612403100775193E-2</v>
      </c>
      <c r="P18" s="45">
        <f t="shared" si="4"/>
        <v>9.9224806201550386E-2</v>
      </c>
      <c r="Q18" s="45">
        <f t="shared" si="5"/>
        <v>0.25116279069767444</v>
      </c>
    </row>
    <row r="19" spans="1:17">
      <c r="A19" s="67" t="s">
        <v>113</v>
      </c>
      <c r="B19" s="82">
        <v>24048000</v>
      </c>
      <c r="C19" s="82">
        <v>1170975.7334299167</v>
      </c>
      <c r="D19" s="45">
        <f t="shared" si="0"/>
        <v>4.8693269021536791E-2</v>
      </c>
      <c r="E19" s="82">
        <v>2373904.3824701197</v>
      </c>
      <c r="F19" s="45">
        <f t="shared" si="1"/>
        <v>9.8715252098724213E-2</v>
      </c>
      <c r="G19" s="84">
        <v>5918784.4983701566</v>
      </c>
      <c r="H19" s="45">
        <f t="shared" si="2"/>
        <v>0.24612377321898521</v>
      </c>
      <c r="K19">
        <v>2226</v>
      </c>
      <c r="L19">
        <v>111</v>
      </c>
      <c r="M19">
        <v>223</v>
      </c>
      <c r="N19">
        <v>632</v>
      </c>
      <c r="O19" s="45">
        <f t="shared" si="3"/>
        <v>4.9865229110512131E-2</v>
      </c>
      <c r="P19" s="45">
        <f t="shared" si="4"/>
        <v>0.10017969451931716</v>
      </c>
      <c r="Q19" s="45">
        <f t="shared" si="5"/>
        <v>0.28391734052111411</v>
      </c>
    </row>
    <row r="20" spans="1:17">
      <c r="A20" s="67" t="s">
        <v>114</v>
      </c>
      <c r="B20" s="82">
        <v>87030000</v>
      </c>
      <c r="C20" s="82">
        <v>4350501.6831092127</v>
      </c>
      <c r="D20" s="45">
        <f t="shared" si="0"/>
        <v>4.9988529048709783E-2</v>
      </c>
      <c r="E20" s="82">
        <v>8208542.3179221991</v>
      </c>
      <c r="F20" s="45">
        <f t="shared" si="1"/>
        <v>9.431853749192462E-2</v>
      </c>
      <c r="G20" s="84">
        <v>20676677.228044521</v>
      </c>
      <c r="H20" s="45">
        <f t="shared" si="2"/>
        <v>0.23758103215034496</v>
      </c>
      <c r="K20">
        <v>520</v>
      </c>
      <c r="L20">
        <v>26</v>
      </c>
      <c r="M20">
        <v>52</v>
      </c>
      <c r="N20">
        <v>130</v>
      </c>
      <c r="O20" s="45">
        <f t="shared" si="3"/>
        <v>0.05</v>
      </c>
      <c r="P20" s="45">
        <f t="shared" si="4"/>
        <v>0.1</v>
      </c>
      <c r="Q20" s="45">
        <f t="shared" si="5"/>
        <v>0.25</v>
      </c>
    </row>
    <row r="21" spans="1:17">
      <c r="A21" s="67" t="s">
        <v>115</v>
      </c>
      <c r="B21" s="82">
        <v>26955000</v>
      </c>
      <c r="C21" s="82">
        <v>1333815.3227424563</v>
      </c>
      <c r="D21" s="45">
        <f t="shared" si="0"/>
        <v>4.9483039241048278E-2</v>
      </c>
      <c r="E21" s="82">
        <v>3018356.8460514187</v>
      </c>
      <c r="F21" s="45">
        <f t="shared" si="1"/>
        <v>0.11197762367098567</v>
      </c>
      <c r="G21" s="84">
        <v>6893495.0714064566</v>
      </c>
      <c r="H21" s="45">
        <f t="shared" si="2"/>
        <v>0.25574086705273441</v>
      </c>
      <c r="K21">
        <v>1052</v>
      </c>
      <c r="L21">
        <v>54</v>
      </c>
      <c r="M21">
        <v>105</v>
      </c>
      <c r="N21">
        <v>263</v>
      </c>
      <c r="O21" s="45">
        <f t="shared" si="3"/>
        <v>5.1330798479087454E-2</v>
      </c>
      <c r="P21" s="45">
        <f t="shared" si="4"/>
        <v>9.9809885931558942E-2</v>
      </c>
      <c r="Q21" s="45">
        <f t="shared" si="5"/>
        <v>0.25</v>
      </c>
    </row>
    <row r="22" spans="1:17">
      <c r="A22" s="67" t="s">
        <v>116</v>
      </c>
      <c r="B22" s="82">
        <v>55450000</v>
      </c>
      <c r="C22" s="82">
        <v>2458572.8381807264</v>
      </c>
      <c r="D22" s="45">
        <f t="shared" si="0"/>
        <v>4.4338554340500026E-2</v>
      </c>
      <c r="E22" s="82">
        <v>5287263.053405989</v>
      </c>
      <c r="F22" s="45">
        <f t="shared" si="1"/>
        <v>9.5351903578106204E-2</v>
      </c>
      <c r="G22" s="84">
        <v>14514543.299744399</v>
      </c>
      <c r="H22" s="45">
        <f t="shared" si="2"/>
        <v>0.26175912172667987</v>
      </c>
      <c r="K22">
        <v>1146</v>
      </c>
      <c r="L22">
        <v>58</v>
      </c>
      <c r="M22">
        <v>127</v>
      </c>
      <c r="N22">
        <v>295</v>
      </c>
      <c r="O22" s="45">
        <f t="shared" si="3"/>
        <v>5.06108202443281E-2</v>
      </c>
      <c r="P22" s="45">
        <f t="shared" si="4"/>
        <v>0.11082024432809773</v>
      </c>
      <c r="Q22" s="45">
        <f t="shared" si="5"/>
        <v>0.25741710296684117</v>
      </c>
    </row>
    <row r="23" spans="1:17">
      <c r="A23" s="67" t="s">
        <v>117</v>
      </c>
      <c r="B23" s="82">
        <v>5860000</v>
      </c>
      <c r="C23" s="82">
        <v>237000</v>
      </c>
      <c r="D23" s="45">
        <f t="shared" si="0"/>
        <v>4.0443686006825935E-2</v>
      </c>
      <c r="E23" s="82">
        <v>322000</v>
      </c>
      <c r="F23" s="45">
        <f t="shared" si="1"/>
        <v>5.4948805460750851E-2</v>
      </c>
      <c r="G23" s="84">
        <v>1155000</v>
      </c>
      <c r="H23" s="45">
        <f t="shared" si="2"/>
        <v>0.19709897610921501</v>
      </c>
      <c r="K23">
        <v>432</v>
      </c>
      <c r="L23">
        <v>19</v>
      </c>
      <c r="M23">
        <v>41</v>
      </c>
      <c r="N23">
        <v>113</v>
      </c>
      <c r="O23" s="45">
        <f t="shared" si="3"/>
        <v>4.3981481481481483E-2</v>
      </c>
      <c r="P23" s="45">
        <f t="shared" si="4"/>
        <v>9.4907407407407413E-2</v>
      </c>
      <c r="Q23" s="45">
        <f t="shared" si="5"/>
        <v>0.26157407407407407</v>
      </c>
    </row>
    <row r="24" spans="1:17">
      <c r="A24" s="67" t="s">
        <v>118</v>
      </c>
      <c r="B24" s="82">
        <v>13766766.09</v>
      </c>
      <c r="C24" s="82">
        <v>679369.66889421642</v>
      </c>
      <c r="D24" s="45">
        <f t="shared" si="0"/>
        <v>4.9348529963598474E-2</v>
      </c>
      <c r="E24" s="82">
        <v>1975609.0066826497</v>
      </c>
      <c r="F24" s="45">
        <f t="shared" si="1"/>
        <v>0.14350567110439294</v>
      </c>
      <c r="G24" s="84">
        <v>3345799.8094916581</v>
      </c>
      <c r="H24" s="45">
        <f t="shared" si="2"/>
        <v>0.24303455057044979</v>
      </c>
      <c r="K24">
        <v>160</v>
      </c>
      <c r="L24">
        <v>7</v>
      </c>
      <c r="M24">
        <v>12</v>
      </c>
      <c r="N24">
        <v>36</v>
      </c>
      <c r="O24" s="45">
        <f t="shared" si="3"/>
        <v>4.3749999999999997E-2</v>
      </c>
      <c r="P24" s="45">
        <f t="shared" si="4"/>
        <v>7.4999999999999997E-2</v>
      </c>
      <c r="Q24" s="45">
        <f t="shared" si="5"/>
        <v>0.22500000000000001</v>
      </c>
    </row>
    <row r="25" spans="1:17">
      <c r="A25" s="67" t="s">
        <v>119</v>
      </c>
      <c r="B25" s="82">
        <v>41870000</v>
      </c>
      <c r="C25" s="82">
        <v>3167621.3960546283</v>
      </c>
      <c r="D25" s="45">
        <f t="shared" si="0"/>
        <v>7.5653723335434159E-2</v>
      </c>
      <c r="E25" s="82">
        <v>4689089.5295902882</v>
      </c>
      <c r="F25" s="45">
        <f t="shared" si="1"/>
        <v>0.11199162955792424</v>
      </c>
      <c r="G25" s="84">
        <v>10915800.455235206</v>
      </c>
      <c r="H25" s="45">
        <f t="shared" si="2"/>
        <v>0.26070696095617879</v>
      </c>
      <c r="K25">
        <v>521</v>
      </c>
      <c r="L25">
        <v>26</v>
      </c>
      <c r="M25">
        <v>77</v>
      </c>
      <c r="N25">
        <v>130</v>
      </c>
      <c r="O25" s="45">
        <f t="shared" si="3"/>
        <v>4.9904030710172742E-2</v>
      </c>
      <c r="P25" s="45">
        <f t="shared" si="4"/>
        <v>0.14779270633397312</v>
      </c>
      <c r="Q25" s="45">
        <f t="shared" si="5"/>
        <v>0.24952015355086371</v>
      </c>
    </row>
    <row r="26" spans="1:17">
      <c r="A26" s="67" t="s">
        <v>120</v>
      </c>
      <c r="B26" s="82">
        <v>270750000</v>
      </c>
      <c r="C26" s="82">
        <v>12836000</v>
      </c>
      <c r="D26" s="45">
        <f t="shared" si="0"/>
        <v>4.7409048938134808E-2</v>
      </c>
      <c r="E26" s="82">
        <v>26825000</v>
      </c>
      <c r="F26" s="45">
        <f t="shared" si="1"/>
        <v>9.9076638965835642E-2</v>
      </c>
      <c r="G26" s="84">
        <v>68336000</v>
      </c>
      <c r="H26" s="45">
        <f t="shared" si="2"/>
        <v>0.25239519852262232</v>
      </c>
      <c r="K26">
        <v>1043</v>
      </c>
      <c r="L26">
        <v>61</v>
      </c>
      <c r="M26">
        <v>107</v>
      </c>
      <c r="N26">
        <v>266</v>
      </c>
      <c r="O26" s="45">
        <f t="shared" si="3"/>
        <v>5.8485139022051776E-2</v>
      </c>
      <c r="P26" s="45">
        <f t="shared" si="4"/>
        <v>0.10258868648130393</v>
      </c>
      <c r="Q26" s="45">
        <f t="shared" si="5"/>
        <v>0.25503355704697989</v>
      </c>
    </row>
    <row r="27" spans="1:17">
      <c r="A27" s="67" t="s">
        <v>121</v>
      </c>
      <c r="B27" s="82">
        <v>12050000</v>
      </c>
      <c r="C27" s="82">
        <v>559957.14285714296</v>
      </c>
      <c r="D27" s="45">
        <f t="shared" si="0"/>
        <v>4.6469472436277422E-2</v>
      </c>
      <c r="E27" s="82">
        <v>1159914.2857142857</v>
      </c>
      <c r="F27" s="45">
        <f t="shared" si="1"/>
        <v>9.6258446947243628E-2</v>
      </c>
      <c r="G27" s="84">
        <v>2837385.7142857146</v>
      </c>
      <c r="H27" s="45">
        <f t="shared" si="2"/>
        <v>0.23546769413159457</v>
      </c>
      <c r="K27">
        <v>986</v>
      </c>
      <c r="L27">
        <v>49</v>
      </c>
      <c r="M27">
        <v>98</v>
      </c>
      <c r="N27">
        <v>248</v>
      </c>
      <c r="O27" s="45">
        <f t="shared" si="3"/>
        <v>4.9695740365111561E-2</v>
      </c>
      <c r="P27" s="45">
        <f t="shared" si="4"/>
        <v>9.9391480730223122E-2</v>
      </c>
      <c r="Q27" s="45">
        <f t="shared" si="5"/>
        <v>0.25152129817444219</v>
      </c>
    </row>
    <row r="28" spans="1:17">
      <c r="A28" s="67" t="s">
        <v>122</v>
      </c>
      <c r="B28" s="82">
        <v>24670000</v>
      </c>
      <c r="C28" s="82">
        <v>1134054.9682875264</v>
      </c>
      <c r="D28" s="45">
        <f t="shared" si="0"/>
        <v>4.5968989391468436E-2</v>
      </c>
      <c r="E28" s="82">
        <v>2885643.1591664152</v>
      </c>
      <c r="F28" s="45">
        <f t="shared" si="1"/>
        <v>0.11696972675988712</v>
      </c>
      <c r="G28" s="84">
        <v>5905523.1048021745</v>
      </c>
      <c r="H28" s="45">
        <f t="shared" si="2"/>
        <v>0.2393807500933188</v>
      </c>
      <c r="K28">
        <v>232</v>
      </c>
      <c r="L28">
        <v>11</v>
      </c>
      <c r="M28">
        <v>23</v>
      </c>
      <c r="N28">
        <v>57</v>
      </c>
      <c r="O28" s="45">
        <f t="shared" si="3"/>
        <v>4.7413793103448273E-2</v>
      </c>
      <c r="P28" s="45">
        <f t="shared" si="4"/>
        <v>9.9137931034482762E-2</v>
      </c>
      <c r="Q28" s="45">
        <f t="shared" si="5"/>
        <v>0.24568965517241378</v>
      </c>
    </row>
    <row r="29" spans="1:17">
      <c r="A29" s="70" t="s">
        <v>20</v>
      </c>
      <c r="B29" s="83">
        <v>1353882736.3000002</v>
      </c>
      <c r="C29" s="83">
        <v>79943249.926572233</v>
      </c>
      <c r="D29" s="73">
        <f>MEDIAN(D2:D28)</f>
        <v>4.9483039241048278E-2</v>
      </c>
      <c r="E29" s="83">
        <v>150043152.55587512</v>
      </c>
      <c r="F29" s="73">
        <f>MEDIAN(F2:F28)</f>
        <v>0.10184683391460385</v>
      </c>
      <c r="G29" s="85">
        <v>353801832.44465744</v>
      </c>
      <c r="H29" s="73">
        <f>MEDIAN(H2:H28)</f>
        <v>0.24677944519208239</v>
      </c>
      <c r="K29">
        <v>581</v>
      </c>
      <c r="L29">
        <v>29</v>
      </c>
      <c r="M29">
        <v>85</v>
      </c>
      <c r="N29">
        <v>126</v>
      </c>
      <c r="O29" s="45">
        <f t="shared" si="3"/>
        <v>4.9913941480206538E-2</v>
      </c>
      <c r="P29" s="45">
        <f t="shared" si="4"/>
        <v>0.14629948364888123</v>
      </c>
      <c r="Q29" s="45">
        <f t="shared" si="5"/>
        <v>0.21686746987951808</v>
      </c>
    </row>
    <row r="30" spans="1:17">
      <c r="K30" s="71">
        <v>25973</v>
      </c>
      <c r="L30" s="71">
        <v>1531</v>
      </c>
      <c r="M30" s="71">
        <v>3163</v>
      </c>
      <c r="N30" s="71">
        <v>6749</v>
      </c>
      <c r="O30" s="73">
        <f>MEDIAN(O3:O29)</f>
        <v>5.0546448087431695E-2</v>
      </c>
      <c r="P30" s="73">
        <f>MEDIAN(P3:P29)</f>
        <v>0.10119047619047619</v>
      </c>
      <c r="Q30" s="73">
        <f>MEDIAN(Q3:Q29)</f>
        <v>0.25016812373907193</v>
      </c>
    </row>
    <row r="36" spans="1:6">
      <c r="A36" s="92" t="s">
        <v>89</v>
      </c>
      <c r="B36" t="s">
        <v>85</v>
      </c>
      <c r="C36" s="94" t="s">
        <v>86</v>
      </c>
      <c r="D36" t="s">
        <v>87</v>
      </c>
      <c r="E36" s="82" t="s">
        <v>88</v>
      </c>
    </row>
    <row r="37" spans="1:6">
      <c r="A37" t="s">
        <v>100</v>
      </c>
      <c r="B37" s="93">
        <v>4.922069843828878E-2</v>
      </c>
      <c r="C37" s="93">
        <v>0.14183983282028043</v>
      </c>
      <c r="D37" s="93">
        <v>0.4703618861233762</v>
      </c>
      <c r="E37" s="93">
        <f>SUM(Tabela4[[#This Row],[% Cotas PCD ]:[% Cotas Pessoa Negra ]])</f>
        <v>0.6614224173819454</v>
      </c>
      <c r="F37" s="45">
        <f>Tabela4[[#This Row],[% Cotas PCD ]]+Tabela4[[#This Row],[% Cotas Pessoas Indígenas ]]+Tabela4[[#This Row],[% Cotas Pessoa Negra ]]</f>
        <v>0.6614224173819454</v>
      </c>
    </row>
    <row r="38" spans="1:6">
      <c r="A38" t="s">
        <v>99</v>
      </c>
      <c r="B38" s="93">
        <v>7.8972248465894221E-2</v>
      </c>
      <c r="C38" s="93">
        <v>0.27064043467563792</v>
      </c>
      <c r="D38" s="93">
        <v>0.26473497791703876</v>
      </c>
      <c r="E38" s="93">
        <f>SUM(Tabela4[[#This Row],[% Cotas PCD ]:[% Cotas Pessoa Negra ]])</f>
        <v>0.61434766105857097</v>
      </c>
    </row>
    <row r="39" spans="1:6">
      <c r="A39" t="s">
        <v>94</v>
      </c>
      <c r="B39" s="93">
        <v>0.13782059089383275</v>
      </c>
      <c r="C39" s="93">
        <v>0.22473445182372728</v>
      </c>
      <c r="D39" s="93">
        <v>0.2274069467919001</v>
      </c>
      <c r="E39" s="93">
        <f>SUM(Tabela4[[#This Row],[% Cotas PCD ]:[% Cotas Pessoa Negra ]])</f>
        <v>0.58996198950946011</v>
      </c>
    </row>
    <row r="40" spans="1:6">
      <c r="A40" t="s">
        <v>102</v>
      </c>
      <c r="B40" s="93">
        <v>0.14009794608876061</v>
      </c>
      <c r="C40" s="93">
        <v>0.1374310135561079</v>
      </c>
      <c r="D40" s="93">
        <v>0.25160189755685186</v>
      </c>
      <c r="E40" s="93">
        <f>SUM(Tabela4[[#This Row],[% Cotas PCD ]:[% Cotas Pessoa Negra ]])</f>
        <v>0.52913085720172037</v>
      </c>
    </row>
    <row r="41" spans="1:6">
      <c r="A41" t="s">
        <v>101</v>
      </c>
      <c r="B41" s="93">
        <v>9.1814004207992975E-2</v>
      </c>
      <c r="C41" s="93">
        <v>0.10894530995611711</v>
      </c>
      <c r="D41" s="93">
        <v>0.25582569775625241</v>
      </c>
      <c r="E41" s="93">
        <f>SUM(Tabela4[[#This Row],[% Cotas PCD ]:[% Cotas Pessoa Negra ]])</f>
        <v>0.45658501192036249</v>
      </c>
    </row>
    <row r="42" spans="1:6">
      <c r="A42" t="s">
        <v>119</v>
      </c>
      <c r="B42" s="93">
        <v>7.5653723335434159E-2</v>
      </c>
      <c r="C42" s="93">
        <v>0.11199162955792424</v>
      </c>
      <c r="D42" s="93">
        <v>0.26070696095617879</v>
      </c>
      <c r="E42" s="93">
        <f>SUM(Tabela4[[#This Row],[% Cotas PCD ]:[% Cotas Pessoa Negra ]])</f>
        <v>0.44835231384953722</v>
      </c>
    </row>
    <row r="43" spans="1:6">
      <c r="A43" t="s">
        <v>104</v>
      </c>
      <c r="B43" s="93">
        <v>9.4787188110427703E-2</v>
      </c>
      <c r="C43" s="93">
        <v>9.4787188110427703E-2</v>
      </c>
      <c r="D43" s="93">
        <v>0.24677944519208239</v>
      </c>
      <c r="E43" s="93">
        <f>SUM(Tabela4[[#This Row],[% Cotas PCD ]:[% Cotas Pessoa Negra ]])</f>
        <v>0.43635382141293777</v>
      </c>
    </row>
    <row r="44" spans="1:6">
      <c r="A44" t="s">
        <v>118</v>
      </c>
      <c r="B44" s="93">
        <v>4.9348529963598474E-2</v>
      </c>
      <c r="C44" s="93">
        <v>0.14350567110439294</v>
      </c>
      <c r="D44" s="93">
        <v>0.24303455057044979</v>
      </c>
      <c r="E44" s="93">
        <f>SUM(Tabela4[[#This Row],[% Cotas PCD ]:[% Cotas Pessoa Negra ]])</f>
        <v>0.43588875163844121</v>
      </c>
    </row>
    <row r="45" spans="1:6">
      <c r="A45" t="s">
        <v>109</v>
      </c>
      <c r="B45" s="93">
        <v>8.5558524502894168E-2</v>
      </c>
      <c r="C45" s="93">
        <v>9.9726374003152957E-2</v>
      </c>
      <c r="D45" s="93">
        <v>0.2505640285275017</v>
      </c>
      <c r="E45" s="93">
        <f>SUM(Tabela4[[#This Row],[% Cotas PCD ]:[% Cotas Pessoa Negra ]])</f>
        <v>0.43584892703354883</v>
      </c>
    </row>
    <row r="46" spans="1:6">
      <c r="A46" t="s">
        <v>110</v>
      </c>
      <c r="B46" s="93">
        <v>5.0987401935382037E-2</v>
      </c>
      <c r="C46" s="93">
        <v>0.13955453158793923</v>
      </c>
      <c r="D46" s="93">
        <v>0.23441423282790466</v>
      </c>
      <c r="E46" s="93">
        <f>SUM(Tabela4[[#This Row],[% Cotas PCD ]:[% Cotas Pessoa Negra ]])</f>
        <v>0.42495616635122591</v>
      </c>
    </row>
    <row r="47" spans="1:6">
      <c r="A47" t="s">
        <v>107</v>
      </c>
      <c r="B47" s="93">
        <v>5.4154965244121112E-2</v>
      </c>
      <c r="C47" s="93">
        <v>0.13316044662472104</v>
      </c>
      <c r="D47" s="93">
        <v>0.23409137319981455</v>
      </c>
      <c r="E47" s="93">
        <f>SUM(Tabela4[[#This Row],[% Cotas PCD ]:[% Cotas Pessoa Negra ]])</f>
        <v>0.4214067850686567</v>
      </c>
    </row>
    <row r="48" spans="1:6">
      <c r="A48" t="s">
        <v>115</v>
      </c>
      <c r="B48" s="93">
        <v>4.9483039241048278E-2</v>
      </c>
      <c r="C48" s="93">
        <v>0.11197762367098567</v>
      </c>
      <c r="D48" s="93">
        <v>0.25574086705273441</v>
      </c>
      <c r="E48" s="93">
        <f>SUM(Tabela4[[#This Row],[% Cotas PCD ]:[% Cotas Pessoa Negra ]])</f>
        <v>0.41720152996476834</v>
      </c>
    </row>
    <row r="49" spans="1:5">
      <c r="A49" t="s">
        <v>112</v>
      </c>
      <c r="B49" s="93">
        <v>4.8634857151588856E-2</v>
      </c>
      <c r="C49" s="93">
        <v>0.1018201904645482</v>
      </c>
      <c r="D49" s="93">
        <v>0.26365142848411138</v>
      </c>
      <c r="E49" s="93">
        <f>SUM(Tabela4[[#This Row],[% Cotas PCD ]:[% Cotas Pessoa Negra ]])</f>
        <v>0.41410647610024842</v>
      </c>
    </row>
    <row r="50" spans="1:5">
      <c r="A50" t="s">
        <v>98</v>
      </c>
      <c r="B50" s="93">
        <v>5.4216715489983747E-2</v>
      </c>
      <c r="C50" s="93">
        <v>0.10184683391460385</v>
      </c>
      <c r="D50" s="93">
        <v>0.25355029557454128</v>
      </c>
      <c r="E50" s="93">
        <f>SUM(Tabela4[[#This Row],[% Cotas PCD ]:[% Cotas Pessoa Negra ]])</f>
        <v>0.40961384497912889</v>
      </c>
    </row>
    <row r="51" spans="1:5">
      <c r="A51" t="s">
        <v>111</v>
      </c>
      <c r="B51" s="93">
        <v>4.9609361509259181E-2</v>
      </c>
      <c r="C51" s="93">
        <v>9.7116840199261686E-2</v>
      </c>
      <c r="D51" s="93">
        <v>0.25607990121732821</v>
      </c>
      <c r="E51" s="93">
        <f>SUM(Tabela4[[#This Row],[% Cotas PCD ]:[% Cotas Pessoa Negra ]])</f>
        <v>0.40280610292584906</v>
      </c>
    </row>
    <row r="52" spans="1:5">
      <c r="A52" t="s">
        <v>122</v>
      </c>
      <c r="B52" s="93">
        <v>4.5968989391468436E-2</v>
      </c>
      <c r="C52" s="93">
        <v>0.11696972675988712</v>
      </c>
      <c r="D52" s="93">
        <v>0.2393807500933188</v>
      </c>
      <c r="E52" s="93">
        <f>SUM(Tabela4[[#This Row],[% Cotas PCD ]:[% Cotas Pessoa Negra ]])</f>
        <v>0.40231946624467435</v>
      </c>
    </row>
    <row r="53" spans="1:5">
      <c r="A53" t="s">
        <v>108</v>
      </c>
      <c r="B53" s="93">
        <v>4.9092175771557549E-2</v>
      </c>
      <c r="C53" s="93">
        <v>0.10211755249731305</v>
      </c>
      <c r="D53" s="93">
        <v>0.25106002992478343</v>
      </c>
      <c r="E53" s="93">
        <f>SUM(Tabela4[[#This Row],[% Cotas PCD ]:[% Cotas Pessoa Negra ]])</f>
        <v>0.40226975819365407</v>
      </c>
    </row>
    <row r="54" spans="1:5">
      <c r="A54" t="s">
        <v>97</v>
      </c>
      <c r="B54" s="93">
        <v>6.0061053041790637E-2</v>
      </c>
      <c r="C54" s="93">
        <v>9.6168662000445951E-2</v>
      </c>
      <c r="D54" s="93">
        <v>0.24535761690539529</v>
      </c>
      <c r="E54" s="93">
        <f>SUM(Tabela4[[#This Row],[% Cotas PCD ]:[% Cotas Pessoa Negra ]])</f>
        <v>0.40158733194763185</v>
      </c>
    </row>
    <row r="55" spans="1:5">
      <c r="A55" t="s">
        <v>116</v>
      </c>
      <c r="B55" s="93">
        <v>4.4338554340500026E-2</v>
      </c>
      <c r="C55" s="93">
        <v>9.5351903578106204E-2</v>
      </c>
      <c r="D55" s="93">
        <v>0.26175912172667987</v>
      </c>
      <c r="E55" s="93">
        <f>SUM(Tabela4[[#This Row],[% Cotas PCD ]:[% Cotas Pessoa Negra ]])</f>
        <v>0.4014495796452861</v>
      </c>
    </row>
    <row r="56" spans="1:5">
      <c r="A56" t="s">
        <v>120</v>
      </c>
      <c r="B56" s="93">
        <v>4.7409048938134808E-2</v>
      </c>
      <c r="C56" s="93">
        <v>9.9076638965835642E-2</v>
      </c>
      <c r="D56" s="93">
        <v>0.25239519852262232</v>
      </c>
      <c r="E56" s="93">
        <f>SUM(Tabela4[[#This Row],[% Cotas PCD ]:[% Cotas Pessoa Negra ]])</f>
        <v>0.39888088642659281</v>
      </c>
    </row>
    <row r="57" spans="1:5">
      <c r="A57" t="s">
        <v>113</v>
      </c>
      <c r="B57" s="93">
        <v>4.8693269021536791E-2</v>
      </c>
      <c r="C57" s="93">
        <v>9.8715252098724213E-2</v>
      </c>
      <c r="D57" s="93">
        <v>0.24612377321898521</v>
      </c>
      <c r="E57" s="93">
        <f>SUM(Tabela4[[#This Row],[% Cotas PCD ]:[% Cotas Pessoa Negra ]])</f>
        <v>0.39353229433924619</v>
      </c>
    </row>
    <row r="58" spans="1:5">
      <c r="A58" t="s">
        <v>105</v>
      </c>
      <c r="B58" s="93">
        <v>4.3890692063719296E-2</v>
      </c>
      <c r="C58" s="93">
        <v>0.10319923105964296</v>
      </c>
      <c r="D58" s="93">
        <v>0.24472353421521134</v>
      </c>
      <c r="E58" s="93">
        <f>SUM(Tabela4[[#This Row],[% Cotas PCD ]:[% Cotas Pessoa Negra ]])</f>
        <v>0.39181345733857359</v>
      </c>
    </row>
    <row r="59" spans="1:5">
      <c r="A59" t="s">
        <v>114</v>
      </c>
      <c r="B59" s="93">
        <v>4.9988529048709783E-2</v>
      </c>
      <c r="C59" s="93">
        <v>9.431853749192462E-2</v>
      </c>
      <c r="D59" s="93">
        <v>0.23758103215034496</v>
      </c>
      <c r="E59" s="93">
        <f>SUM(Tabela4[[#This Row],[% Cotas PCD ]:[% Cotas Pessoa Negra ]])</f>
        <v>0.38188809869097939</v>
      </c>
    </row>
    <row r="60" spans="1:5">
      <c r="A60" t="s">
        <v>121</v>
      </c>
      <c r="B60" s="93">
        <v>4.6469472436277422E-2</v>
      </c>
      <c r="C60" s="93">
        <v>9.6258446947243628E-2</v>
      </c>
      <c r="D60" s="93">
        <v>0.23546769413159457</v>
      </c>
      <c r="E60" s="93">
        <f>SUM(Tabela4[[#This Row],[% Cotas PCD ]:[% Cotas Pessoa Negra ]])</f>
        <v>0.37819561351511566</v>
      </c>
    </row>
    <row r="61" spans="1:5">
      <c r="A61" t="s">
        <v>103</v>
      </c>
      <c r="B61" s="93">
        <v>4.3047334307473838E-2</v>
      </c>
      <c r="C61" s="93">
        <v>9.8790185225603802E-2</v>
      </c>
      <c r="D61" s="93">
        <v>0.22885479541901632</v>
      </c>
      <c r="E61" s="93">
        <f>SUM(Tabela4[[#This Row],[% Cotas PCD ]:[% Cotas Pessoa Negra ]])</f>
        <v>0.37069231495209398</v>
      </c>
    </row>
    <row r="62" spans="1:5">
      <c r="A62" t="s">
        <v>106</v>
      </c>
      <c r="B62" s="93">
        <v>4.5023121549732585E-2</v>
      </c>
      <c r="C62" s="93">
        <v>9.3574774085081039E-2</v>
      </c>
      <c r="D62" s="93">
        <v>0.22614868691511314</v>
      </c>
      <c r="E62" s="93">
        <f>SUM(Tabela4[[#This Row],[% Cotas PCD ]:[% Cotas Pessoa Negra ]])</f>
        <v>0.36474658254992676</v>
      </c>
    </row>
    <row r="63" spans="1:5">
      <c r="A63" t="s">
        <v>117</v>
      </c>
      <c r="B63" s="93">
        <v>4.0443686006825935E-2</v>
      </c>
      <c r="C63" s="93">
        <v>5.4948805460750851E-2</v>
      </c>
      <c r="D63" s="93">
        <v>0.19709897610921501</v>
      </c>
      <c r="E63" s="93">
        <f>SUM(Tabela4[[#This Row],[% Cotas PCD ]:[% Cotas Pessoa Negra ]])</f>
        <v>0.29249146757679179</v>
      </c>
    </row>
    <row r="64" spans="1:5">
      <c r="A64" s="86"/>
      <c r="B64" s="96"/>
      <c r="C64" s="96"/>
      <c r="D64" s="96"/>
      <c r="E64" s="93"/>
    </row>
    <row r="69" spans="1:17" ht="29">
      <c r="A69" s="87" t="s">
        <v>89</v>
      </c>
      <c r="B69" s="88" t="s">
        <v>90</v>
      </c>
      <c r="C69" s="88" t="s">
        <v>123</v>
      </c>
      <c r="D69" s="88" t="s">
        <v>124</v>
      </c>
      <c r="E69" s="90" t="s">
        <v>93</v>
      </c>
      <c r="F69" s="89" t="s">
        <v>125</v>
      </c>
      <c r="G69"/>
      <c r="L69" s="45"/>
      <c r="M69" s="45"/>
      <c r="N69" s="45"/>
      <c r="O69"/>
      <c r="P69"/>
      <c r="Q69"/>
    </row>
    <row r="70" spans="1:17">
      <c r="A70" s="67" t="s">
        <v>120</v>
      </c>
      <c r="B70" s="82">
        <v>270750000</v>
      </c>
      <c r="C70" s="82">
        <v>12836000</v>
      </c>
      <c r="D70" s="82">
        <v>26825000</v>
      </c>
      <c r="E70" s="84">
        <v>68336000</v>
      </c>
      <c r="F70" s="97">
        <f>SUM(Tabela26[[#This Row],[Valor Cotas PCD (R$)]:[Valor Cotas Pessoa Negra (R$) ]])</f>
        <v>107997000</v>
      </c>
      <c r="G70"/>
      <c r="L70" s="45"/>
      <c r="M70" s="45"/>
      <c r="N70" s="45"/>
      <c r="O70"/>
      <c r="P70"/>
      <c r="Q70"/>
    </row>
    <row r="71" spans="1:17">
      <c r="A71" s="67" t="s">
        <v>108</v>
      </c>
      <c r="B71" s="82">
        <v>130012500</v>
      </c>
      <c r="C71" s="82">
        <v>6382596.502499626</v>
      </c>
      <c r="D71" s="82">
        <v>13276558.294056913</v>
      </c>
      <c r="E71" s="84">
        <v>32640942.140595905</v>
      </c>
      <c r="F71" s="97">
        <f>SUM(Tabela26[[#This Row],[Valor Cotas PCD (R$)]:[Valor Cotas Pessoa Negra (R$) ]])</f>
        <v>52300096.937152445</v>
      </c>
      <c r="G71"/>
      <c r="L71" s="45"/>
      <c r="M71" s="45"/>
      <c r="N71" s="45"/>
      <c r="O71"/>
      <c r="P71"/>
      <c r="Q71"/>
    </row>
    <row r="72" spans="1:17">
      <c r="A72" s="67" t="s">
        <v>100</v>
      </c>
      <c r="B72" s="82">
        <v>71810000</v>
      </c>
      <c r="C72" s="82">
        <v>3534538.3548535174</v>
      </c>
      <c r="D72" s="82">
        <v>10185518.394824337</v>
      </c>
      <c r="E72" s="84">
        <v>33776687.042519644</v>
      </c>
      <c r="F72" s="97">
        <f>SUM(Tabela26[[#This Row],[Valor Cotas PCD (R$)]:[Valor Cotas Pessoa Negra (R$) ]])</f>
        <v>47496743.792197496</v>
      </c>
      <c r="G72"/>
      <c r="L72" s="45"/>
      <c r="M72" s="45"/>
      <c r="N72" s="45"/>
      <c r="O72"/>
      <c r="P72"/>
      <c r="Q72"/>
    </row>
    <row r="73" spans="1:17">
      <c r="A73" s="67" t="s">
        <v>101</v>
      </c>
      <c r="B73" s="82">
        <v>87559000</v>
      </c>
      <c r="C73" s="82">
        <v>8039142.3944476573</v>
      </c>
      <c r="D73" s="82">
        <v>9539142.3944476582</v>
      </c>
      <c r="E73" s="84">
        <v>22399842.269839704</v>
      </c>
      <c r="F73" s="97">
        <f>SUM(Tabela26[[#This Row],[Valor Cotas PCD (R$)]:[Valor Cotas Pessoa Negra (R$) ]])</f>
        <v>39978127.05873502</v>
      </c>
      <c r="G73"/>
      <c r="L73" s="45"/>
      <c r="M73" s="45"/>
      <c r="N73" s="45"/>
      <c r="O73"/>
      <c r="P73"/>
      <c r="Q73"/>
    </row>
    <row r="74" spans="1:17">
      <c r="A74" s="67" t="s">
        <v>114</v>
      </c>
      <c r="B74" s="82">
        <v>87030000</v>
      </c>
      <c r="C74" s="82">
        <v>4350501.6831092127</v>
      </c>
      <c r="D74" s="82">
        <v>8208542.3179221991</v>
      </c>
      <c r="E74" s="84">
        <v>20676677.228044521</v>
      </c>
      <c r="F74" s="97">
        <f>SUM(Tabela26[[#This Row],[Valor Cotas PCD (R$)]:[Valor Cotas Pessoa Negra (R$) ]])</f>
        <v>33235721.229075931</v>
      </c>
      <c r="G74"/>
      <c r="L74" s="45"/>
      <c r="M74" s="45"/>
      <c r="N74" s="45"/>
      <c r="O74"/>
      <c r="P74"/>
      <c r="Q74"/>
    </row>
    <row r="75" spans="1:17">
      <c r="A75" s="67" t="s">
        <v>112</v>
      </c>
      <c r="B75" s="82">
        <v>65927166.600000001</v>
      </c>
      <c r="C75" s="82">
        <v>3206358.33</v>
      </c>
      <c r="D75" s="82">
        <v>6712716.6600000001</v>
      </c>
      <c r="E75" s="84">
        <v>17381791.649999999</v>
      </c>
      <c r="F75" s="97">
        <f>SUM(Tabela26[[#This Row],[Valor Cotas PCD (R$)]:[Valor Cotas Pessoa Negra (R$) ]])</f>
        <v>27300866.640000001</v>
      </c>
      <c r="G75"/>
      <c r="L75" s="45"/>
      <c r="M75" s="45"/>
      <c r="N75" s="45"/>
      <c r="O75"/>
      <c r="P75"/>
      <c r="Q75"/>
    </row>
    <row r="76" spans="1:17">
      <c r="A76" s="67" t="s">
        <v>109</v>
      </c>
      <c r="B76" s="82">
        <v>59441250.910000004</v>
      </c>
      <c r="C76" s="82">
        <v>5085705.7224659156</v>
      </c>
      <c r="D76" s="82">
        <v>5927860.4194659162</v>
      </c>
      <c r="E76" s="84">
        <v>14893839.288723627</v>
      </c>
      <c r="F76" s="97">
        <f>SUM(Tabela26[[#This Row],[Valor Cotas PCD (R$)]:[Valor Cotas Pessoa Negra (R$) ]])</f>
        <v>25907405.430655457</v>
      </c>
      <c r="G76"/>
      <c r="L76" s="45"/>
      <c r="M76" s="45"/>
      <c r="N76" s="45"/>
      <c r="O76"/>
      <c r="P76"/>
      <c r="Q76"/>
    </row>
    <row r="77" spans="1:17">
      <c r="A77" s="67" t="s">
        <v>111</v>
      </c>
      <c r="B77" s="82">
        <v>64273011.980000004</v>
      </c>
      <c r="C77" s="82">
        <v>3188543.0866047665</v>
      </c>
      <c r="D77" s="82">
        <v>6241991.8335868921</v>
      </c>
      <c r="E77" s="84">
        <v>16459026.558778552</v>
      </c>
      <c r="F77" s="97">
        <f>SUM(Tabela26[[#This Row],[Valor Cotas PCD (R$)]:[Valor Cotas Pessoa Negra (R$) ]])</f>
        <v>25889561.478970211</v>
      </c>
      <c r="G77"/>
      <c r="L77" s="45"/>
      <c r="M77" s="45"/>
      <c r="N77" s="45"/>
      <c r="O77"/>
      <c r="P77"/>
      <c r="Q77"/>
    </row>
    <row r="78" spans="1:17">
      <c r="A78" s="67" t="s">
        <v>116</v>
      </c>
      <c r="B78" s="82">
        <v>55450000</v>
      </c>
      <c r="C78" s="82">
        <v>2458572.8381807264</v>
      </c>
      <c r="D78" s="82">
        <v>5287263.053405989</v>
      </c>
      <c r="E78" s="84">
        <v>14514543.299744399</v>
      </c>
      <c r="F78" s="97">
        <f>SUM(Tabela26[[#This Row],[Valor Cotas PCD (R$)]:[Valor Cotas Pessoa Negra (R$) ]])</f>
        <v>22260379.191331115</v>
      </c>
      <c r="G78"/>
      <c r="L78" s="45"/>
      <c r="M78" s="45"/>
      <c r="N78" s="45"/>
      <c r="O78"/>
      <c r="P78"/>
      <c r="Q78"/>
    </row>
    <row r="79" spans="1:17">
      <c r="A79" s="67" t="s">
        <v>104</v>
      </c>
      <c r="B79" s="82">
        <v>47264000</v>
      </c>
      <c r="C79" s="82">
        <v>4480021.6588512547</v>
      </c>
      <c r="D79" s="82">
        <v>4480021.6588512547</v>
      </c>
      <c r="E79" s="84">
        <v>11663783.697558582</v>
      </c>
      <c r="F79" s="97">
        <f>SUM(Tabela26[[#This Row],[Valor Cotas PCD (R$)]:[Valor Cotas Pessoa Negra (R$) ]])</f>
        <v>20623827.015261091</v>
      </c>
      <c r="G79"/>
      <c r="L79" s="45"/>
      <c r="M79" s="45"/>
      <c r="N79" s="45"/>
      <c r="O79"/>
      <c r="P79"/>
      <c r="Q79"/>
    </row>
    <row r="80" spans="1:17">
      <c r="A80" s="67" t="s">
        <v>99</v>
      </c>
      <c r="B80" s="82">
        <v>32595988.399999999</v>
      </c>
      <c r="C80" s="82">
        <v>2574178.4949162058</v>
      </c>
      <c r="D80" s="82">
        <v>8821792.4692580514</v>
      </c>
      <c r="E80" s="84">
        <v>8629298.2692580521</v>
      </c>
      <c r="F80" s="97">
        <f>SUM(Tabela26[[#This Row],[Valor Cotas PCD (R$)]:[Valor Cotas Pessoa Negra (R$) ]])</f>
        <v>20025269.233432308</v>
      </c>
      <c r="G80"/>
      <c r="L80" s="45"/>
      <c r="M80" s="45"/>
      <c r="N80" s="45"/>
      <c r="O80"/>
      <c r="P80"/>
      <c r="Q80"/>
    </row>
    <row r="81" spans="1:17">
      <c r="A81" s="67" t="s">
        <v>119</v>
      </c>
      <c r="B81" s="82">
        <v>41870000</v>
      </c>
      <c r="C81" s="82">
        <v>3167621.3960546283</v>
      </c>
      <c r="D81" s="82">
        <v>4689089.5295902882</v>
      </c>
      <c r="E81" s="84">
        <v>10915800.455235206</v>
      </c>
      <c r="F81" s="97">
        <f>SUM(Tabela26[[#This Row],[Valor Cotas PCD (R$)]:[Valor Cotas Pessoa Negra (R$) ]])</f>
        <v>18772511.380880121</v>
      </c>
      <c r="G81"/>
      <c r="L81" s="45"/>
      <c r="M81" s="45"/>
      <c r="N81" s="45"/>
      <c r="O81"/>
      <c r="P81"/>
      <c r="Q81"/>
    </row>
    <row r="82" spans="1:17">
      <c r="A82" s="67" t="s">
        <v>102</v>
      </c>
      <c r="B82" s="82">
        <v>30506206.84</v>
      </c>
      <c r="C82" s="82">
        <v>4273856.9212429002</v>
      </c>
      <c r="D82" s="82">
        <v>4192498.9257734716</v>
      </c>
      <c r="E82" s="84">
        <v>7675419.5282058138</v>
      </c>
      <c r="F82" s="97">
        <f>SUM(Tabela26[[#This Row],[Valor Cotas PCD (R$)]:[Valor Cotas Pessoa Negra (R$) ]])</f>
        <v>16141775.375222186</v>
      </c>
      <c r="G82"/>
      <c r="L82" s="45"/>
      <c r="M82" s="45"/>
      <c r="N82" s="45"/>
      <c r="O82"/>
      <c r="P82"/>
      <c r="Q82"/>
    </row>
    <row r="83" spans="1:17">
      <c r="A83" s="67" t="s">
        <v>103</v>
      </c>
      <c r="B83" s="82">
        <v>41530000</v>
      </c>
      <c r="C83" s="82">
        <v>1787755.7937893884</v>
      </c>
      <c r="D83" s="82">
        <v>4102756.3924193261</v>
      </c>
      <c r="E83" s="84">
        <v>9504339.6537517477</v>
      </c>
      <c r="F83" s="97">
        <f>SUM(Tabela26[[#This Row],[Valor Cotas PCD (R$)]:[Valor Cotas Pessoa Negra (R$) ]])</f>
        <v>15394851.839960463</v>
      </c>
      <c r="G83"/>
      <c r="L83" s="45"/>
      <c r="M83" s="45"/>
      <c r="N83" s="45"/>
      <c r="O83"/>
      <c r="P83"/>
      <c r="Q83"/>
    </row>
    <row r="84" spans="1:17">
      <c r="A84" s="67" t="s">
        <v>110</v>
      </c>
      <c r="B84" s="82">
        <v>35600000</v>
      </c>
      <c r="C84" s="82">
        <v>1815151.5088996005</v>
      </c>
      <c r="D84" s="82">
        <v>4968141.3245306369</v>
      </c>
      <c r="E84" s="84">
        <v>8345146.6886734059</v>
      </c>
      <c r="F84" s="97">
        <f>SUM(Tabela26[[#This Row],[Valor Cotas PCD (R$)]:[Valor Cotas Pessoa Negra (R$) ]])</f>
        <v>15128439.522103643</v>
      </c>
      <c r="G84"/>
      <c r="L84" s="45"/>
      <c r="M84" s="45"/>
      <c r="N84" s="45"/>
      <c r="O84"/>
      <c r="P84"/>
      <c r="Q84"/>
    </row>
    <row r="85" spans="1:17">
      <c r="A85" s="67" t="s">
        <v>105</v>
      </c>
      <c r="B85" s="82">
        <v>31050000</v>
      </c>
      <c r="C85" s="82">
        <v>1362805.9885784842</v>
      </c>
      <c r="D85" s="82">
        <v>3204336.124401914</v>
      </c>
      <c r="E85" s="84">
        <v>7598665.7373823123</v>
      </c>
      <c r="F85" s="97">
        <f>SUM(Tabela26[[#This Row],[Valor Cotas PCD (R$)]:[Valor Cotas Pessoa Negra (R$) ]])</f>
        <v>12165807.850362711</v>
      </c>
      <c r="G85"/>
      <c r="L85" s="45"/>
      <c r="M85" s="45"/>
      <c r="N85" s="45"/>
      <c r="O85"/>
      <c r="P85"/>
      <c r="Q85"/>
    </row>
    <row r="86" spans="1:17">
      <c r="A86" s="67" t="s">
        <v>115</v>
      </c>
      <c r="B86" s="82">
        <v>26955000</v>
      </c>
      <c r="C86" s="82">
        <v>1333815.3227424563</v>
      </c>
      <c r="D86" s="82">
        <v>3018356.8460514187</v>
      </c>
      <c r="E86" s="84">
        <v>6893495.0714064566</v>
      </c>
      <c r="F86" s="97">
        <f>SUM(Tabela26[[#This Row],[Valor Cotas PCD (R$)]:[Valor Cotas Pessoa Negra (R$) ]])</f>
        <v>11245667.240200331</v>
      </c>
      <c r="G86"/>
      <c r="L86" s="45"/>
      <c r="M86" s="45"/>
      <c r="N86" s="45"/>
      <c r="O86"/>
      <c r="P86"/>
      <c r="Q86"/>
    </row>
    <row r="87" spans="1:17">
      <c r="A87" s="67" t="s">
        <v>97</v>
      </c>
      <c r="B87" s="82">
        <v>25616700</v>
      </c>
      <c r="C87" s="82">
        <v>1538565.9774556381</v>
      </c>
      <c r="D87" s="82">
        <v>2463523.7638668236</v>
      </c>
      <c r="E87" s="84">
        <v>6285252.4649804393</v>
      </c>
      <c r="F87" s="97">
        <f>SUM(Tabela26[[#This Row],[Valor Cotas PCD (R$)]:[Valor Cotas Pessoa Negra (R$) ]])</f>
        <v>10287342.2063029</v>
      </c>
      <c r="G87"/>
      <c r="L87" s="45"/>
      <c r="M87" s="45"/>
      <c r="N87" s="45"/>
      <c r="O87"/>
      <c r="P87"/>
      <c r="Q87"/>
    </row>
    <row r="88" spans="1:17">
      <c r="A88" s="67" t="s">
        <v>122</v>
      </c>
      <c r="B88" s="82">
        <v>24670000</v>
      </c>
      <c r="C88" s="82">
        <v>1134054.9682875264</v>
      </c>
      <c r="D88" s="82">
        <v>2885643.1591664152</v>
      </c>
      <c r="E88" s="84">
        <v>5905523.1048021745</v>
      </c>
      <c r="F88" s="97">
        <f>SUM(Tabela26[[#This Row],[Valor Cotas PCD (R$)]:[Valor Cotas Pessoa Negra (R$) ]])</f>
        <v>9925221.2322561163</v>
      </c>
      <c r="G88"/>
      <c r="L88" s="45"/>
      <c r="M88" s="45"/>
      <c r="N88" s="45"/>
      <c r="O88"/>
      <c r="P88"/>
      <c r="Q88"/>
    </row>
    <row r="89" spans="1:17">
      <c r="A89" s="67" t="s">
        <v>113</v>
      </c>
      <c r="B89" s="82">
        <v>24048000</v>
      </c>
      <c r="C89" s="82">
        <v>1170975.7334299167</v>
      </c>
      <c r="D89" s="82">
        <v>2373904.3824701197</v>
      </c>
      <c r="E89" s="84">
        <v>5918784.4983701566</v>
      </c>
      <c r="F89" s="97">
        <f>SUM(Tabela26[[#This Row],[Valor Cotas PCD (R$)]:[Valor Cotas Pessoa Negra (R$) ]])</f>
        <v>9463664.6142701935</v>
      </c>
      <c r="G89"/>
      <c r="L89" s="45"/>
      <c r="M89" s="45"/>
      <c r="N89" s="45"/>
      <c r="O89"/>
      <c r="P89"/>
      <c r="Q89"/>
    </row>
    <row r="90" spans="1:17">
      <c r="A90" s="67" t="s">
        <v>94</v>
      </c>
      <c r="B90" s="82">
        <v>14554345.48</v>
      </c>
      <c r="C90" s="82">
        <v>2005888.4941265839</v>
      </c>
      <c r="D90" s="82">
        <v>3270862.8531009429</v>
      </c>
      <c r="E90" s="84">
        <v>3309759.2681612917</v>
      </c>
      <c r="F90" s="97">
        <f>SUM(Tabela26[[#This Row],[Valor Cotas PCD (R$)]:[Valor Cotas Pessoa Negra (R$) ]])</f>
        <v>8586510.6153888181</v>
      </c>
      <c r="G90"/>
      <c r="L90" s="45"/>
      <c r="M90" s="45"/>
      <c r="N90" s="45"/>
      <c r="O90"/>
      <c r="P90"/>
      <c r="Q90"/>
    </row>
    <row r="91" spans="1:17">
      <c r="A91" s="67" t="s">
        <v>107</v>
      </c>
      <c r="B91" s="82">
        <v>18978000</v>
      </c>
      <c r="C91" s="82">
        <v>1027752.9304029305</v>
      </c>
      <c r="D91" s="82">
        <v>2527118.9560439559</v>
      </c>
      <c r="E91" s="84">
        <v>4442586.0805860804</v>
      </c>
      <c r="F91" s="97">
        <f>SUM(Tabela26[[#This Row],[Valor Cotas PCD (R$)]:[Valor Cotas Pessoa Negra (R$) ]])</f>
        <v>7997457.9670329671</v>
      </c>
      <c r="G91"/>
      <c r="L91" s="45"/>
      <c r="M91" s="45"/>
      <c r="N91" s="45"/>
      <c r="O91"/>
      <c r="P91"/>
      <c r="Q91"/>
    </row>
    <row r="92" spans="1:17">
      <c r="A92" s="67" t="s">
        <v>106</v>
      </c>
      <c r="B92" s="82">
        <v>18448000</v>
      </c>
      <c r="C92" s="82">
        <v>830586.54634946678</v>
      </c>
      <c r="D92" s="82">
        <v>1726267.432321575</v>
      </c>
      <c r="E92" s="84">
        <v>4171990.9762100074</v>
      </c>
      <c r="F92" s="97">
        <f>SUM(Tabela26[[#This Row],[Valor Cotas PCD (R$)]:[Valor Cotas Pessoa Negra (R$) ]])</f>
        <v>6728844.9548810497</v>
      </c>
      <c r="G92"/>
      <c r="L92" s="45"/>
      <c r="M92" s="45"/>
      <c r="N92" s="45"/>
      <c r="O92"/>
      <c r="P92"/>
      <c r="Q92"/>
    </row>
    <row r="93" spans="1:17">
      <c r="A93" s="67" t="s">
        <v>98</v>
      </c>
      <c r="B93" s="82">
        <v>16266800</v>
      </c>
      <c r="C93" s="82">
        <v>881932.46753246756</v>
      </c>
      <c r="D93" s="82">
        <v>1656722.0779220778</v>
      </c>
      <c r="E93" s="84">
        <v>4124451.9480519481</v>
      </c>
      <c r="F93" s="97">
        <f>SUM(Tabela26[[#This Row],[Valor Cotas PCD (R$)]:[Valor Cotas Pessoa Negra (R$) ]])</f>
        <v>6663106.493506493</v>
      </c>
      <c r="G93"/>
      <c r="L93" s="45"/>
      <c r="M93" s="45"/>
      <c r="N93" s="45"/>
      <c r="O93"/>
      <c r="P93"/>
      <c r="Q93"/>
    </row>
    <row r="94" spans="1:17">
      <c r="A94" s="67" t="s">
        <v>118</v>
      </c>
      <c r="B94" s="82">
        <v>13766766.09</v>
      </c>
      <c r="C94" s="82">
        <v>679369.66889421642</v>
      </c>
      <c r="D94" s="82">
        <v>1975609.0066826497</v>
      </c>
      <c r="E94" s="84">
        <v>3345799.8094916581</v>
      </c>
      <c r="F94" s="97">
        <f>SUM(Tabela26[[#This Row],[Valor Cotas PCD (R$)]:[Valor Cotas Pessoa Negra (R$) ]])</f>
        <v>6000778.4850685243</v>
      </c>
      <c r="G94"/>
      <c r="L94" s="45"/>
      <c r="M94" s="45"/>
      <c r="N94" s="45"/>
      <c r="O94"/>
      <c r="P94"/>
      <c r="Q94"/>
    </row>
    <row r="95" spans="1:17">
      <c r="A95" s="67" t="s">
        <v>121</v>
      </c>
      <c r="B95" s="82">
        <v>12050000</v>
      </c>
      <c r="C95" s="82">
        <v>559957.14285714296</v>
      </c>
      <c r="D95" s="82">
        <v>1159914.2857142857</v>
      </c>
      <c r="E95" s="84">
        <v>2837385.7142857146</v>
      </c>
      <c r="F95" s="97">
        <f>SUM(Tabela26[[#This Row],[Valor Cotas PCD (R$)]:[Valor Cotas Pessoa Negra (R$) ]])</f>
        <v>4557257.1428571437</v>
      </c>
      <c r="G95"/>
      <c r="L95" s="45"/>
      <c r="M95" s="45"/>
      <c r="N95" s="45"/>
      <c r="O95"/>
      <c r="P95"/>
      <c r="Q95"/>
    </row>
    <row r="96" spans="1:17">
      <c r="A96" s="67" t="s">
        <v>117</v>
      </c>
      <c r="B96" s="82">
        <v>5860000</v>
      </c>
      <c r="C96" s="82">
        <v>237000</v>
      </c>
      <c r="D96" s="82">
        <v>322000</v>
      </c>
      <c r="E96" s="84">
        <v>1155000</v>
      </c>
      <c r="F96" s="97">
        <f>SUM(Tabela26[[#This Row],[Valor Cotas PCD (R$)]:[Valor Cotas Pessoa Negra (R$) ]])</f>
        <v>1714000</v>
      </c>
      <c r="G96"/>
      <c r="L96" s="45"/>
      <c r="M96" s="45"/>
      <c r="N96" s="45"/>
      <c r="O96"/>
      <c r="P96"/>
      <c r="Q96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3"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EFE6C-40A5-4530-ADF2-C562DF453935}">
  <dimension ref="A1:I60"/>
  <sheetViews>
    <sheetView topLeftCell="A22" zoomScale="50" zoomScaleNormal="50" workbookViewId="0">
      <selection activeCell="T39" sqref="T39"/>
    </sheetView>
  </sheetViews>
  <sheetFormatPr defaultColWidth="10.81640625" defaultRowHeight="14.5"/>
  <cols>
    <col min="1" max="1" width="23.54296875" customWidth="1"/>
    <col min="2" max="2" width="39.54296875" style="82" customWidth="1"/>
    <col min="3" max="3" width="42.54296875" style="84" customWidth="1"/>
    <col min="4" max="4" width="36.1796875" customWidth="1"/>
    <col min="5" max="5" width="31.453125" customWidth="1"/>
    <col min="6" max="6" width="35.453125" bestFit="1" customWidth="1"/>
    <col min="7" max="7" width="30.453125" style="45" bestFit="1" customWidth="1"/>
    <col min="8" max="8" width="23.1796875" style="45" bestFit="1" customWidth="1"/>
    <col min="9" max="9" width="20.54296875" style="45" bestFit="1" customWidth="1"/>
  </cols>
  <sheetData>
    <row r="1" spans="1:7">
      <c r="A1" s="87" t="s">
        <v>89</v>
      </c>
      <c r="B1" s="88" t="s">
        <v>90</v>
      </c>
      <c r="C1" s="90" t="s">
        <v>93</v>
      </c>
      <c r="D1" s="87" t="s">
        <v>87</v>
      </c>
      <c r="E1" s="69" t="s">
        <v>28</v>
      </c>
      <c r="F1" s="69" t="s">
        <v>29</v>
      </c>
      <c r="G1" s="72" t="s">
        <v>96</v>
      </c>
    </row>
    <row r="2" spans="1:7" ht="14.5" customHeight="1">
      <c r="A2" s="67" t="s">
        <v>94</v>
      </c>
      <c r="B2" s="82">
        <v>14554345.48</v>
      </c>
      <c r="C2" s="84">
        <v>3309759.2681612917</v>
      </c>
      <c r="D2" s="45">
        <f t="shared" ref="D2:D28" si="0">C2/B2</f>
        <v>0.2274069467919001</v>
      </c>
      <c r="E2">
        <v>479</v>
      </c>
      <c r="F2">
        <v>100</v>
      </c>
      <c r="G2" s="45">
        <f t="shared" ref="G2:G28" si="1">F2/$E2</f>
        <v>0.20876826722338204</v>
      </c>
    </row>
    <row r="3" spans="1:7">
      <c r="A3" s="67" t="s">
        <v>97</v>
      </c>
      <c r="B3" s="82">
        <v>25616700</v>
      </c>
      <c r="C3" s="84">
        <v>6285252.4649804393</v>
      </c>
      <c r="D3" s="45">
        <f t="shared" si="0"/>
        <v>0.24535761690539529</v>
      </c>
      <c r="E3">
        <v>1268</v>
      </c>
      <c r="F3">
        <v>322</v>
      </c>
      <c r="G3" s="45">
        <f t="shared" si="1"/>
        <v>0.25394321766561512</v>
      </c>
    </row>
    <row r="4" spans="1:7">
      <c r="A4" s="67" t="s">
        <v>98</v>
      </c>
      <c r="B4" s="82">
        <v>16266800</v>
      </c>
      <c r="C4" s="84">
        <v>4124451.9480519481</v>
      </c>
      <c r="D4" s="45">
        <f t="shared" si="0"/>
        <v>0.25355029557454128</v>
      </c>
      <c r="E4">
        <v>732</v>
      </c>
      <c r="F4">
        <v>183</v>
      </c>
      <c r="G4" s="45">
        <f t="shared" si="1"/>
        <v>0.25</v>
      </c>
    </row>
    <row r="5" spans="1:7">
      <c r="A5" s="67" t="s">
        <v>99</v>
      </c>
      <c r="B5" s="82">
        <v>32595988.399999999</v>
      </c>
      <c r="C5" s="84">
        <v>8629298.2692580521</v>
      </c>
      <c r="D5" s="45">
        <f t="shared" si="0"/>
        <v>0.26473497791703876</v>
      </c>
      <c r="E5">
        <v>667</v>
      </c>
      <c r="F5">
        <v>187</v>
      </c>
      <c r="G5" s="45">
        <f t="shared" si="1"/>
        <v>0.28035982008995503</v>
      </c>
    </row>
    <row r="6" spans="1:7">
      <c r="A6" s="67" t="s">
        <v>100</v>
      </c>
      <c r="B6" s="82">
        <v>71810000</v>
      </c>
      <c r="C6" s="84">
        <v>33776687.042519644</v>
      </c>
      <c r="D6" s="45">
        <f t="shared" si="0"/>
        <v>0.4703618861233762</v>
      </c>
      <c r="E6">
        <v>1063</v>
      </c>
      <c r="F6">
        <v>505</v>
      </c>
      <c r="G6" s="45">
        <f t="shared" si="1"/>
        <v>0.47507055503292567</v>
      </c>
    </row>
    <row r="7" spans="1:7">
      <c r="A7" s="67" t="s">
        <v>101</v>
      </c>
      <c r="B7" s="82">
        <v>87559000</v>
      </c>
      <c r="C7" s="84">
        <v>22399842.269839704</v>
      </c>
      <c r="D7" s="45">
        <f t="shared" si="0"/>
        <v>0.25582569775625241</v>
      </c>
      <c r="E7">
        <v>946</v>
      </c>
      <c r="F7">
        <v>260</v>
      </c>
      <c r="G7" s="45">
        <f t="shared" si="1"/>
        <v>0.27484143763213531</v>
      </c>
    </row>
    <row r="8" spans="1:7">
      <c r="A8" s="67" t="s">
        <v>102</v>
      </c>
      <c r="B8" s="82">
        <v>30506206.84</v>
      </c>
      <c r="C8" s="84">
        <v>7675419.5282058138</v>
      </c>
      <c r="D8" s="45">
        <f t="shared" si="0"/>
        <v>0.25160189755685186</v>
      </c>
      <c r="E8">
        <v>178</v>
      </c>
      <c r="F8">
        <v>46</v>
      </c>
      <c r="G8" s="45">
        <f t="shared" si="1"/>
        <v>0.25842696629213485</v>
      </c>
    </row>
    <row r="9" spans="1:7">
      <c r="A9" s="67" t="s">
        <v>103</v>
      </c>
      <c r="B9" s="82">
        <v>41530000</v>
      </c>
      <c r="C9" s="84">
        <v>9504339.6537517477</v>
      </c>
      <c r="D9" s="45">
        <f t="shared" si="0"/>
        <v>0.22885479541901632</v>
      </c>
      <c r="E9">
        <v>609</v>
      </c>
      <c r="F9">
        <v>140</v>
      </c>
      <c r="G9" s="45">
        <f t="shared" si="1"/>
        <v>0.22988505747126436</v>
      </c>
    </row>
    <row r="10" spans="1:7">
      <c r="A10" s="67" t="s">
        <v>104</v>
      </c>
      <c r="B10" s="82">
        <v>47264000</v>
      </c>
      <c r="C10" s="84">
        <v>11663783.697558582</v>
      </c>
      <c r="D10" s="45">
        <f t="shared" si="0"/>
        <v>0.24677944519208239</v>
      </c>
      <c r="E10">
        <v>576</v>
      </c>
      <c r="F10">
        <v>146</v>
      </c>
      <c r="G10" s="45">
        <f t="shared" si="1"/>
        <v>0.25347222222222221</v>
      </c>
    </row>
    <row r="11" spans="1:7">
      <c r="A11" s="67" t="s">
        <v>105</v>
      </c>
      <c r="B11" s="82">
        <v>31050000</v>
      </c>
      <c r="C11" s="84">
        <v>7598665.7373823123</v>
      </c>
      <c r="D11" s="45">
        <f t="shared" si="0"/>
        <v>0.24472353421521134</v>
      </c>
      <c r="E11">
        <v>1176</v>
      </c>
      <c r="F11">
        <v>286</v>
      </c>
      <c r="G11" s="45">
        <f t="shared" si="1"/>
        <v>0.24319727891156462</v>
      </c>
    </row>
    <row r="12" spans="1:7">
      <c r="A12" s="67" t="s">
        <v>106</v>
      </c>
      <c r="B12" s="82">
        <v>18448000</v>
      </c>
      <c r="C12" s="84">
        <v>4171990.9762100074</v>
      </c>
      <c r="D12" s="45">
        <f t="shared" si="0"/>
        <v>0.22614868691511314</v>
      </c>
      <c r="E12">
        <v>230</v>
      </c>
      <c r="F12">
        <v>53</v>
      </c>
      <c r="G12" s="45">
        <f t="shared" si="1"/>
        <v>0.23043478260869565</v>
      </c>
    </row>
    <row r="13" spans="1:7">
      <c r="A13" s="67" t="s">
        <v>107</v>
      </c>
      <c r="B13" s="82">
        <v>18978000</v>
      </c>
      <c r="C13" s="84">
        <v>4442586.0805860804</v>
      </c>
      <c r="D13" s="45">
        <f t="shared" si="0"/>
        <v>0.23409137319981455</v>
      </c>
      <c r="E13">
        <v>775</v>
      </c>
      <c r="F13">
        <v>169</v>
      </c>
      <c r="G13" s="45">
        <f t="shared" si="1"/>
        <v>0.21806451612903227</v>
      </c>
    </row>
    <row r="14" spans="1:7">
      <c r="A14" s="67" t="s">
        <v>108</v>
      </c>
      <c r="B14" s="82">
        <v>130012500</v>
      </c>
      <c r="C14" s="84">
        <v>32640942.140595905</v>
      </c>
      <c r="D14" s="45">
        <f t="shared" si="0"/>
        <v>0.25106002992478343</v>
      </c>
      <c r="E14">
        <v>4215</v>
      </c>
      <c r="F14">
        <v>1055</v>
      </c>
      <c r="G14" s="45">
        <f t="shared" si="1"/>
        <v>0.25029655990510086</v>
      </c>
    </row>
    <row r="15" spans="1:7">
      <c r="A15" s="67" t="s">
        <v>109</v>
      </c>
      <c r="B15" s="82">
        <v>59441250.910000004</v>
      </c>
      <c r="C15" s="84">
        <v>14893839.288723627</v>
      </c>
      <c r="D15" s="45">
        <f t="shared" si="0"/>
        <v>0.2505640285275017</v>
      </c>
      <c r="E15">
        <v>1487</v>
      </c>
      <c r="F15">
        <v>372</v>
      </c>
      <c r="G15" s="45">
        <f t="shared" si="1"/>
        <v>0.25016812373907193</v>
      </c>
    </row>
    <row r="16" spans="1:7">
      <c r="A16" s="67" t="s">
        <v>110</v>
      </c>
      <c r="B16" s="82">
        <v>35600000</v>
      </c>
      <c r="C16" s="84">
        <v>8345146.6886734059</v>
      </c>
      <c r="D16" s="45">
        <f t="shared" si="0"/>
        <v>0.23441423282790466</v>
      </c>
      <c r="E16">
        <v>2028</v>
      </c>
      <c r="F16">
        <v>467</v>
      </c>
      <c r="G16" s="45">
        <f t="shared" si="1"/>
        <v>0.23027613412228798</v>
      </c>
    </row>
    <row r="17" spans="1:7">
      <c r="A17" s="67" t="s">
        <v>111</v>
      </c>
      <c r="B17" s="82">
        <v>64273011.980000004</v>
      </c>
      <c r="C17" s="84">
        <v>16459026.558778552</v>
      </c>
      <c r="D17" s="45">
        <f t="shared" si="0"/>
        <v>0.25607990121732821</v>
      </c>
      <c r="E17">
        <v>645</v>
      </c>
      <c r="F17">
        <v>162</v>
      </c>
      <c r="G17" s="45">
        <f t="shared" si="1"/>
        <v>0.25116279069767444</v>
      </c>
    </row>
    <row r="18" spans="1:7">
      <c r="A18" s="67" t="s">
        <v>112</v>
      </c>
      <c r="B18" s="82">
        <v>65927166.600000001</v>
      </c>
      <c r="C18" s="84">
        <v>17381791.649999999</v>
      </c>
      <c r="D18" s="45">
        <f t="shared" si="0"/>
        <v>0.26365142848411138</v>
      </c>
      <c r="E18">
        <v>2226</v>
      </c>
      <c r="F18">
        <v>632</v>
      </c>
      <c r="G18" s="45">
        <f t="shared" si="1"/>
        <v>0.28391734052111411</v>
      </c>
    </row>
    <row r="19" spans="1:7">
      <c r="A19" s="67" t="s">
        <v>113</v>
      </c>
      <c r="B19" s="82">
        <v>24048000</v>
      </c>
      <c r="C19" s="84">
        <v>5918784.4983701566</v>
      </c>
      <c r="D19" s="45">
        <f t="shared" si="0"/>
        <v>0.24612377321898521</v>
      </c>
      <c r="E19">
        <v>520</v>
      </c>
      <c r="F19">
        <v>130</v>
      </c>
      <c r="G19" s="45">
        <f t="shared" si="1"/>
        <v>0.25</v>
      </c>
    </row>
    <row r="20" spans="1:7">
      <c r="A20" s="67" t="s">
        <v>114</v>
      </c>
      <c r="B20" s="82">
        <v>87030000</v>
      </c>
      <c r="C20" s="84">
        <v>20676677.228044521</v>
      </c>
      <c r="D20" s="45">
        <f t="shared" si="0"/>
        <v>0.23758103215034496</v>
      </c>
      <c r="E20">
        <v>1052</v>
      </c>
      <c r="F20">
        <v>263</v>
      </c>
      <c r="G20" s="45">
        <f t="shared" si="1"/>
        <v>0.25</v>
      </c>
    </row>
    <row r="21" spans="1:7">
      <c r="A21" s="67" t="s">
        <v>115</v>
      </c>
      <c r="B21" s="82">
        <v>26955000</v>
      </c>
      <c r="C21" s="84">
        <v>6893495.0714064566</v>
      </c>
      <c r="D21" s="45">
        <f t="shared" si="0"/>
        <v>0.25574086705273441</v>
      </c>
      <c r="E21">
        <v>1146</v>
      </c>
      <c r="F21">
        <v>295</v>
      </c>
      <c r="G21" s="45">
        <f t="shared" si="1"/>
        <v>0.25741710296684117</v>
      </c>
    </row>
    <row r="22" spans="1:7">
      <c r="A22" s="67" t="s">
        <v>116</v>
      </c>
      <c r="B22" s="82">
        <v>55450000</v>
      </c>
      <c r="C22" s="84">
        <v>14514543.299744399</v>
      </c>
      <c r="D22" s="45">
        <f t="shared" si="0"/>
        <v>0.26175912172667987</v>
      </c>
      <c r="E22">
        <v>432</v>
      </c>
      <c r="F22">
        <v>113</v>
      </c>
      <c r="G22" s="45">
        <f t="shared" si="1"/>
        <v>0.26157407407407407</v>
      </c>
    </row>
    <row r="23" spans="1:7">
      <c r="A23" s="67" t="s">
        <v>117</v>
      </c>
      <c r="B23" s="82">
        <v>5860000</v>
      </c>
      <c r="C23" s="84">
        <v>1155000</v>
      </c>
      <c r="D23" s="45">
        <f t="shared" si="0"/>
        <v>0.19709897610921501</v>
      </c>
      <c r="E23">
        <v>160</v>
      </c>
      <c r="F23">
        <v>36</v>
      </c>
      <c r="G23" s="45">
        <f t="shared" si="1"/>
        <v>0.22500000000000001</v>
      </c>
    </row>
    <row r="24" spans="1:7">
      <c r="A24" s="67" t="s">
        <v>118</v>
      </c>
      <c r="B24" s="82">
        <v>13766766.09</v>
      </c>
      <c r="C24" s="84">
        <v>3345799.8094916581</v>
      </c>
      <c r="D24" s="45">
        <f t="shared" si="0"/>
        <v>0.24303455057044979</v>
      </c>
      <c r="E24">
        <v>521</v>
      </c>
      <c r="F24">
        <v>130</v>
      </c>
      <c r="G24" s="45">
        <f t="shared" si="1"/>
        <v>0.24952015355086371</v>
      </c>
    </row>
    <row r="25" spans="1:7">
      <c r="A25" s="67" t="s">
        <v>119</v>
      </c>
      <c r="B25" s="82">
        <v>41870000</v>
      </c>
      <c r="C25" s="84">
        <v>10915800.455235206</v>
      </c>
      <c r="D25" s="45">
        <f t="shared" si="0"/>
        <v>0.26070696095617879</v>
      </c>
      <c r="E25">
        <v>1043</v>
      </c>
      <c r="F25">
        <v>266</v>
      </c>
      <c r="G25" s="45">
        <f t="shared" si="1"/>
        <v>0.25503355704697989</v>
      </c>
    </row>
    <row r="26" spans="1:7">
      <c r="A26" s="67" t="s">
        <v>120</v>
      </c>
      <c r="B26" s="82">
        <v>270750000</v>
      </c>
      <c r="C26" s="84">
        <v>68336000</v>
      </c>
      <c r="D26" s="45">
        <f t="shared" si="0"/>
        <v>0.25239519852262232</v>
      </c>
      <c r="E26">
        <v>986</v>
      </c>
      <c r="F26">
        <v>248</v>
      </c>
      <c r="G26" s="45">
        <f t="shared" si="1"/>
        <v>0.25152129817444219</v>
      </c>
    </row>
    <row r="27" spans="1:7">
      <c r="A27" s="67" t="s">
        <v>121</v>
      </c>
      <c r="B27" s="82">
        <v>12050000</v>
      </c>
      <c r="C27" s="84">
        <v>2837385.7142857146</v>
      </c>
      <c r="D27" s="45">
        <f t="shared" si="0"/>
        <v>0.23546769413159457</v>
      </c>
      <c r="E27">
        <v>232</v>
      </c>
      <c r="F27">
        <v>57</v>
      </c>
      <c r="G27" s="45">
        <f t="shared" si="1"/>
        <v>0.24568965517241378</v>
      </c>
    </row>
    <row r="28" spans="1:7">
      <c r="A28" s="67" t="s">
        <v>122</v>
      </c>
      <c r="B28" s="82">
        <v>24670000</v>
      </c>
      <c r="C28" s="84">
        <v>5905523.1048021745</v>
      </c>
      <c r="D28" s="45">
        <f t="shared" si="0"/>
        <v>0.2393807500933188</v>
      </c>
      <c r="E28">
        <v>581</v>
      </c>
      <c r="F28">
        <v>126</v>
      </c>
      <c r="G28" s="45">
        <f t="shared" si="1"/>
        <v>0.21686746987951808</v>
      </c>
    </row>
    <row r="29" spans="1:7">
      <c r="A29" s="70" t="s">
        <v>20</v>
      </c>
      <c r="B29" s="83">
        <v>1353882736.3000002</v>
      </c>
      <c r="C29" s="85">
        <v>353801832.44465744</v>
      </c>
      <c r="D29" s="73">
        <f>MEDIAN(D2:D28)</f>
        <v>0.24677944519208239</v>
      </c>
      <c r="E29" s="71">
        <v>25973</v>
      </c>
      <c r="F29" s="71">
        <v>6749</v>
      </c>
      <c r="G29" s="73">
        <f>MEDIAN(G2:G28)</f>
        <v>0.25016812373907193</v>
      </c>
    </row>
    <row r="33" spans="1:9">
      <c r="A33" s="91" t="s">
        <v>89</v>
      </c>
      <c r="B33" s="98" t="s">
        <v>93</v>
      </c>
      <c r="C33" s="95" t="s">
        <v>126</v>
      </c>
      <c r="D33" s="95" t="s">
        <v>127</v>
      </c>
      <c r="E33" s="95" t="s">
        <v>128</v>
      </c>
      <c r="F33" s="45"/>
      <c r="I33"/>
    </row>
    <row r="34" spans="1:9">
      <c r="A34" t="s">
        <v>100</v>
      </c>
      <c r="B34" s="99">
        <v>33776687.042519644</v>
      </c>
      <c r="C34" s="101">
        <v>0.4703618861233762</v>
      </c>
      <c r="D34">
        <v>505</v>
      </c>
      <c r="E34" s="45">
        <f t="shared" ref="E34:E60" ca="1" si="2">D34/$E34</f>
        <v>0.47507055503292567</v>
      </c>
      <c r="F34" s="45"/>
      <c r="I34"/>
    </row>
    <row r="35" spans="1:9">
      <c r="A35" t="s">
        <v>99</v>
      </c>
      <c r="B35" s="99">
        <v>8629298.2692580521</v>
      </c>
      <c r="C35" s="100">
        <v>0.26473497791703876</v>
      </c>
      <c r="D35">
        <v>187</v>
      </c>
      <c r="E35" s="45">
        <f t="shared" ca="1" si="2"/>
        <v>0.28035982008995503</v>
      </c>
      <c r="F35" s="45"/>
      <c r="I35"/>
    </row>
    <row r="36" spans="1:9">
      <c r="A36" t="s">
        <v>112</v>
      </c>
      <c r="B36" s="99">
        <v>17381791.649999999</v>
      </c>
      <c r="C36" s="100">
        <v>0.26365142848411138</v>
      </c>
      <c r="D36">
        <v>632</v>
      </c>
      <c r="E36" s="45">
        <f t="shared" ca="1" si="2"/>
        <v>0.28391734052111411</v>
      </c>
      <c r="F36" s="45"/>
      <c r="I36"/>
    </row>
    <row r="37" spans="1:9">
      <c r="A37" t="s">
        <v>116</v>
      </c>
      <c r="B37" s="99">
        <v>14514543.299744399</v>
      </c>
      <c r="C37" s="100">
        <v>0.26175912172667987</v>
      </c>
      <c r="D37">
        <v>113</v>
      </c>
      <c r="E37" s="45">
        <f t="shared" ca="1" si="2"/>
        <v>0.26157407407407407</v>
      </c>
      <c r="F37" s="45"/>
      <c r="I37"/>
    </row>
    <row r="38" spans="1:9">
      <c r="A38" t="s">
        <v>119</v>
      </c>
      <c r="B38" s="99">
        <v>10915800.455235206</v>
      </c>
      <c r="C38" s="100">
        <v>0.26070696095617879</v>
      </c>
      <c r="D38">
        <v>266</v>
      </c>
      <c r="E38" s="45">
        <f t="shared" ca="1" si="2"/>
        <v>0.25503355704697989</v>
      </c>
      <c r="F38" s="45"/>
      <c r="I38"/>
    </row>
    <row r="39" spans="1:9">
      <c r="A39" t="s">
        <v>111</v>
      </c>
      <c r="B39" s="99">
        <v>16459026.558778552</v>
      </c>
      <c r="C39" s="100">
        <v>0.25607990121732821</v>
      </c>
      <c r="D39">
        <v>162</v>
      </c>
      <c r="E39" s="45">
        <f t="shared" ca="1" si="2"/>
        <v>0.25116279069767444</v>
      </c>
      <c r="F39" s="45"/>
      <c r="I39"/>
    </row>
    <row r="40" spans="1:9">
      <c r="A40" t="s">
        <v>101</v>
      </c>
      <c r="B40" s="99">
        <v>22399842.269839704</v>
      </c>
      <c r="C40" s="100">
        <v>0.25582569775625241</v>
      </c>
      <c r="D40">
        <v>260</v>
      </c>
      <c r="E40" s="45">
        <f t="shared" ca="1" si="2"/>
        <v>0.27484143763213531</v>
      </c>
      <c r="F40" s="45"/>
      <c r="I40"/>
    </row>
    <row r="41" spans="1:9">
      <c r="A41" t="s">
        <v>115</v>
      </c>
      <c r="B41" s="99">
        <v>6893495.0714064566</v>
      </c>
      <c r="C41" s="100">
        <v>0.25574086705273441</v>
      </c>
      <c r="D41">
        <v>295</v>
      </c>
      <c r="E41" s="45">
        <f t="shared" ca="1" si="2"/>
        <v>0.25741710296684117</v>
      </c>
      <c r="F41" s="45"/>
      <c r="I41"/>
    </row>
    <row r="42" spans="1:9">
      <c r="A42" t="s">
        <v>98</v>
      </c>
      <c r="B42" s="99">
        <v>4124451.9480519481</v>
      </c>
      <c r="C42" s="102">
        <v>0.25355029557454128</v>
      </c>
      <c r="D42">
        <v>183</v>
      </c>
      <c r="E42" s="45">
        <f t="shared" ca="1" si="2"/>
        <v>0.25</v>
      </c>
      <c r="F42" s="45"/>
      <c r="I42"/>
    </row>
    <row r="43" spans="1:9">
      <c r="A43" t="s">
        <v>120</v>
      </c>
      <c r="B43" s="99">
        <v>68336000</v>
      </c>
      <c r="C43" s="102">
        <v>0.25239519852262232</v>
      </c>
      <c r="D43">
        <v>248</v>
      </c>
      <c r="E43" s="45">
        <f t="shared" ca="1" si="2"/>
        <v>0.25152129817444219</v>
      </c>
      <c r="F43" s="45"/>
      <c r="I43"/>
    </row>
    <row r="44" spans="1:9">
      <c r="A44" t="s">
        <v>102</v>
      </c>
      <c r="B44" s="99">
        <v>7675419.5282058138</v>
      </c>
      <c r="C44" s="102">
        <v>0.25160189755685186</v>
      </c>
      <c r="D44">
        <v>46</v>
      </c>
      <c r="E44" s="45">
        <f t="shared" ca="1" si="2"/>
        <v>0.25842696629213485</v>
      </c>
      <c r="F44" s="45"/>
      <c r="I44"/>
    </row>
    <row r="45" spans="1:9">
      <c r="A45" t="s">
        <v>108</v>
      </c>
      <c r="B45" s="99">
        <v>32640942.140595905</v>
      </c>
      <c r="C45" s="102">
        <v>0.25106002992478343</v>
      </c>
      <c r="D45">
        <v>1055</v>
      </c>
      <c r="E45" s="45">
        <f t="shared" ca="1" si="2"/>
        <v>0.25029655990510086</v>
      </c>
      <c r="F45" s="45"/>
      <c r="I45"/>
    </row>
    <row r="46" spans="1:9">
      <c r="A46" t="s">
        <v>109</v>
      </c>
      <c r="B46" s="99">
        <v>14893839.288723627</v>
      </c>
      <c r="C46" s="102">
        <v>0.2505640285275017</v>
      </c>
      <c r="D46">
        <v>372</v>
      </c>
      <c r="E46" s="45">
        <f t="shared" ca="1" si="2"/>
        <v>0.25016812373907193</v>
      </c>
      <c r="F46" s="45"/>
      <c r="I46"/>
    </row>
    <row r="47" spans="1:9">
      <c r="A47" t="s">
        <v>104</v>
      </c>
      <c r="B47" s="99">
        <v>11663783.697558582</v>
      </c>
      <c r="C47" s="102">
        <v>0.24677944519208239</v>
      </c>
      <c r="D47">
        <v>146</v>
      </c>
      <c r="E47" s="45">
        <f t="shared" ca="1" si="2"/>
        <v>0.25347222222222221</v>
      </c>
      <c r="F47" s="45"/>
      <c r="I47"/>
    </row>
    <row r="48" spans="1:9">
      <c r="A48" t="s">
        <v>113</v>
      </c>
      <c r="B48" s="99">
        <v>5918784.4983701566</v>
      </c>
      <c r="C48" s="102">
        <v>0.24612377321898521</v>
      </c>
      <c r="D48">
        <v>130</v>
      </c>
      <c r="E48" s="45">
        <f t="shared" ca="1" si="2"/>
        <v>0.25</v>
      </c>
      <c r="F48" s="45"/>
      <c r="I48"/>
    </row>
    <row r="49" spans="1:9">
      <c r="A49" t="s">
        <v>97</v>
      </c>
      <c r="B49" s="99">
        <v>6285252.4649804393</v>
      </c>
      <c r="C49" s="102">
        <v>0.24535761690539529</v>
      </c>
      <c r="D49">
        <v>322</v>
      </c>
      <c r="E49" s="45">
        <f t="shared" ca="1" si="2"/>
        <v>0.25394321766561512</v>
      </c>
      <c r="F49" s="45"/>
      <c r="I49"/>
    </row>
    <row r="50" spans="1:9">
      <c r="A50" t="s">
        <v>105</v>
      </c>
      <c r="B50" s="99">
        <v>7598665.7373823123</v>
      </c>
      <c r="C50" s="102">
        <v>0.24472353421521134</v>
      </c>
      <c r="D50">
        <v>286</v>
      </c>
      <c r="E50" s="45">
        <f t="shared" ca="1" si="2"/>
        <v>0.24319727891156462</v>
      </c>
      <c r="F50" s="45"/>
      <c r="I50"/>
    </row>
    <row r="51" spans="1:9">
      <c r="A51" t="s">
        <v>118</v>
      </c>
      <c r="B51" s="99">
        <v>3345799.8094916581</v>
      </c>
      <c r="C51" s="102">
        <v>0.24303455057044979</v>
      </c>
      <c r="D51">
        <v>130</v>
      </c>
      <c r="E51" s="45">
        <f t="shared" ca="1" si="2"/>
        <v>0.24952015355086371</v>
      </c>
      <c r="F51" s="45"/>
      <c r="I51"/>
    </row>
    <row r="52" spans="1:9">
      <c r="A52" t="s">
        <v>122</v>
      </c>
      <c r="B52" s="99">
        <v>5905523.1048021745</v>
      </c>
      <c r="C52" s="102">
        <v>0.2393807500933188</v>
      </c>
      <c r="D52">
        <v>126</v>
      </c>
      <c r="E52" s="45">
        <f t="shared" ca="1" si="2"/>
        <v>0.21686746987951808</v>
      </c>
      <c r="F52" s="45"/>
      <c r="I52"/>
    </row>
    <row r="53" spans="1:9">
      <c r="A53" t="s">
        <v>114</v>
      </c>
      <c r="B53" s="99">
        <v>20676677.228044521</v>
      </c>
      <c r="C53" s="102">
        <v>0.23758103215034496</v>
      </c>
      <c r="D53">
        <v>263</v>
      </c>
      <c r="E53" s="45">
        <f t="shared" ca="1" si="2"/>
        <v>0.25</v>
      </c>
      <c r="F53" s="45"/>
      <c r="I53"/>
    </row>
    <row r="54" spans="1:9">
      <c r="A54" t="s">
        <v>121</v>
      </c>
      <c r="B54" s="99">
        <v>2837385.7142857146</v>
      </c>
      <c r="C54" s="102">
        <v>0.23546769413159457</v>
      </c>
      <c r="D54">
        <v>57</v>
      </c>
      <c r="E54" s="45">
        <f t="shared" ca="1" si="2"/>
        <v>0.24568965517241378</v>
      </c>
      <c r="F54" s="45"/>
      <c r="I54"/>
    </row>
    <row r="55" spans="1:9">
      <c r="A55" t="s">
        <v>110</v>
      </c>
      <c r="B55" s="99">
        <v>8345146.6886734059</v>
      </c>
      <c r="C55" s="31">
        <v>0.23441423282790466</v>
      </c>
      <c r="D55">
        <v>467</v>
      </c>
      <c r="E55" s="45">
        <f t="shared" ca="1" si="2"/>
        <v>0.23027613412228798</v>
      </c>
      <c r="F55" s="45"/>
      <c r="I55"/>
    </row>
    <row r="56" spans="1:9">
      <c r="A56" t="s">
        <v>107</v>
      </c>
      <c r="B56" s="99">
        <v>4442586.0805860804</v>
      </c>
      <c r="C56" s="31">
        <v>0.23409137319981455</v>
      </c>
      <c r="D56">
        <v>169</v>
      </c>
      <c r="E56" s="45">
        <f t="shared" ca="1" si="2"/>
        <v>0.21806451612903227</v>
      </c>
      <c r="F56" s="45"/>
      <c r="I56"/>
    </row>
    <row r="57" spans="1:9">
      <c r="A57" t="s">
        <v>103</v>
      </c>
      <c r="B57" s="99">
        <v>9504339.6537517477</v>
      </c>
      <c r="C57" s="31">
        <v>0.22885479541901632</v>
      </c>
      <c r="D57">
        <v>140</v>
      </c>
      <c r="E57" s="45">
        <f t="shared" ca="1" si="2"/>
        <v>0.22988505747126436</v>
      </c>
      <c r="F57" s="45"/>
      <c r="I57"/>
    </row>
    <row r="58" spans="1:9">
      <c r="A58" t="s">
        <v>94</v>
      </c>
      <c r="B58" s="99">
        <v>3309759.2681612917</v>
      </c>
      <c r="C58" s="31">
        <v>0.2274069467919001</v>
      </c>
      <c r="D58">
        <v>100</v>
      </c>
      <c r="E58" s="45">
        <f t="shared" ca="1" si="2"/>
        <v>0.20876826722338204</v>
      </c>
      <c r="F58" s="45"/>
      <c r="I58"/>
    </row>
    <row r="59" spans="1:9">
      <c r="A59" t="s">
        <v>106</v>
      </c>
      <c r="B59" s="99">
        <v>4171990.9762100074</v>
      </c>
      <c r="C59" s="31">
        <v>0.22614868691511314</v>
      </c>
      <c r="D59">
        <v>53</v>
      </c>
      <c r="E59" s="45">
        <f t="shared" ca="1" si="2"/>
        <v>0.23043478260869565</v>
      </c>
      <c r="F59" s="45"/>
      <c r="I59"/>
    </row>
    <row r="60" spans="1:9">
      <c r="A60" t="s">
        <v>117</v>
      </c>
      <c r="B60" s="99">
        <v>1155000</v>
      </c>
      <c r="C60" s="31">
        <v>0.19709897610921501</v>
      </c>
      <c r="D60">
        <v>36</v>
      </c>
      <c r="E60" s="45">
        <f t="shared" ca="1" si="2"/>
        <v>0.22500000000000001</v>
      </c>
      <c r="F60" s="45"/>
      <c r="I60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2"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969E5-9DAA-41CC-8FFF-0FC47C71AD7B}">
  <dimension ref="A1:Q74"/>
  <sheetViews>
    <sheetView topLeftCell="A12" zoomScale="57" zoomScaleNormal="57" workbookViewId="0">
      <selection activeCell="A36" sqref="A36:C36"/>
    </sheetView>
  </sheetViews>
  <sheetFormatPr defaultColWidth="10.81640625" defaultRowHeight="14.5"/>
  <cols>
    <col min="1" max="1" width="24.54296875" customWidth="1"/>
    <col min="2" max="2" width="21.81640625" style="82" customWidth="1"/>
    <col min="3" max="3" width="24.453125" style="82" customWidth="1"/>
    <col min="4" max="4" width="20.54296875" customWidth="1"/>
    <col min="5" max="5" width="31.7265625" style="82" customWidth="1"/>
    <col min="6" max="6" width="24.453125" style="45" customWidth="1"/>
    <col min="7" max="7" width="27.81640625" style="84" customWidth="1"/>
    <col min="8" max="8" width="20.54296875" customWidth="1"/>
    <col min="11" max="11" width="17.453125" bestFit="1" customWidth="1"/>
    <col min="12" max="12" width="20.54296875" bestFit="1" customWidth="1"/>
    <col min="13" max="13" width="25.453125" bestFit="1" customWidth="1"/>
    <col min="14" max="14" width="23" bestFit="1" customWidth="1"/>
    <col min="15" max="15" width="13" style="45" bestFit="1" customWidth="1"/>
    <col min="16" max="16" width="23.1796875" style="45" bestFit="1" customWidth="1"/>
    <col min="17" max="17" width="20.54296875" style="45" bestFit="1" customWidth="1"/>
  </cols>
  <sheetData>
    <row r="1" spans="1:17" ht="20.149999999999999" customHeight="1">
      <c r="A1" s="87" t="s">
        <v>89</v>
      </c>
      <c r="B1" s="88" t="s">
        <v>90</v>
      </c>
      <c r="C1" s="88" t="s">
        <v>91</v>
      </c>
      <c r="D1" s="87" t="s">
        <v>85</v>
      </c>
      <c r="E1" s="88" t="s">
        <v>92</v>
      </c>
      <c r="F1" s="89" t="s">
        <v>86</v>
      </c>
      <c r="G1" s="90" t="s">
        <v>93</v>
      </c>
      <c r="H1" s="87" t="s">
        <v>87</v>
      </c>
    </row>
    <row r="2" spans="1:17" ht="14.5" customHeight="1">
      <c r="A2" s="67" t="s">
        <v>94</v>
      </c>
      <c r="B2" s="82">
        <v>14554345.48</v>
      </c>
      <c r="C2" s="82">
        <v>2005888.4941265839</v>
      </c>
      <c r="D2" s="45">
        <f t="shared" ref="D2:D28" si="0">C2/B2</f>
        <v>0.13782059089383275</v>
      </c>
      <c r="E2" s="82">
        <v>3270862.8531009429</v>
      </c>
      <c r="F2" s="45">
        <f t="shared" ref="F2:F28" si="1">E2/B2</f>
        <v>0.22473445182372728</v>
      </c>
      <c r="G2" s="84">
        <v>3309759.2681612917</v>
      </c>
      <c r="H2" s="45">
        <f t="shared" ref="H2:H28" si="2">G2/B2</f>
        <v>0.2274069467919001</v>
      </c>
      <c r="K2" s="69" t="s">
        <v>28</v>
      </c>
      <c r="L2" s="69" t="s">
        <v>31</v>
      </c>
      <c r="M2" s="69" t="s">
        <v>30</v>
      </c>
      <c r="N2" s="69" t="s">
        <v>29</v>
      </c>
      <c r="O2" s="72" t="s">
        <v>53</v>
      </c>
      <c r="P2" s="72" t="s">
        <v>95</v>
      </c>
      <c r="Q2" s="72" t="s">
        <v>96</v>
      </c>
    </row>
    <row r="3" spans="1:17">
      <c r="A3" s="67" t="s">
        <v>97</v>
      </c>
      <c r="B3" s="82">
        <v>25616700</v>
      </c>
      <c r="C3" s="82">
        <v>1538565.9774556381</v>
      </c>
      <c r="D3" s="45">
        <f t="shared" si="0"/>
        <v>6.0061053041790637E-2</v>
      </c>
      <c r="E3" s="82">
        <v>2463523.7638668236</v>
      </c>
      <c r="F3" s="45">
        <f t="shared" si="1"/>
        <v>9.6168662000445951E-2</v>
      </c>
      <c r="G3" s="84">
        <v>6285252.4649804393</v>
      </c>
      <c r="H3" s="45">
        <f t="shared" si="2"/>
        <v>0.24535761690539529</v>
      </c>
      <c r="K3">
        <v>479</v>
      </c>
      <c r="L3">
        <v>71</v>
      </c>
      <c r="M3">
        <v>143</v>
      </c>
      <c r="N3">
        <v>100</v>
      </c>
      <c r="O3" s="45">
        <f>L3/$K3</f>
        <v>0.14822546972860126</v>
      </c>
      <c r="P3" s="45">
        <f>M3/$K3</f>
        <v>0.29853862212943633</v>
      </c>
      <c r="Q3" s="45">
        <f>N3/$K3</f>
        <v>0.20876826722338204</v>
      </c>
    </row>
    <row r="4" spans="1:17">
      <c r="A4" s="67" t="s">
        <v>98</v>
      </c>
      <c r="B4" s="82">
        <v>16266800</v>
      </c>
      <c r="C4" s="82">
        <v>881932.46753246756</v>
      </c>
      <c r="D4" s="45">
        <f t="shared" si="0"/>
        <v>5.4216715489983747E-2</v>
      </c>
      <c r="E4" s="82">
        <v>1656722.0779220778</v>
      </c>
      <c r="F4" s="45">
        <f t="shared" si="1"/>
        <v>0.10184683391460385</v>
      </c>
      <c r="G4" s="84">
        <v>4124451.9480519481</v>
      </c>
      <c r="H4" s="45">
        <f t="shared" si="2"/>
        <v>0.25355029557454128</v>
      </c>
      <c r="K4">
        <v>1268</v>
      </c>
      <c r="L4">
        <v>80</v>
      </c>
      <c r="M4">
        <v>129</v>
      </c>
      <c r="N4">
        <v>322</v>
      </c>
      <c r="O4" s="45">
        <f t="shared" ref="O4:Q29" si="3">L4/$K4</f>
        <v>6.3091482649842268E-2</v>
      </c>
      <c r="P4" s="45">
        <f t="shared" si="3"/>
        <v>0.10173501577287067</v>
      </c>
      <c r="Q4" s="45">
        <f t="shared" si="3"/>
        <v>0.25394321766561512</v>
      </c>
    </row>
    <row r="5" spans="1:17">
      <c r="A5" s="67" t="s">
        <v>99</v>
      </c>
      <c r="B5" s="82">
        <v>32595988.399999999</v>
      </c>
      <c r="C5" s="82">
        <v>2574178.4949162058</v>
      </c>
      <c r="D5" s="45">
        <f t="shared" si="0"/>
        <v>7.8972248465894221E-2</v>
      </c>
      <c r="E5" s="82">
        <v>8821792.4692580514</v>
      </c>
      <c r="F5" s="45">
        <f t="shared" si="1"/>
        <v>0.27064043467563792</v>
      </c>
      <c r="G5" s="84">
        <v>8629298.2692580521</v>
      </c>
      <c r="H5" s="45">
        <f t="shared" si="2"/>
        <v>0.26473497791703876</v>
      </c>
      <c r="K5">
        <v>732</v>
      </c>
      <c r="L5">
        <v>37</v>
      </c>
      <c r="M5">
        <v>74</v>
      </c>
      <c r="N5">
        <v>183</v>
      </c>
      <c r="O5" s="45">
        <f t="shared" si="3"/>
        <v>5.0546448087431695E-2</v>
      </c>
      <c r="P5" s="45">
        <f t="shared" si="3"/>
        <v>0.10109289617486339</v>
      </c>
      <c r="Q5" s="45">
        <f t="shared" si="3"/>
        <v>0.25</v>
      </c>
    </row>
    <row r="6" spans="1:17">
      <c r="A6" s="67" t="s">
        <v>100</v>
      </c>
      <c r="B6" s="82">
        <v>71810000</v>
      </c>
      <c r="C6" s="82">
        <v>3534538.3548535174</v>
      </c>
      <c r="D6" s="45">
        <f t="shared" si="0"/>
        <v>4.922069843828878E-2</v>
      </c>
      <c r="E6" s="82">
        <v>10185518.394824337</v>
      </c>
      <c r="F6" s="45">
        <f t="shared" si="1"/>
        <v>0.14183983282028043</v>
      </c>
      <c r="G6" s="84">
        <v>33776687.042519644</v>
      </c>
      <c r="H6" s="45">
        <f t="shared" si="2"/>
        <v>0.4703618861233762</v>
      </c>
      <c r="K6">
        <v>667</v>
      </c>
      <c r="L6">
        <v>62</v>
      </c>
      <c r="M6">
        <v>184</v>
      </c>
      <c r="N6">
        <v>187</v>
      </c>
      <c r="O6" s="45">
        <f t="shared" si="3"/>
        <v>9.2953523238380811E-2</v>
      </c>
      <c r="P6" s="45">
        <f t="shared" si="3"/>
        <v>0.27586206896551724</v>
      </c>
      <c r="Q6" s="45">
        <f t="shared" si="3"/>
        <v>0.28035982008995503</v>
      </c>
    </row>
    <row r="7" spans="1:17">
      <c r="A7" s="67" t="s">
        <v>101</v>
      </c>
      <c r="B7" s="82">
        <v>87559000</v>
      </c>
      <c r="C7" s="82">
        <v>8039142.3944476573</v>
      </c>
      <c r="D7" s="45">
        <f t="shared" si="0"/>
        <v>9.1814004207992975E-2</v>
      </c>
      <c r="E7" s="82">
        <v>9539142.3944476582</v>
      </c>
      <c r="F7" s="45">
        <f t="shared" si="1"/>
        <v>0.10894530995611711</v>
      </c>
      <c r="G7" s="84">
        <v>22399842.269839704</v>
      </c>
      <c r="H7" s="45">
        <f t="shared" si="2"/>
        <v>0.25582569775625241</v>
      </c>
      <c r="K7">
        <v>1063</v>
      </c>
      <c r="L7">
        <v>54</v>
      </c>
      <c r="M7">
        <v>171</v>
      </c>
      <c r="N7">
        <v>505</v>
      </c>
      <c r="O7" s="45">
        <f t="shared" si="3"/>
        <v>5.0799623706491062E-2</v>
      </c>
      <c r="P7" s="45">
        <f t="shared" si="3"/>
        <v>0.16086547507055504</v>
      </c>
      <c r="Q7" s="45">
        <f t="shared" si="3"/>
        <v>0.47507055503292567</v>
      </c>
    </row>
    <row r="8" spans="1:17">
      <c r="A8" s="67" t="s">
        <v>102</v>
      </c>
      <c r="B8" s="82">
        <v>30506206.84</v>
      </c>
      <c r="C8" s="82">
        <v>4273856.9212429002</v>
      </c>
      <c r="D8" s="45">
        <f t="shared" si="0"/>
        <v>0.14009794608876061</v>
      </c>
      <c r="E8" s="82">
        <v>4192498.9257734716</v>
      </c>
      <c r="F8" s="45">
        <f t="shared" si="1"/>
        <v>0.1374310135561079</v>
      </c>
      <c r="G8" s="84">
        <v>7675419.5282058138</v>
      </c>
      <c r="H8" s="45">
        <f t="shared" si="2"/>
        <v>0.25160189755685186</v>
      </c>
      <c r="K8">
        <v>946</v>
      </c>
      <c r="L8">
        <v>85</v>
      </c>
      <c r="M8">
        <v>134</v>
      </c>
      <c r="N8">
        <v>260</v>
      </c>
      <c r="O8" s="45">
        <f t="shared" si="3"/>
        <v>8.9852008456659624E-2</v>
      </c>
      <c r="P8" s="45">
        <f t="shared" si="3"/>
        <v>0.14164904862579281</v>
      </c>
      <c r="Q8" s="45">
        <f t="shared" si="3"/>
        <v>0.27484143763213531</v>
      </c>
    </row>
    <row r="9" spans="1:17">
      <c r="A9" s="67" t="s">
        <v>103</v>
      </c>
      <c r="B9" s="82">
        <v>41530000</v>
      </c>
      <c r="C9" s="82">
        <v>1787755.7937893884</v>
      </c>
      <c r="D9" s="45">
        <f t="shared" si="0"/>
        <v>4.3047334307473838E-2</v>
      </c>
      <c r="E9" s="82">
        <v>4102756.3924193261</v>
      </c>
      <c r="F9" s="45">
        <f t="shared" si="1"/>
        <v>9.8790185225603802E-2</v>
      </c>
      <c r="G9" s="84">
        <v>9504339.6537517477</v>
      </c>
      <c r="H9" s="45">
        <f t="shared" si="2"/>
        <v>0.22885479541901632</v>
      </c>
      <c r="K9">
        <v>178</v>
      </c>
      <c r="L9">
        <v>17</v>
      </c>
      <c r="M9">
        <v>21</v>
      </c>
      <c r="N9">
        <v>46</v>
      </c>
      <c r="O9" s="45">
        <f t="shared" si="3"/>
        <v>9.5505617977528087E-2</v>
      </c>
      <c r="P9" s="45">
        <f t="shared" si="3"/>
        <v>0.11797752808988764</v>
      </c>
      <c r="Q9" s="45">
        <f t="shared" si="3"/>
        <v>0.25842696629213485</v>
      </c>
    </row>
    <row r="10" spans="1:17">
      <c r="A10" s="67" t="s">
        <v>104</v>
      </c>
      <c r="B10" s="82">
        <v>47264000</v>
      </c>
      <c r="C10" s="82">
        <v>4480021.6588512547</v>
      </c>
      <c r="D10" s="45">
        <f t="shared" si="0"/>
        <v>9.4787188110427703E-2</v>
      </c>
      <c r="E10" s="82">
        <v>4480021.6588512547</v>
      </c>
      <c r="F10" s="45">
        <f t="shared" si="1"/>
        <v>9.4787188110427703E-2</v>
      </c>
      <c r="G10" s="84">
        <v>11663783.697558582</v>
      </c>
      <c r="H10" s="45">
        <f t="shared" si="2"/>
        <v>0.24677944519208239</v>
      </c>
      <c r="K10">
        <v>609</v>
      </c>
      <c r="L10">
        <v>27</v>
      </c>
      <c r="M10">
        <v>57</v>
      </c>
      <c r="N10">
        <v>140</v>
      </c>
      <c r="O10" s="45">
        <f t="shared" si="3"/>
        <v>4.4334975369458129E-2</v>
      </c>
      <c r="P10" s="45">
        <f t="shared" si="3"/>
        <v>9.3596059113300489E-2</v>
      </c>
      <c r="Q10" s="45">
        <f t="shared" si="3"/>
        <v>0.22988505747126436</v>
      </c>
    </row>
    <row r="11" spans="1:17">
      <c r="A11" s="67" t="s">
        <v>105</v>
      </c>
      <c r="B11" s="82">
        <v>31050000</v>
      </c>
      <c r="C11" s="82">
        <v>1362805.9885784842</v>
      </c>
      <c r="D11" s="45">
        <f t="shared" si="0"/>
        <v>4.3890692063719296E-2</v>
      </c>
      <c r="E11" s="82">
        <v>3204336.124401914</v>
      </c>
      <c r="F11" s="45">
        <f t="shared" si="1"/>
        <v>0.10319923105964296</v>
      </c>
      <c r="G11" s="84">
        <v>7598665.7373823123</v>
      </c>
      <c r="H11" s="45">
        <f t="shared" si="2"/>
        <v>0.24472353421521134</v>
      </c>
      <c r="K11">
        <v>576</v>
      </c>
      <c r="L11">
        <v>56</v>
      </c>
      <c r="M11">
        <v>56</v>
      </c>
      <c r="N11">
        <v>146</v>
      </c>
      <c r="O11" s="45">
        <f t="shared" si="3"/>
        <v>9.7222222222222224E-2</v>
      </c>
      <c r="P11" s="45">
        <f t="shared" si="3"/>
        <v>9.7222222222222224E-2</v>
      </c>
      <c r="Q11" s="45">
        <f t="shared" si="3"/>
        <v>0.25347222222222221</v>
      </c>
    </row>
    <row r="12" spans="1:17">
      <c r="A12" s="67" t="s">
        <v>106</v>
      </c>
      <c r="B12" s="82">
        <v>18448000</v>
      </c>
      <c r="C12" s="82">
        <v>830586.54634946678</v>
      </c>
      <c r="D12" s="45">
        <f t="shared" si="0"/>
        <v>4.5023121549732585E-2</v>
      </c>
      <c r="E12" s="82">
        <v>1726267.432321575</v>
      </c>
      <c r="F12" s="45">
        <f t="shared" si="1"/>
        <v>9.3574774085081039E-2</v>
      </c>
      <c r="G12" s="84">
        <v>4171990.9762100074</v>
      </c>
      <c r="H12" s="45">
        <f t="shared" si="2"/>
        <v>0.22614868691511314</v>
      </c>
      <c r="K12">
        <v>1176</v>
      </c>
      <c r="L12">
        <v>50</v>
      </c>
      <c r="M12">
        <v>119</v>
      </c>
      <c r="N12">
        <v>286</v>
      </c>
      <c r="O12" s="45">
        <f t="shared" si="3"/>
        <v>4.2517006802721087E-2</v>
      </c>
      <c r="P12" s="45">
        <f t="shared" si="3"/>
        <v>0.10119047619047619</v>
      </c>
      <c r="Q12" s="45">
        <f t="shared" si="3"/>
        <v>0.24319727891156462</v>
      </c>
    </row>
    <row r="13" spans="1:17">
      <c r="A13" s="67" t="s">
        <v>107</v>
      </c>
      <c r="B13" s="82">
        <v>18978000</v>
      </c>
      <c r="C13" s="82">
        <v>1027752.9304029305</v>
      </c>
      <c r="D13" s="45">
        <f t="shared" si="0"/>
        <v>5.4154965244121112E-2</v>
      </c>
      <c r="E13" s="82">
        <v>2527118.9560439559</v>
      </c>
      <c r="F13" s="45">
        <f t="shared" si="1"/>
        <v>0.13316044662472104</v>
      </c>
      <c r="G13" s="84">
        <v>4442586.0805860804</v>
      </c>
      <c r="H13" s="45">
        <f t="shared" si="2"/>
        <v>0.23409137319981455</v>
      </c>
      <c r="K13">
        <v>230</v>
      </c>
      <c r="L13">
        <v>11</v>
      </c>
      <c r="M13">
        <v>22</v>
      </c>
      <c r="N13">
        <v>53</v>
      </c>
      <c r="O13" s="45">
        <f t="shared" si="3"/>
        <v>4.7826086956521741E-2</v>
      </c>
      <c r="P13" s="45">
        <f t="shared" si="3"/>
        <v>9.5652173913043481E-2</v>
      </c>
      <c r="Q13" s="45">
        <f t="shared" si="3"/>
        <v>0.23043478260869565</v>
      </c>
    </row>
    <row r="14" spans="1:17">
      <c r="A14" s="67" t="s">
        <v>108</v>
      </c>
      <c r="B14" s="82">
        <v>130012500</v>
      </c>
      <c r="C14" s="82">
        <v>6382596.502499626</v>
      </c>
      <c r="D14" s="45">
        <f t="shared" si="0"/>
        <v>4.9092175771557549E-2</v>
      </c>
      <c r="E14" s="82">
        <v>13276558.294056913</v>
      </c>
      <c r="F14" s="45">
        <f t="shared" si="1"/>
        <v>0.10211755249731305</v>
      </c>
      <c r="G14" s="84">
        <v>32640942.140595905</v>
      </c>
      <c r="H14" s="45">
        <f t="shared" si="2"/>
        <v>0.25106002992478343</v>
      </c>
      <c r="K14">
        <v>775</v>
      </c>
      <c r="L14">
        <v>62</v>
      </c>
      <c r="M14">
        <v>166</v>
      </c>
      <c r="N14">
        <v>169</v>
      </c>
      <c r="O14" s="45">
        <f t="shared" si="3"/>
        <v>0.08</v>
      </c>
      <c r="P14" s="45">
        <f t="shared" si="3"/>
        <v>0.21419354838709678</v>
      </c>
      <c r="Q14" s="45">
        <f t="shared" si="3"/>
        <v>0.21806451612903227</v>
      </c>
    </row>
    <row r="15" spans="1:17">
      <c r="A15" s="67" t="s">
        <v>109</v>
      </c>
      <c r="B15" s="82">
        <v>59441250.910000004</v>
      </c>
      <c r="C15" s="82">
        <v>5085705.7224659156</v>
      </c>
      <c r="D15" s="45">
        <f t="shared" si="0"/>
        <v>8.5558524502894168E-2</v>
      </c>
      <c r="E15" s="82">
        <v>5927860.4194659162</v>
      </c>
      <c r="F15" s="45">
        <f t="shared" si="1"/>
        <v>9.9726374003152957E-2</v>
      </c>
      <c r="G15" s="84">
        <v>14893839.288723627</v>
      </c>
      <c r="H15" s="45">
        <f t="shared" si="2"/>
        <v>0.2505640285275017</v>
      </c>
      <c r="K15">
        <v>4215</v>
      </c>
      <c r="L15">
        <v>207</v>
      </c>
      <c r="M15">
        <v>428</v>
      </c>
      <c r="N15">
        <v>1055</v>
      </c>
      <c r="O15" s="45">
        <f t="shared" si="3"/>
        <v>4.9110320284697508E-2</v>
      </c>
      <c r="P15" s="45">
        <f t="shared" si="3"/>
        <v>0.10154211150652431</v>
      </c>
      <c r="Q15" s="45">
        <f t="shared" si="3"/>
        <v>0.25029655990510086</v>
      </c>
    </row>
    <row r="16" spans="1:17">
      <c r="A16" s="67" t="s">
        <v>110</v>
      </c>
      <c r="B16" s="82">
        <v>35600000</v>
      </c>
      <c r="C16" s="82">
        <v>1815151.5088996005</v>
      </c>
      <c r="D16" s="45">
        <f t="shared" si="0"/>
        <v>5.0987401935382037E-2</v>
      </c>
      <c r="E16" s="82">
        <v>4968141.3245306369</v>
      </c>
      <c r="F16" s="45">
        <f t="shared" si="1"/>
        <v>0.13955453158793923</v>
      </c>
      <c r="G16" s="84">
        <v>8345146.6886734059</v>
      </c>
      <c r="H16" s="45">
        <f t="shared" si="2"/>
        <v>0.23441423282790466</v>
      </c>
      <c r="K16">
        <v>1487</v>
      </c>
      <c r="L16">
        <v>126</v>
      </c>
      <c r="M16">
        <v>148</v>
      </c>
      <c r="N16">
        <v>372</v>
      </c>
      <c r="O16" s="45">
        <f t="shared" si="3"/>
        <v>8.4734364492266304E-2</v>
      </c>
      <c r="P16" s="45">
        <f t="shared" si="3"/>
        <v>9.9529253530598522E-2</v>
      </c>
      <c r="Q16" s="45">
        <f t="shared" si="3"/>
        <v>0.25016812373907193</v>
      </c>
    </row>
    <row r="17" spans="1:17">
      <c r="A17" s="67" t="s">
        <v>111</v>
      </c>
      <c r="B17" s="82">
        <v>64273011.980000004</v>
      </c>
      <c r="C17" s="82">
        <v>3188543.0866047665</v>
      </c>
      <c r="D17" s="45">
        <f t="shared" si="0"/>
        <v>4.9609361509259181E-2</v>
      </c>
      <c r="E17" s="82">
        <v>6241991.8335868921</v>
      </c>
      <c r="F17" s="45">
        <f t="shared" si="1"/>
        <v>9.7116840199261686E-2</v>
      </c>
      <c r="G17" s="84">
        <v>16459026.558778552</v>
      </c>
      <c r="H17" s="45">
        <f t="shared" si="2"/>
        <v>0.25607990121732821</v>
      </c>
      <c r="K17">
        <v>2028</v>
      </c>
      <c r="L17">
        <v>103</v>
      </c>
      <c r="M17">
        <v>297</v>
      </c>
      <c r="N17">
        <v>467</v>
      </c>
      <c r="O17" s="45">
        <f t="shared" si="3"/>
        <v>5.0788954635108484E-2</v>
      </c>
      <c r="P17" s="45">
        <f t="shared" si="3"/>
        <v>0.14644970414201183</v>
      </c>
      <c r="Q17" s="45">
        <f t="shared" si="3"/>
        <v>0.23027613412228798</v>
      </c>
    </row>
    <row r="18" spans="1:17">
      <c r="A18" s="67" t="s">
        <v>112</v>
      </c>
      <c r="B18" s="82">
        <v>65927166.600000001</v>
      </c>
      <c r="C18" s="82">
        <v>3206358.33</v>
      </c>
      <c r="D18" s="45">
        <f t="shared" si="0"/>
        <v>4.8634857151588856E-2</v>
      </c>
      <c r="E18" s="82">
        <v>6712716.6600000001</v>
      </c>
      <c r="F18" s="45">
        <f t="shared" si="1"/>
        <v>0.1018201904645482</v>
      </c>
      <c r="G18" s="84">
        <v>17381791.649999999</v>
      </c>
      <c r="H18" s="45">
        <f t="shared" si="2"/>
        <v>0.26365142848411138</v>
      </c>
      <c r="K18">
        <v>645</v>
      </c>
      <c r="L18">
        <v>32</v>
      </c>
      <c r="M18">
        <v>64</v>
      </c>
      <c r="N18">
        <v>162</v>
      </c>
      <c r="O18" s="45">
        <f t="shared" si="3"/>
        <v>4.9612403100775193E-2</v>
      </c>
      <c r="P18" s="45">
        <f t="shared" si="3"/>
        <v>9.9224806201550386E-2</v>
      </c>
      <c r="Q18" s="45">
        <f t="shared" si="3"/>
        <v>0.25116279069767444</v>
      </c>
    </row>
    <row r="19" spans="1:17">
      <c r="A19" s="67" t="s">
        <v>113</v>
      </c>
      <c r="B19" s="82">
        <v>24048000</v>
      </c>
      <c r="C19" s="82">
        <v>1170975.7334299167</v>
      </c>
      <c r="D19" s="45">
        <f t="shared" si="0"/>
        <v>4.8693269021536791E-2</v>
      </c>
      <c r="E19" s="82">
        <v>2373904.3824701197</v>
      </c>
      <c r="F19" s="45">
        <f t="shared" si="1"/>
        <v>9.8715252098724213E-2</v>
      </c>
      <c r="G19" s="84">
        <v>5918784.4983701566</v>
      </c>
      <c r="H19" s="45">
        <f t="shared" si="2"/>
        <v>0.24612377321898521</v>
      </c>
      <c r="K19">
        <v>2226</v>
      </c>
      <c r="L19">
        <v>111</v>
      </c>
      <c r="M19">
        <v>223</v>
      </c>
      <c r="N19">
        <v>632</v>
      </c>
      <c r="O19" s="45">
        <f t="shared" si="3"/>
        <v>4.9865229110512131E-2</v>
      </c>
      <c r="P19" s="45">
        <f t="shared" si="3"/>
        <v>0.10017969451931716</v>
      </c>
      <c r="Q19" s="45">
        <f t="shared" si="3"/>
        <v>0.28391734052111411</v>
      </c>
    </row>
    <row r="20" spans="1:17">
      <c r="A20" s="67" t="s">
        <v>114</v>
      </c>
      <c r="B20" s="82">
        <v>87030000</v>
      </c>
      <c r="C20" s="82">
        <v>4350501.6831092127</v>
      </c>
      <c r="D20" s="45">
        <f t="shared" si="0"/>
        <v>4.9988529048709783E-2</v>
      </c>
      <c r="E20" s="82">
        <v>8208542.3179221991</v>
      </c>
      <c r="F20" s="45">
        <f t="shared" si="1"/>
        <v>9.431853749192462E-2</v>
      </c>
      <c r="G20" s="84">
        <v>20676677.228044521</v>
      </c>
      <c r="H20" s="45">
        <f t="shared" si="2"/>
        <v>0.23758103215034496</v>
      </c>
      <c r="K20">
        <v>520</v>
      </c>
      <c r="L20">
        <v>26</v>
      </c>
      <c r="M20">
        <v>52</v>
      </c>
      <c r="N20">
        <v>130</v>
      </c>
      <c r="O20" s="45">
        <f t="shared" si="3"/>
        <v>0.05</v>
      </c>
      <c r="P20" s="45">
        <f t="shared" si="3"/>
        <v>0.1</v>
      </c>
      <c r="Q20" s="45">
        <f t="shared" si="3"/>
        <v>0.25</v>
      </c>
    </row>
    <row r="21" spans="1:17">
      <c r="A21" s="67" t="s">
        <v>115</v>
      </c>
      <c r="B21" s="82">
        <v>26955000</v>
      </c>
      <c r="C21" s="82">
        <v>1333815.3227424563</v>
      </c>
      <c r="D21" s="45">
        <f t="shared" si="0"/>
        <v>4.9483039241048278E-2</v>
      </c>
      <c r="E21" s="82">
        <v>3018356.8460514187</v>
      </c>
      <c r="F21" s="45">
        <f t="shared" si="1"/>
        <v>0.11197762367098567</v>
      </c>
      <c r="G21" s="84">
        <v>6893495.0714064566</v>
      </c>
      <c r="H21" s="45">
        <f t="shared" si="2"/>
        <v>0.25574086705273441</v>
      </c>
      <c r="K21">
        <v>1052</v>
      </c>
      <c r="L21">
        <v>54</v>
      </c>
      <c r="M21">
        <v>105</v>
      </c>
      <c r="N21">
        <v>263</v>
      </c>
      <c r="O21" s="45">
        <f t="shared" si="3"/>
        <v>5.1330798479087454E-2</v>
      </c>
      <c r="P21" s="45">
        <f t="shared" si="3"/>
        <v>9.9809885931558942E-2</v>
      </c>
      <c r="Q21" s="45">
        <f t="shared" si="3"/>
        <v>0.25</v>
      </c>
    </row>
    <row r="22" spans="1:17">
      <c r="A22" s="67" t="s">
        <v>116</v>
      </c>
      <c r="B22" s="82">
        <v>55450000</v>
      </c>
      <c r="C22" s="82">
        <v>2458572.8381807264</v>
      </c>
      <c r="D22" s="45">
        <f t="shared" si="0"/>
        <v>4.4338554340500026E-2</v>
      </c>
      <c r="E22" s="82">
        <v>5287263.053405989</v>
      </c>
      <c r="F22" s="45">
        <f t="shared" si="1"/>
        <v>9.5351903578106204E-2</v>
      </c>
      <c r="G22" s="84">
        <v>14514543.299744399</v>
      </c>
      <c r="H22" s="45">
        <f t="shared" si="2"/>
        <v>0.26175912172667987</v>
      </c>
      <c r="K22">
        <v>1146</v>
      </c>
      <c r="L22">
        <v>58</v>
      </c>
      <c r="M22">
        <v>127</v>
      </c>
      <c r="N22">
        <v>295</v>
      </c>
      <c r="O22" s="45">
        <f t="shared" si="3"/>
        <v>5.06108202443281E-2</v>
      </c>
      <c r="P22" s="45">
        <f t="shared" si="3"/>
        <v>0.11082024432809773</v>
      </c>
      <c r="Q22" s="45">
        <f t="shared" si="3"/>
        <v>0.25741710296684117</v>
      </c>
    </row>
    <row r="23" spans="1:17">
      <c r="A23" s="67" t="s">
        <v>117</v>
      </c>
      <c r="B23" s="82">
        <v>5860000</v>
      </c>
      <c r="C23" s="82">
        <v>237000</v>
      </c>
      <c r="D23" s="45">
        <f t="shared" si="0"/>
        <v>4.0443686006825935E-2</v>
      </c>
      <c r="E23" s="82">
        <v>322000</v>
      </c>
      <c r="F23" s="45">
        <f t="shared" si="1"/>
        <v>5.4948805460750851E-2</v>
      </c>
      <c r="G23" s="84">
        <v>1155000</v>
      </c>
      <c r="H23" s="45">
        <f t="shared" si="2"/>
        <v>0.19709897610921501</v>
      </c>
      <c r="K23">
        <v>432</v>
      </c>
      <c r="L23">
        <v>19</v>
      </c>
      <c r="M23">
        <v>41</v>
      </c>
      <c r="N23">
        <v>113</v>
      </c>
      <c r="O23" s="45">
        <f t="shared" si="3"/>
        <v>4.3981481481481483E-2</v>
      </c>
      <c r="P23" s="45">
        <f t="shared" si="3"/>
        <v>9.4907407407407413E-2</v>
      </c>
      <c r="Q23" s="45">
        <f t="shared" si="3"/>
        <v>0.26157407407407407</v>
      </c>
    </row>
    <row r="24" spans="1:17">
      <c r="A24" s="67" t="s">
        <v>118</v>
      </c>
      <c r="B24" s="82">
        <v>13766766.09</v>
      </c>
      <c r="C24" s="82">
        <v>679369.66889421642</v>
      </c>
      <c r="D24" s="45">
        <f t="shared" si="0"/>
        <v>4.9348529963598474E-2</v>
      </c>
      <c r="E24" s="82">
        <v>1975609.0066826497</v>
      </c>
      <c r="F24" s="45">
        <f t="shared" si="1"/>
        <v>0.14350567110439294</v>
      </c>
      <c r="G24" s="84">
        <v>3345799.8094916581</v>
      </c>
      <c r="H24" s="45">
        <f t="shared" si="2"/>
        <v>0.24303455057044979</v>
      </c>
      <c r="K24">
        <v>160</v>
      </c>
      <c r="L24">
        <v>7</v>
      </c>
      <c r="M24">
        <v>12</v>
      </c>
      <c r="N24">
        <v>36</v>
      </c>
      <c r="O24" s="45">
        <f t="shared" si="3"/>
        <v>4.3749999999999997E-2</v>
      </c>
      <c r="P24" s="45">
        <f t="shared" si="3"/>
        <v>7.4999999999999997E-2</v>
      </c>
      <c r="Q24" s="45">
        <f t="shared" si="3"/>
        <v>0.22500000000000001</v>
      </c>
    </row>
    <row r="25" spans="1:17">
      <c r="A25" s="67" t="s">
        <v>119</v>
      </c>
      <c r="B25" s="82">
        <v>41870000</v>
      </c>
      <c r="C25" s="82">
        <v>3167621.3960546283</v>
      </c>
      <c r="D25" s="45">
        <f t="shared" si="0"/>
        <v>7.5653723335434159E-2</v>
      </c>
      <c r="E25" s="82">
        <v>4689089.5295902882</v>
      </c>
      <c r="F25" s="45">
        <f t="shared" si="1"/>
        <v>0.11199162955792424</v>
      </c>
      <c r="G25" s="84">
        <v>10915800.455235206</v>
      </c>
      <c r="H25" s="45">
        <f t="shared" si="2"/>
        <v>0.26070696095617879</v>
      </c>
      <c r="K25">
        <v>521</v>
      </c>
      <c r="L25">
        <v>26</v>
      </c>
      <c r="M25">
        <v>77</v>
      </c>
      <c r="N25">
        <v>130</v>
      </c>
      <c r="O25" s="45">
        <f t="shared" si="3"/>
        <v>4.9904030710172742E-2</v>
      </c>
      <c r="P25" s="45">
        <f t="shared" si="3"/>
        <v>0.14779270633397312</v>
      </c>
      <c r="Q25" s="45">
        <f t="shared" si="3"/>
        <v>0.24952015355086371</v>
      </c>
    </row>
    <row r="26" spans="1:17">
      <c r="A26" s="67" t="s">
        <v>120</v>
      </c>
      <c r="B26" s="82">
        <v>270750000</v>
      </c>
      <c r="C26" s="82">
        <v>12836000</v>
      </c>
      <c r="D26" s="45">
        <f t="shared" si="0"/>
        <v>4.7409048938134808E-2</v>
      </c>
      <c r="E26" s="82">
        <v>26825000</v>
      </c>
      <c r="F26" s="45">
        <f t="shared" si="1"/>
        <v>9.9076638965835642E-2</v>
      </c>
      <c r="G26" s="84">
        <v>68336000</v>
      </c>
      <c r="H26" s="45">
        <f t="shared" si="2"/>
        <v>0.25239519852262232</v>
      </c>
      <c r="K26">
        <v>1043</v>
      </c>
      <c r="L26">
        <v>61</v>
      </c>
      <c r="M26">
        <v>107</v>
      </c>
      <c r="N26">
        <v>266</v>
      </c>
      <c r="O26" s="45">
        <f t="shared" si="3"/>
        <v>5.8485139022051776E-2</v>
      </c>
      <c r="P26" s="45">
        <f t="shared" si="3"/>
        <v>0.10258868648130393</v>
      </c>
      <c r="Q26" s="45">
        <f t="shared" si="3"/>
        <v>0.25503355704697989</v>
      </c>
    </row>
    <row r="27" spans="1:17">
      <c r="A27" s="67" t="s">
        <v>121</v>
      </c>
      <c r="B27" s="82">
        <v>12050000</v>
      </c>
      <c r="C27" s="82">
        <v>559957.14285714296</v>
      </c>
      <c r="D27" s="45">
        <f t="shared" si="0"/>
        <v>4.6469472436277422E-2</v>
      </c>
      <c r="E27" s="82">
        <v>1159914.2857142857</v>
      </c>
      <c r="F27" s="45">
        <f t="shared" si="1"/>
        <v>9.6258446947243628E-2</v>
      </c>
      <c r="G27" s="84">
        <v>2837385.7142857146</v>
      </c>
      <c r="H27" s="45">
        <f t="shared" si="2"/>
        <v>0.23546769413159457</v>
      </c>
      <c r="K27">
        <v>986</v>
      </c>
      <c r="L27">
        <v>49</v>
      </c>
      <c r="M27">
        <v>98</v>
      </c>
      <c r="N27">
        <v>248</v>
      </c>
      <c r="O27" s="45">
        <f t="shared" si="3"/>
        <v>4.9695740365111561E-2</v>
      </c>
      <c r="P27" s="45">
        <f t="shared" si="3"/>
        <v>9.9391480730223122E-2</v>
      </c>
      <c r="Q27" s="45">
        <f t="shared" si="3"/>
        <v>0.25152129817444219</v>
      </c>
    </row>
    <row r="28" spans="1:17">
      <c r="A28" s="67" t="s">
        <v>122</v>
      </c>
      <c r="B28" s="82">
        <v>24670000</v>
      </c>
      <c r="C28" s="82">
        <v>1134054.9682875264</v>
      </c>
      <c r="D28" s="45">
        <f t="shared" si="0"/>
        <v>4.5968989391468436E-2</v>
      </c>
      <c r="E28" s="82">
        <v>2885643.1591664152</v>
      </c>
      <c r="F28" s="45">
        <f t="shared" si="1"/>
        <v>0.11696972675988712</v>
      </c>
      <c r="G28" s="84">
        <v>5905523.1048021745</v>
      </c>
      <c r="H28" s="45">
        <f t="shared" si="2"/>
        <v>0.2393807500933188</v>
      </c>
      <c r="K28">
        <v>232</v>
      </c>
      <c r="L28">
        <v>11</v>
      </c>
      <c r="M28">
        <v>23</v>
      </c>
      <c r="N28">
        <v>57</v>
      </c>
      <c r="O28" s="45">
        <f t="shared" si="3"/>
        <v>4.7413793103448273E-2</v>
      </c>
      <c r="P28" s="45">
        <f t="shared" si="3"/>
        <v>9.9137931034482762E-2</v>
      </c>
      <c r="Q28" s="45">
        <f t="shared" si="3"/>
        <v>0.24568965517241378</v>
      </c>
    </row>
    <row r="29" spans="1:17">
      <c r="A29" s="70" t="s">
        <v>20</v>
      </c>
      <c r="B29" s="83">
        <v>1353882736.3000002</v>
      </c>
      <c r="C29" s="83">
        <v>79943249.926572233</v>
      </c>
      <c r="D29" s="73">
        <f>MEDIAN(D2:D28)</f>
        <v>4.9483039241048278E-2</v>
      </c>
      <c r="E29" s="83">
        <v>150043152.55587512</v>
      </c>
      <c r="F29" s="73">
        <f>MEDIAN(F2:F28)</f>
        <v>0.10184683391460385</v>
      </c>
      <c r="G29" s="85">
        <v>353801832.44465744</v>
      </c>
      <c r="H29" s="73">
        <f>MEDIAN(H2:H28)</f>
        <v>0.24677944519208239</v>
      </c>
      <c r="K29">
        <v>581</v>
      </c>
      <c r="L29">
        <v>29</v>
      </c>
      <c r="M29">
        <v>85</v>
      </c>
      <c r="N29">
        <v>126</v>
      </c>
      <c r="O29" s="45">
        <f t="shared" si="3"/>
        <v>4.9913941480206538E-2</v>
      </c>
      <c r="P29" s="45">
        <f t="shared" si="3"/>
        <v>0.14629948364888123</v>
      </c>
      <c r="Q29" s="45">
        <f t="shared" si="3"/>
        <v>0.21686746987951808</v>
      </c>
    </row>
    <row r="30" spans="1:17">
      <c r="K30" s="71">
        <v>25973</v>
      </c>
      <c r="L30" s="71">
        <v>1531</v>
      </c>
      <c r="M30" s="71">
        <v>3163</v>
      </c>
      <c r="N30" s="71">
        <v>6749</v>
      </c>
      <c r="O30" s="73">
        <f>MEDIAN(O3:O29)</f>
        <v>5.0546448087431695E-2</v>
      </c>
      <c r="P30" s="73">
        <f>MEDIAN(P3:P29)</f>
        <v>0.10119047619047619</v>
      </c>
      <c r="Q30" s="73">
        <f>MEDIAN(Q3:Q29)</f>
        <v>0.25016812373907193</v>
      </c>
    </row>
    <row r="36" spans="1:5" ht="29">
      <c r="A36" s="91" t="s">
        <v>89</v>
      </c>
      <c r="B36" s="98" t="s">
        <v>129</v>
      </c>
      <c r="C36" s="95" t="s">
        <v>130</v>
      </c>
      <c r="D36" s="95" t="s">
        <v>131</v>
      </c>
      <c r="E36" s="95" t="s">
        <v>132</v>
      </c>
    </row>
    <row r="37" spans="1:5">
      <c r="A37" t="s">
        <v>99</v>
      </c>
      <c r="B37" s="99">
        <v>8821792.4692580514</v>
      </c>
      <c r="C37" s="93">
        <v>0.27064043467563792</v>
      </c>
      <c r="D37">
        <v>184</v>
      </c>
      <c r="E37" s="45">
        <v>0.27586206896551724</v>
      </c>
    </row>
    <row r="38" spans="1:5">
      <c r="A38" t="s">
        <v>94</v>
      </c>
      <c r="B38" s="99">
        <v>3270862.8531009429</v>
      </c>
      <c r="C38" s="93">
        <v>0.22473445182372728</v>
      </c>
      <c r="D38">
        <v>143</v>
      </c>
      <c r="E38" s="45">
        <v>0.29853862212943633</v>
      </c>
    </row>
    <row r="39" spans="1:5">
      <c r="A39" t="s">
        <v>118</v>
      </c>
      <c r="B39" s="99">
        <v>1975609.0066826497</v>
      </c>
      <c r="C39" s="93">
        <v>0.14350567110439294</v>
      </c>
      <c r="D39">
        <v>77</v>
      </c>
      <c r="E39" s="45">
        <v>0.14779270633397312</v>
      </c>
    </row>
    <row r="40" spans="1:5">
      <c r="A40" t="s">
        <v>100</v>
      </c>
      <c r="B40" s="99">
        <v>10185518.394824337</v>
      </c>
      <c r="C40" s="93">
        <v>0.14183983282028043</v>
      </c>
      <c r="D40">
        <v>171</v>
      </c>
      <c r="E40" s="45">
        <v>0.16086547507055504</v>
      </c>
    </row>
    <row r="41" spans="1:5">
      <c r="A41" t="s">
        <v>110</v>
      </c>
      <c r="B41" s="99">
        <v>4968141.3245306369</v>
      </c>
      <c r="C41" s="93">
        <v>0.13955453158793923</v>
      </c>
      <c r="D41">
        <v>297</v>
      </c>
      <c r="E41" s="45">
        <v>0.14644970414201183</v>
      </c>
    </row>
    <row r="42" spans="1:5">
      <c r="A42" t="s">
        <v>102</v>
      </c>
      <c r="B42" s="99">
        <v>4192498.9257734716</v>
      </c>
      <c r="C42" s="93">
        <v>0.1374310135561079</v>
      </c>
      <c r="D42">
        <v>21</v>
      </c>
      <c r="E42" s="45">
        <v>0.11797752808988764</v>
      </c>
    </row>
    <row r="43" spans="1:5">
      <c r="A43" t="s">
        <v>107</v>
      </c>
      <c r="B43" s="99">
        <v>2527118.9560439559</v>
      </c>
      <c r="C43" s="93">
        <v>0.13316044662472104</v>
      </c>
      <c r="D43">
        <v>166</v>
      </c>
      <c r="E43" s="45">
        <v>0.21419354838709678</v>
      </c>
    </row>
    <row r="44" spans="1:5">
      <c r="A44" t="s">
        <v>122</v>
      </c>
      <c r="B44" s="99">
        <v>2885643.1591664152</v>
      </c>
      <c r="C44" s="93">
        <v>0.11696972675988712</v>
      </c>
      <c r="D44">
        <v>85</v>
      </c>
      <c r="E44" s="45">
        <v>0.14629948364888123</v>
      </c>
    </row>
    <row r="45" spans="1:5">
      <c r="A45" t="s">
        <v>119</v>
      </c>
      <c r="B45" s="99">
        <v>4689089.5295902882</v>
      </c>
      <c r="C45" s="93">
        <v>0.11199162955792424</v>
      </c>
      <c r="D45">
        <v>107</v>
      </c>
      <c r="E45" s="45">
        <v>0.10258868648130393</v>
      </c>
    </row>
    <row r="46" spans="1:5">
      <c r="A46" t="s">
        <v>115</v>
      </c>
      <c r="B46" s="99">
        <v>3018356.8460514187</v>
      </c>
      <c r="C46" s="93">
        <v>0.11197762367098567</v>
      </c>
      <c r="D46">
        <v>127</v>
      </c>
      <c r="E46" s="45">
        <v>0.11082024432809773</v>
      </c>
    </row>
    <row r="47" spans="1:5">
      <c r="A47" t="s">
        <v>101</v>
      </c>
      <c r="B47" s="99">
        <v>9539142.3944476582</v>
      </c>
      <c r="C47" s="93">
        <v>0.10894530995611711</v>
      </c>
      <c r="D47">
        <v>134</v>
      </c>
      <c r="E47" s="45">
        <v>0.14164904862579281</v>
      </c>
    </row>
    <row r="48" spans="1:5">
      <c r="A48" t="s">
        <v>105</v>
      </c>
      <c r="B48" s="99">
        <v>3204336.124401914</v>
      </c>
      <c r="C48" s="93">
        <v>0.10319923105964296</v>
      </c>
      <c r="D48">
        <v>119</v>
      </c>
      <c r="E48" s="45">
        <v>0.10119047619047619</v>
      </c>
    </row>
    <row r="49" spans="1:5">
      <c r="A49" t="s">
        <v>108</v>
      </c>
      <c r="B49" s="99">
        <v>13276558.294056913</v>
      </c>
      <c r="C49" s="93">
        <v>0.10211755249731305</v>
      </c>
      <c r="D49">
        <v>428</v>
      </c>
      <c r="E49" s="45">
        <v>0.10154211150652431</v>
      </c>
    </row>
    <row r="50" spans="1:5">
      <c r="A50" t="s">
        <v>98</v>
      </c>
      <c r="B50" s="99">
        <v>1656722.0779220778</v>
      </c>
      <c r="C50" s="93">
        <v>0.10184683391460385</v>
      </c>
      <c r="D50">
        <v>74</v>
      </c>
      <c r="E50" s="45">
        <v>0.10109289617486339</v>
      </c>
    </row>
    <row r="51" spans="1:5">
      <c r="A51" t="s">
        <v>112</v>
      </c>
      <c r="B51" s="99">
        <v>6712716.6600000001</v>
      </c>
      <c r="C51" s="93">
        <v>0.1018201904645482</v>
      </c>
      <c r="D51">
        <v>223</v>
      </c>
      <c r="E51" s="45">
        <v>0.10017969451931716</v>
      </c>
    </row>
    <row r="52" spans="1:5">
      <c r="A52" t="s">
        <v>109</v>
      </c>
      <c r="B52" s="99">
        <v>5927860.4194659162</v>
      </c>
      <c r="C52" s="93">
        <v>9.9726374003152957E-2</v>
      </c>
      <c r="D52">
        <v>148</v>
      </c>
      <c r="E52" s="45">
        <v>9.9529253530598522E-2</v>
      </c>
    </row>
    <row r="53" spans="1:5">
      <c r="A53" t="s">
        <v>120</v>
      </c>
      <c r="B53" s="99">
        <v>26825000</v>
      </c>
      <c r="C53" s="93">
        <v>9.9076638965835642E-2</v>
      </c>
      <c r="D53">
        <v>98</v>
      </c>
      <c r="E53" s="45">
        <v>9.9391480730223122E-2</v>
      </c>
    </row>
    <row r="54" spans="1:5">
      <c r="A54" t="s">
        <v>103</v>
      </c>
      <c r="B54" s="99">
        <v>4102756.3924193261</v>
      </c>
      <c r="C54" s="93">
        <v>9.8790185225603802E-2</v>
      </c>
      <c r="D54">
        <v>57</v>
      </c>
      <c r="E54" s="45">
        <v>9.3596059113300489E-2</v>
      </c>
    </row>
    <row r="55" spans="1:5">
      <c r="A55" t="s">
        <v>113</v>
      </c>
      <c r="B55" s="99">
        <v>2373904.3824701197</v>
      </c>
      <c r="C55" s="93">
        <v>9.8715252098724213E-2</v>
      </c>
      <c r="D55">
        <v>52</v>
      </c>
      <c r="E55" s="45">
        <v>0.1</v>
      </c>
    </row>
    <row r="56" spans="1:5">
      <c r="A56" t="s">
        <v>111</v>
      </c>
      <c r="B56" s="99">
        <v>6241991.8335868921</v>
      </c>
      <c r="C56" s="93">
        <v>9.7116840199261686E-2</v>
      </c>
      <c r="D56">
        <v>64</v>
      </c>
      <c r="E56" s="45">
        <v>9.9224806201550386E-2</v>
      </c>
    </row>
    <row r="57" spans="1:5">
      <c r="A57" t="s">
        <v>121</v>
      </c>
      <c r="B57" s="99">
        <v>1159914.2857142857</v>
      </c>
      <c r="C57" s="93">
        <v>9.6258446947243628E-2</v>
      </c>
      <c r="D57">
        <v>23</v>
      </c>
      <c r="E57" s="45">
        <v>9.9137931034482762E-2</v>
      </c>
    </row>
    <row r="58" spans="1:5">
      <c r="A58" t="s">
        <v>97</v>
      </c>
      <c r="B58" s="99">
        <v>2463523.7638668236</v>
      </c>
      <c r="C58" s="93">
        <v>9.6168662000445951E-2</v>
      </c>
      <c r="D58">
        <v>129</v>
      </c>
      <c r="E58" s="45">
        <v>0.10173501577287067</v>
      </c>
    </row>
    <row r="59" spans="1:5">
      <c r="A59" t="s">
        <v>116</v>
      </c>
      <c r="B59" s="99">
        <v>5287263.053405989</v>
      </c>
      <c r="C59" s="93">
        <v>9.5351903578106204E-2</v>
      </c>
      <c r="D59">
        <v>41</v>
      </c>
      <c r="E59" s="45">
        <v>9.4907407407407413E-2</v>
      </c>
    </row>
    <row r="60" spans="1:5">
      <c r="A60" t="s">
        <v>104</v>
      </c>
      <c r="B60" s="99">
        <v>4480021.6588512547</v>
      </c>
      <c r="C60" s="93">
        <v>9.4787188110427703E-2</v>
      </c>
      <c r="D60">
        <v>56</v>
      </c>
      <c r="E60" s="45">
        <v>9.7222222222222224E-2</v>
      </c>
    </row>
    <row r="61" spans="1:5">
      <c r="A61" t="s">
        <v>114</v>
      </c>
      <c r="B61" s="99">
        <v>8208542.3179221991</v>
      </c>
      <c r="C61" s="93">
        <v>9.431853749192462E-2</v>
      </c>
      <c r="D61">
        <v>105</v>
      </c>
      <c r="E61" s="45">
        <v>9.9809885931558942E-2</v>
      </c>
    </row>
    <row r="62" spans="1:5">
      <c r="A62" t="s">
        <v>106</v>
      </c>
      <c r="B62" s="99">
        <v>1726267.432321575</v>
      </c>
      <c r="C62" s="93">
        <v>9.3574774085081039E-2</v>
      </c>
      <c r="D62">
        <v>22</v>
      </c>
      <c r="E62" s="45">
        <v>9.5652173913043481E-2</v>
      </c>
    </row>
    <row r="63" spans="1:5">
      <c r="A63" t="s">
        <v>117</v>
      </c>
      <c r="B63" s="99">
        <v>322000</v>
      </c>
      <c r="C63" s="93">
        <v>5.4948805460750851E-2</v>
      </c>
      <c r="D63">
        <v>12</v>
      </c>
      <c r="E63" s="93">
        <v>7.4999999999999997E-2</v>
      </c>
    </row>
    <row r="64" spans="1:5">
      <c r="A64" s="86"/>
      <c r="B64" s="96"/>
      <c r="C64" s="96"/>
      <c r="D64" s="96"/>
      <c r="E64" s="93"/>
    </row>
    <row r="70" spans="1:3">
      <c r="A70" s="103" t="s">
        <v>45</v>
      </c>
      <c r="B70" s="45">
        <f>C70/B74</f>
        <v>0.2566930239266314</v>
      </c>
      <c r="C70" s="104">
        <v>416774027</v>
      </c>
    </row>
    <row r="71" spans="1:3">
      <c r="A71" s="103" t="s">
        <v>46</v>
      </c>
      <c r="B71" s="45">
        <f>C71/B74</f>
        <v>0.10830155652281273</v>
      </c>
      <c r="C71" s="104">
        <v>175841459</v>
      </c>
    </row>
    <row r="72" spans="1:3">
      <c r="A72" s="103" t="s">
        <v>47</v>
      </c>
      <c r="B72" s="45">
        <f>C72/B74</f>
        <v>5.6872030920818356E-2</v>
      </c>
      <c r="C72" s="104">
        <v>92339032</v>
      </c>
    </row>
    <row r="73" spans="1:3">
      <c r="A73" s="103" t="s">
        <v>48</v>
      </c>
      <c r="B73" s="45">
        <f>C73/B74</f>
        <v>0.57813338862973751</v>
      </c>
      <c r="C73" s="104">
        <v>938673661</v>
      </c>
    </row>
    <row r="74" spans="1:3">
      <c r="B74" s="82">
        <f>SUM(C70:C73)</f>
        <v>1623628179</v>
      </c>
      <c r="C74" s="93">
        <f>SUM(B70:B73)</f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2"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8297-E0C0-461B-9E17-A4D05A3E554A}">
  <dimension ref="A1:Q64"/>
  <sheetViews>
    <sheetView topLeftCell="A31" zoomScale="57" zoomScaleNormal="57" workbookViewId="0">
      <selection activeCell="A36" sqref="A36"/>
    </sheetView>
  </sheetViews>
  <sheetFormatPr defaultColWidth="10.81640625" defaultRowHeight="14.5"/>
  <cols>
    <col min="1" max="1" width="24.54296875" customWidth="1"/>
    <col min="2" max="2" width="21.81640625" style="82" customWidth="1"/>
    <col min="3" max="3" width="24.453125" style="82" customWidth="1"/>
    <col min="4" max="4" width="20.54296875" customWidth="1"/>
    <col min="5" max="5" width="31.7265625" style="82" customWidth="1"/>
    <col min="6" max="6" width="24.453125" style="45" customWidth="1"/>
    <col min="7" max="7" width="27.81640625" style="84" customWidth="1"/>
    <col min="8" max="8" width="20.54296875" customWidth="1"/>
    <col min="11" max="11" width="17.453125" bestFit="1" customWidth="1"/>
    <col min="12" max="12" width="20.54296875" bestFit="1" customWidth="1"/>
    <col min="13" max="13" width="25.453125" bestFit="1" customWidth="1"/>
    <col min="14" max="14" width="23" bestFit="1" customWidth="1"/>
    <col min="15" max="15" width="13" style="45" bestFit="1" customWidth="1"/>
    <col min="16" max="16" width="23.1796875" style="45" bestFit="1" customWidth="1"/>
    <col min="17" max="17" width="20.54296875" style="45" bestFit="1" customWidth="1"/>
  </cols>
  <sheetData>
    <row r="1" spans="1:17" ht="20.149999999999999" customHeight="1">
      <c r="A1" s="87" t="s">
        <v>89</v>
      </c>
      <c r="B1" s="88" t="s">
        <v>90</v>
      </c>
      <c r="C1" s="88" t="s">
        <v>91</v>
      </c>
      <c r="D1" s="87" t="s">
        <v>85</v>
      </c>
      <c r="E1" s="88" t="s">
        <v>92</v>
      </c>
      <c r="F1" s="89" t="s">
        <v>86</v>
      </c>
      <c r="G1" s="90" t="s">
        <v>93</v>
      </c>
      <c r="H1" s="87" t="s">
        <v>87</v>
      </c>
    </row>
    <row r="2" spans="1:17" ht="14.5" customHeight="1">
      <c r="A2" s="67" t="s">
        <v>94</v>
      </c>
      <c r="B2" s="82">
        <v>14554345.48</v>
      </c>
      <c r="C2" s="82">
        <v>2005888.4941265839</v>
      </c>
      <c r="D2" s="45">
        <f t="shared" ref="D2:D28" si="0">C2/B2</f>
        <v>0.13782059089383275</v>
      </c>
      <c r="E2" s="82">
        <v>3270862.8531009429</v>
      </c>
      <c r="F2" s="45">
        <f t="shared" ref="F2:F28" si="1">E2/B2</f>
        <v>0.22473445182372728</v>
      </c>
      <c r="G2" s="84">
        <v>3309759.2681612917</v>
      </c>
      <c r="H2" s="45">
        <f t="shared" ref="H2:H28" si="2">G2/B2</f>
        <v>0.2274069467919001</v>
      </c>
      <c r="K2" s="69" t="s">
        <v>28</v>
      </c>
      <c r="L2" s="69" t="s">
        <v>31</v>
      </c>
      <c r="M2" s="69" t="s">
        <v>30</v>
      </c>
      <c r="N2" s="69" t="s">
        <v>29</v>
      </c>
      <c r="O2" s="72" t="s">
        <v>53</v>
      </c>
      <c r="P2" s="72" t="s">
        <v>95</v>
      </c>
      <c r="Q2" s="72" t="s">
        <v>96</v>
      </c>
    </row>
    <row r="3" spans="1:17">
      <c r="A3" s="67" t="s">
        <v>97</v>
      </c>
      <c r="B3" s="82">
        <v>25616700</v>
      </c>
      <c r="C3" s="82">
        <v>1538565.9774556381</v>
      </c>
      <c r="D3" s="45">
        <f t="shared" si="0"/>
        <v>6.0061053041790637E-2</v>
      </c>
      <c r="E3" s="82">
        <v>2463523.7638668236</v>
      </c>
      <c r="F3" s="45">
        <f t="shared" si="1"/>
        <v>9.6168662000445951E-2</v>
      </c>
      <c r="G3" s="84">
        <v>6285252.4649804393</v>
      </c>
      <c r="H3" s="45">
        <f t="shared" si="2"/>
        <v>0.24535761690539529</v>
      </c>
      <c r="K3">
        <v>479</v>
      </c>
      <c r="L3">
        <v>71</v>
      </c>
      <c r="M3">
        <v>143</v>
      </c>
      <c r="N3">
        <v>100</v>
      </c>
      <c r="O3" s="45">
        <f>L3/$K3</f>
        <v>0.14822546972860126</v>
      </c>
      <c r="P3" s="45">
        <f>M3/$K3</f>
        <v>0.29853862212943633</v>
      </c>
      <c r="Q3" s="45">
        <f>N3/$K3</f>
        <v>0.20876826722338204</v>
      </c>
    </row>
    <row r="4" spans="1:17">
      <c r="A4" s="67" t="s">
        <v>98</v>
      </c>
      <c r="B4" s="82">
        <v>16266800</v>
      </c>
      <c r="C4" s="82">
        <v>881932.46753246756</v>
      </c>
      <c r="D4" s="45">
        <f t="shared" si="0"/>
        <v>5.4216715489983747E-2</v>
      </c>
      <c r="E4" s="82">
        <v>1656722.0779220778</v>
      </c>
      <c r="F4" s="45">
        <f t="shared" si="1"/>
        <v>0.10184683391460385</v>
      </c>
      <c r="G4" s="84">
        <v>4124451.9480519481</v>
      </c>
      <c r="H4" s="45">
        <f t="shared" si="2"/>
        <v>0.25355029557454128</v>
      </c>
      <c r="K4">
        <v>1268</v>
      </c>
      <c r="L4">
        <v>80</v>
      </c>
      <c r="M4">
        <v>129</v>
      </c>
      <c r="N4">
        <v>322</v>
      </c>
      <c r="O4" s="45">
        <f t="shared" ref="O4:Q29" si="3">L4/$K4</f>
        <v>6.3091482649842268E-2</v>
      </c>
      <c r="P4" s="45">
        <f t="shared" si="3"/>
        <v>0.10173501577287067</v>
      </c>
      <c r="Q4" s="45">
        <f t="shared" si="3"/>
        <v>0.25394321766561512</v>
      </c>
    </row>
    <row r="5" spans="1:17">
      <c r="A5" s="67" t="s">
        <v>99</v>
      </c>
      <c r="B5" s="82">
        <v>32595988.399999999</v>
      </c>
      <c r="C5" s="82">
        <v>2574178.4949162058</v>
      </c>
      <c r="D5" s="45">
        <f t="shared" si="0"/>
        <v>7.8972248465894221E-2</v>
      </c>
      <c r="E5" s="82">
        <v>8821792.4692580514</v>
      </c>
      <c r="F5" s="45">
        <f t="shared" si="1"/>
        <v>0.27064043467563792</v>
      </c>
      <c r="G5" s="84">
        <v>8629298.2692580521</v>
      </c>
      <c r="H5" s="45">
        <f t="shared" si="2"/>
        <v>0.26473497791703876</v>
      </c>
      <c r="K5">
        <v>732</v>
      </c>
      <c r="L5">
        <v>37</v>
      </c>
      <c r="M5">
        <v>74</v>
      </c>
      <c r="N5">
        <v>183</v>
      </c>
      <c r="O5" s="45">
        <f t="shared" si="3"/>
        <v>5.0546448087431695E-2</v>
      </c>
      <c r="P5" s="45">
        <f t="shared" si="3"/>
        <v>0.10109289617486339</v>
      </c>
      <c r="Q5" s="45">
        <f t="shared" si="3"/>
        <v>0.25</v>
      </c>
    </row>
    <row r="6" spans="1:17">
      <c r="A6" s="67" t="s">
        <v>100</v>
      </c>
      <c r="B6" s="82">
        <v>71810000</v>
      </c>
      <c r="C6" s="82">
        <v>3534538.3548535174</v>
      </c>
      <c r="D6" s="45">
        <f t="shared" si="0"/>
        <v>4.922069843828878E-2</v>
      </c>
      <c r="E6" s="82">
        <v>10185518.394824337</v>
      </c>
      <c r="F6" s="45">
        <f t="shared" si="1"/>
        <v>0.14183983282028043</v>
      </c>
      <c r="G6" s="84">
        <v>33776687.042519644</v>
      </c>
      <c r="H6" s="45">
        <f t="shared" si="2"/>
        <v>0.4703618861233762</v>
      </c>
      <c r="K6">
        <v>667</v>
      </c>
      <c r="L6">
        <v>62</v>
      </c>
      <c r="M6">
        <v>184</v>
      </c>
      <c r="N6">
        <v>187</v>
      </c>
      <c r="O6" s="45">
        <f t="shared" si="3"/>
        <v>9.2953523238380811E-2</v>
      </c>
      <c r="P6" s="45">
        <f t="shared" si="3"/>
        <v>0.27586206896551724</v>
      </c>
      <c r="Q6" s="45">
        <f t="shared" si="3"/>
        <v>0.28035982008995503</v>
      </c>
    </row>
    <row r="7" spans="1:17">
      <c r="A7" s="67" t="s">
        <v>101</v>
      </c>
      <c r="B7" s="82">
        <v>87559000</v>
      </c>
      <c r="C7" s="82">
        <v>8039142.3944476573</v>
      </c>
      <c r="D7" s="45">
        <f t="shared" si="0"/>
        <v>9.1814004207992975E-2</v>
      </c>
      <c r="E7" s="82">
        <v>9539142.3944476582</v>
      </c>
      <c r="F7" s="45">
        <f t="shared" si="1"/>
        <v>0.10894530995611711</v>
      </c>
      <c r="G7" s="84">
        <v>22399842.269839704</v>
      </c>
      <c r="H7" s="45">
        <f t="shared" si="2"/>
        <v>0.25582569775625241</v>
      </c>
      <c r="K7">
        <v>1063</v>
      </c>
      <c r="L7">
        <v>54</v>
      </c>
      <c r="M7">
        <v>171</v>
      </c>
      <c r="N7">
        <v>505</v>
      </c>
      <c r="O7" s="45">
        <f t="shared" si="3"/>
        <v>5.0799623706491062E-2</v>
      </c>
      <c r="P7" s="45">
        <f t="shared" si="3"/>
        <v>0.16086547507055504</v>
      </c>
      <c r="Q7" s="45">
        <f t="shared" si="3"/>
        <v>0.47507055503292567</v>
      </c>
    </row>
    <row r="8" spans="1:17">
      <c r="A8" s="67" t="s">
        <v>102</v>
      </c>
      <c r="B8" s="82">
        <v>30506206.84</v>
      </c>
      <c r="C8" s="82">
        <v>4273856.9212429002</v>
      </c>
      <c r="D8" s="45">
        <f t="shared" si="0"/>
        <v>0.14009794608876061</v>
      </c>
      <c r="E8" s="82">
        <v>4192498.9257734716</v>
      </c>
      <c r="F8" s="45">
        <f t="shared" si="1"/>
        <v>0.1374310135561079</v>
      </c>
      <c r="G8" s="84">
        <v>7675419.5282058138</v>
      </c>
      <c r="H8" s="45">
        <f t="shared" si="2"/>
        <v>0.25160189755685186</v>
      </c>
      <c r="K8">
        <v>946</v>
      </c>
      <c r="L8">
        <v>85</v>
      </c>
      <c r="M8">
        <v>134</v>
      </c>
      <c r="N8">
        <v>260</v>
      </c>
      <c r="O8" s="45">
        <f t="shared" si="3"/>
        <v>8.9852008456659624E-2</v>
      </c>
      <c r="P8" s="45">
        <f t="shared" si="3"/>
        <v>0.14164904862579281</v>
      </c>
      <c r="Q8" s="45">
        <f t="shared" si="3"/>
        <v>0.27484143763213531</v>
      </c>
    </row>
    <row r="9" spans="1:17">
      <c r="A9" s="67" t="s">
        <v>103</v>
      </c>
      <c r="B9" s="82">
        <v>41530000</v>
      </c>
      <c r="C9" s="82">
        <v>1787755.7937893884</v>
      </c>
      <c r="D9" s="45">
        <f t="shared" si="0"/>
        <v>4.3047334307473838E-2</v>
      </c>
      <c r="E9" s="82">
        <v>4102756.3924193261</v>
      </c>
      <c r="F9" s="45">
        <f t="shared" si="1"/>
        <v>9.8790185225603802E-2</v>
      </c>
      <c r="G9" s="84">
        <v>9504339.6537517477</v>
      </c>
      <c r="H9" s="45">
        <f t="shared" si="2"/>
        <v>0.22885479541901632</v>
      </c>
      <c r="K9">
        <v>178</v>
      </c>
      <c r="L9">
        <v>17</v>
      </c>
      <c r="M9">
        <v>21</v>
      </c>
      <c r="N9">
        <v>46</v>
      </c>
      <c r="O9" s="45">
        <f t="shared" si="3"/>
        <v>9.5505617977528087E-2</v>
      </c>
      <c r="P9" s="45">
        <f t="shared" si="3"/>
        <v>0.11797752808988764</v>
      </c>
      <c r="Q9" s="45">
        <f t="shared" si="3"/>
        <v>0.25842696629213485</v>
      </c>
    </row>
    <row r="10" spans="1:17">
      <c r="A10" s="67" t="s">
        <v>104</v>
      </c>
      <c r="B10" s="82">
        <v>47264000</v>
      </c>
      <c r="C10" s="82">
        <v>4480021.6588512547</v>
      </c>
      <c r="D10" s="45">
        <f t="shared" si="0"/>
        <v>9.4787188110427703E-2</v>
      </c>
      <c r="E10" s="82">
        <v>4480021.6588512547</v>
      </c>
      <c r="F10" s="45">
        <f t="shared" si="1"/>
        <v>9.4787188110427703E-2</v>
      </c>
      <c r="G10" s="84">
        <v>11663783.697558582</v>
      </c>
      <c r="H10" s="45">
        <f t="shared" si="2"/>
        <v>0.24677944519208239</v>
      </c>
      <c r="K10">
        <v>609</v>
      </c>
      <c r="L10">
        <v>27</v>
      </c>
      <c r="M10">
        <v>57</v>
      </c>
      <c r="N10">
        <v>140</v>
      </c>
      <c r="O10" s="45">
        <f t="shared" si="3"/>
        <v>4.4334975369458129E-2</v>
      </c>
      <c r="P10" s="45">
        <f t="shared" si="3"/>
        <v>9.3596059113300489E-2</v>
      </c>
      <c r="Q10" s="45">
        <f t="shared" si="3"/>
        <v>0.22988505747126436</v>
      </c>
    </row>
    <row r="11" spans="1:17">
      <c r="A11" s="67" t="s">
        <v>105</v>
      </c>
      <c r="B11" s="82">
        <v>31050000</v>
      </c>
      <c r="C11" s="82">
        <v>1362805.9885784842</v>
      </c>
      <c r="D11" s="45">
        <f t="shared" si="0"/>
        <v>4.3890692063719296E-2</v>
      </c>
      <c r="E11" s="82">
        <v>3204336.124401914</v>
      </c>
      <c r="F11" s="45">
        <f t="shared" si="1"/>
        <v>0.10319923105964296</v>
      </c>
      <c r="G11" s="84">
        <v>7598665.7373823123</v>
      </c>
      <c r="H11" s="45">
        <f t="shared" si="2"/>
        <v>0.24472353421521134</v>
      </c>
      <c r="K11">
        <v>576</v>
      </c>
      <c r="L11">
        <v>56</v>
      </c>
      <c r="M11">
        <v>56</v>
      </c>
      <c r="N11">
        <v>146</v>
      </c>
      <c r="O11" s="45">
        <f t="shared" si="3"/>
        <v>9.7222222222222224E-2</v>
      </c>
      <c r="P11" s="45">
        <f t="shared" si="3"/>
        <v>9.7222222222222224E-2</v>
      </c>
      <c r="Q11" s="45">
        <f t="shared" si="3"/>
        <v>0.25347222222222221</v>
      </c>
    </row>
    <row r="12" spans="1:17">
      <c r="A12" s="67" t="s">
        <v>106</v>
      </c>
      <c r="B12" s="82">
        <v>18448000</v>
      </c>
      <c r="C12" s="82">
        <v>830586.54634946678</v>
      </c>
      <c r="D12" s="45">
        <f t="shared" si="0"/>
        <v>4.5023121549732585E-2</v>
      </c>
      <c r="E12" s="82">
        <v>1726267.432321575</v>
      </c>
      <c r="F12" s="45">
        <f t="shared" si="1"/>
        <v>9.3574774085081039E-2</v>
      </c>
      <c r="G12" s="84">
        <v>4171990.9762100074</v>
      </c>
      <c r="H12" s="45">
        <f t="shared" si="2"/>
        <v>0.22614868691511314</v>
      </c>
      <c r="K12">
        <v>1176</v>
      </c>
      <c r="L12">
        <v>50</v>
      </c>
      <c r="M12">
        <v>119</v>
      </c>
      <c r="N12">
        <v>286</v>
      </c>
      <c r="O12" s="45">
        <f t="shared" si="3"/>
        <v>4.2517006802721087E-2</v>
      </c>
      <c r="P12" s="45">
        <f t="shared" si="3"/>
        <v>0.10119047619047619</v>
      </c>
      <c r="Q12" s="45">
        <f t="shared" si="3"/>
        <v>0.24319727891156462</v>
      </c>
    </row>
    <row r="13" spans="1:17">
      <c r="A13" s="67" t="s">
        <v>107</v>
      </c>
      <c r="B13" s="82">
        <v>18978000</v>
      </c>
      <c r="C13" s="82">
        <v>1027752.9304029305</v>
      </c>
      <c r="D13" s="45">
        <f t="shared" si="0"/>
        <v>5.4154965244121112E-2</v>
      </c>
      <c r="E13" s="82">
        <v>2527118.9560439559</v>
      </c>
      <c r="F13" s="45">
        <f t="shared" si="1"/>
        <v>0.13316044662472104</v>
      </c>
      <c r="G13" s="84">
        <v>4442586.0805860804</v>
      </c>
      <c r="H13" s="45">
        <f t="shared" si="2"/>
        <v>0.23409137319981455</v>
      </c>
      <c r="K13">
        <v>230</v>
      </c>
      <c r="L13">
        <v>11</v>
      </c>
      <c r="M13">
        <v>22</v>
      </c>
      <c r="N13">
        <v>53</v>
      </c>
      <c r="O13" s="45">
        <f t="shared" si="3"/>
        <v>4.7826086956521741E-2</v>
      </c>
      <c r="P13" s="45">
        <f t="shared" si="3"/>
        <v>9.5652173913043481E-2</v>
      </c>
      <c r="Q13" s="45">
        <f t="shared" si="3"/>
        <v>0.23043478260869565</v>
      </c>
    </row>
    <row r="14" spans="1:17">
      <c r="A14" s="67" t="s">
        <v>108</v>
      </c>
      <c r="B14" s="82">
        <v>130012500</v>
      </c>
      <c r="C14" s="82">
        <v>6382596.502499626</v>
      </c>
      <c r="D14" s="45">
        <f t="shared" si="0"/>
        <v>4.9092175771557549E-2</v>
      </c>
      <c r="E14" s="82">
        <v>13276558.294056913</v>
      </c>
      <c r="F14" s="45">
        <f t="shared" si="1"/>
        <v>0.10211755249731305</v>
      </c>
      <c r="G14" s="84">
        <v>32640942.140595905</v>
      </c>
      <c r="H14" s="45">
        <f t="shared" si="2"/>
        <v>0.25106002992478343</v>
      </c>
      <c r="K14">
        <v>775</v>
      </c>
      <c r="L14">
        <v>62</v>
      </c>
      <c r="M14">
        <v>166</v>
      </c>
      <c r="N14">
        <v>169</v>
      </c>
      <c r="O14" s="45">
        <f t="shared" si="3"/>
        <v>0.08</v>
      </c>
      <c r="P14" s="45">
        <f t="shared" si="3"/>
        <v>0.21419354838709678</v>
      </c>
      <c r="Q14" s="45">
        <f t="shared" si="3"/>
        <v>0.21806451612903227</v>
      </c>
    </row>
    <row r="15" spans="1:17">
      <c r="A15" s="67" t="s">
        <v>109</v>
      </c>
      <c r="B15" s="82">
        <v>59441250.910000004</v>
      </c>
      <c r="C15" s="82">
        <v>5085705.7224659156</v>
      </c>
      <c r="D15" s="45">
        <f t="shared" si="0"/>
        <v>8.5558524502894168E-2</v>
      </c>
      <c r="E15" s="82">
        <v>5927860.4194659162</v>
      </c>
      <c r="F15" s="45">
        <f t="shared" si="1"/>
        <v>9.9726374003152957E-2</v>
      </c>
      <c r="G15" s="84">
        <v>14893839.288723627</v>
      </c>
      <c r="H15" s="45">
        <f t="shared" si="2"/>
        <v>0.2505640285275017</v>
      </c>
      <c r="K15">
        <v>4215</v>
      </c>
      <c r="L15">
        <v>207</v>
      </c>
      <c r="M15">
        <v>428</v>
      </c>
      <c r="N15">
        <v>1055</v>
      </c>
      <c r="O15" s="45">
        <f t="shared" si="3"/>
        <v>4.9110320284697508E-2</v>
      </c>
      <c r="P15" s="45">
        <f t="shared" si="3"/>
        <v>0.10154211150652431</v>
      </c>
      <c r="Q15" s="45">
        <f t="shared" si="3"/>
        <v>0.25029655990510086</v>
      </c>
    </row>
    <row r="16" spans="1:17">
      <c r="A16" s="67" t="s">
        <v>110</v>
      </c>
      <c r="B16" s="82">
        <v>35600000</v>
      </c>
      <c r="C16" s="82">
        <v>1815151.5088996005</v>
      </c>
      <c r="D16" s="45">
        <f t="shared" si="0"/>
        <v>5.0987401935382037E-2</v>
      </c>
      <c r="E16" s="82">
        <v>4968141.3245306369</v>
      </c>
      <c r="F16" s="45">
        <f t="shared" si="1"/>
        <v>0.13955453158793923</v>
      </c>
      <c r="G16" s="84">
        <v>8345146.6886734059</v>
      </c>
      <c r="H16" s="45">
        <f t="shared" si="2"/>
        <v>0.23441423282790466</v>
      </c>
      <c r="K16">
        <v>1487</v>
      </c>
      <c r="L16">
        <v>126</v>
      </c>
      <c r="M16">
        <v>148</v>
      </c>
      <c r="N16">
        <v>372</v>
      </c>
      <c r="O16" s="45">
        <f t="shared" si="3"/>
        <v>8.4734364492266304E-2</v>
      </c>
      <c r="P16" s="45">
        <f t="shared" si="3"/>
        <v>9.9529253530598522E-2</v>
      </c>
      <c r="Q16" s="45">
        <f t="shared" si="3"/>
        <v>0.25016812373907193</v>
      </c>
    </row>
    <row r="17" spans="1:17">
      <c r="A17" s="67" t="s">
        <v>111</v>
      </c>
      <c r="B17" s="82">
        <v>64273011.980000004</v>
      </c>
      <c r="C17" s="82">
        <v>3188543.0866047665</v>
      </c>
      <c r="D17" s="45">
        <f t="shared" si="0"/>
        <v>4.9609361509259181E-2</v>
      </c>
      <c r="E17" s="82">
        <v>6241991.8335868921</v>
      </c>
      <c r="F17" s="45">
        <f t="shared" si="1"/>
        <v>9.7116840199261686E-2</v>
      </c>
      <c r="G17" s="84">
        <v>16459026.558778552</v>
      </c>
      <c r="H17" s="45">
        <f t="shared" si="2"/>
        <v>0.25607990121732821</v>
      </c>
      <c r="K17">
        <v>2028</v>
      </c>
      <c r="L17">
        <v>103</v>
      </c>
      <c r="M17">
        <v>297</v>
      </c>
      <c r="N17">
        <v>467</v>
      </c>
      <c r="O17" s="45">
        <f t="shared" si="3"/>
        <v>5.0788954635108484E-2</v>
      </c>
      <c r="P17" s="45">
        <f t="shared" si="3"/>
        <v>0.14644970414201183</v>
      </c>
      <c r="Q17" s="45">
        <f t="shared" si="3"/>
        <v>0.23027613412228798</v>
      </c>
    </row>
    <row r="18" spans="1:17">
      <c r="A18" s="67" t="s">
        <v>112</v>
      </c>
      <c r="B18" s="82">
        <v>65927166.600000001</v>
      </c>
      <c r="C18" s="82">
        <v>3206358.33</v>
      </c>
      <c r="D18" s="45">
        <f t="shared" si="0"/>
        <v>4.8634857151588856E-2</v>
      </c>
      <c r="E18" s="82">
        <v>6712716.6600000001</v>
      </c>
      <c r="F18" s="45">
        <f t="shared" si="1"/>
        <v>0.1018201904645482</v>
      </c>
      <c r="G18" s="84">
        <v>17381791.649999999</v>
      </c>
      <c r="H18" s="45">
        <f t="shared" si="2"/>
        <v>0.26365142848411138</v>
      </c>
      <c r="K18">
        <v>645</v>
      </c>
      <c r="L18">
        <v>32</v>
      </c>
      <c r="M18">
        <v>64</v>
      </c>
      <c r="N18">
        <v>162</v>
      </c>
      <c r="O18" s="45">
        <f t="shared" si="3"/>
        <v>4.9612403100775193E-2</v>
      </c>
      <c r="P18" s="45">
        <f t="shared" si="3"/>
        <v>9.9224806201550386E-2</v>
      </c>
      <c r="Q18" s="45">
        <f t="shared" si="3"/>
        <v>0.25116279069767444</v>
      </c>
    </row>
    <row r="19" spans="1:17">
      <c r="A19" s="67" t="s">
        <v>113</v>
      </c>
      <c r="B19" s="82">
        <v>24048000</v>
      </c>
      <c r="C19" s="82">
        <v>1170975.7334299167</v>
      </c>
      <c r="D19" s="45">
        <f t="shared" si="0"/>
        <v>4.8693269021536791E-2</v>
      </c>
      <c r="E19" s="82">
        <v>2373904.3824701197</v>
      </c>
      <c r="F19" s="45">
        <f t="shared" si="1"/>
        <v>9.8715252098724213E-2</v>
      </c>
      <c r="G19" s="84">
        <v>5918784.4983701566</v>
      </c>
      <c r="H19" s="45">
        <f t="shared" si="2"/>
        <v>0.24612377321898521</v>
      </c>
      <c r="K19">
        <v>2226</v>
      </c>
      <c r="L19">
        <v>111</v>
      </c>
      <c r="M19">
        <v>223</v>
      </c>
      <c r="N19">
        <v>632</v>
      </c>
      <c r="O19" s="45">
        <f t="shared" si="3"/>
        <v>4.9865229110512131E-2</v>
      </c>
      <c r="P19" s="45">
        <f t="shared" si="3"/>
        <v>0.10017969451931716</v>
      </c>
      <c r="Q19" s="45">
        <f t="shared" si="3"/>
        <v>0.28391734052111411</v>
      </c>
    </row>
    <row r="20" spans="1:17">
      <c r="A20" s="67" t="s">
        <v>114</v>
      </c>
      <c r="B20" s="82">
        <v>87030000</v>
      </c>
      <c r="C20" s="82">
        <v>4350501.6831092127</v>
      </c>
      <c r="D20" s="45">
        <f t="shared" si="0"/>
        <v>4.9988529048709783E-2</v>
      </c>
      <c r="E20" s="82">
        <v>8208542.3179221991</v>
      </c>
      <c r="F20" s="45">
        <f t="shared" si="1"/>
        <v>9.431853749192462E-2</v>
      </c>
      <c r="G20" s="84">
        <v>20676677.228044521</v>
      </c>
      <c r="H20" s="45">
        <f t="shared" si="2"/>
        <v>0.23758103215034496</v>
      </c>
      <c r="K20">
        <v>520</v>
      </c>
      <c r="L20">
        <v>26</v>
      </c>
      <c r="M20">
        <v>52</v>
      </c>
      <c r="N20">
        <v>130</v>
      </c>
      <c r="O20" s="45">
        <f t="shared" si="3"/>
        <v>0.05</v>
      </c>
      <c r="P20" s="45">
        <f t="shared" si="3"/>
        <v>0.1</v>
      </c>
      <c r="Q20" s="45">
        <f t="shared" si="3"/>
        <v>0.25</v>
      </c>
    </row>
    <row r="21" spans="1:17">
      <c r="A21" s="67" t="s">
        <v>115</v>
      </c>
      <c r="B21" s="82">
        <v>26955000</v>
      </c>
      <c r="C21" s="82">
        <v>1333815.3227424563</v>
      </c>
      <c r="D21" s="45">
        <f t="shared" si="0"/>
        <v>4.9483039241048278E-2</v>
      </c>
      <c r="E21" s="82">
        <v>3018356.8460514187</v>
      </c>
      <c r="F21" s="45">
        <f t="shared" si="1"/>
        <v>0.11197762367098567</v>
      </c>
      <c r="G21" s="84">
        <v>6893495.0714064566</v>
      </c>
      <c r="H21" s="45">
        <f t="shared" si="2"/>
        <v>0.25574086705273441</v>
      </c>
      <c r="K21">
        <v>1052</v>
      </c>
      <c r="L21">
        <v>54</v>
      </c>
      <c r="M21">
        <v>105</v>
      </c>
      <c r="N21">
        <v>263</v>
      </c>
      <c r="O21" s="45">
        <f t="shared" si="3"/>
        <v>5.1330798479087454E-2</v>
      </c>
      <c r="P21" s="45">
        <f t="shared" si="3"/>
        <v>9.9809885931558942E-2</v>
      </c>
      <c r="Q21" s="45">
        <f t="shared" si="3"/>
        <v>0.25</v>
      </c>
    </row>
    <row r="22" spans="1:17">
      <c r="A22" s="67" t="s">
        <v>116</v>
      </c>
      <c r="B22" s="82">
        <v>55450000</v>
      </c>
      <c r="C22" s="82">
        <v>2458572.8381807264</v>
      </c>
      <c r="D22" s="45">
        <f t="shared" si="0"/>
        <v>4.4338554340500026E-2</v>
      </c>
      <c r="E22" s="82">
        <v>5287263.053405989</v>
      </c>
      <c r="F22" s="45">
        <f t="shared" si="1"/>
        <v>9.5351903578106204E-2</v>
      </c>
      <c r="G22" s="84">
        <v>14514543.299744399</v>
      </c>
      <c r="H22" s="45">
        <f t="shared" si="2"/>
        <v>0.26175912172667987</v>
      </c>
      <c r="K22">
        <v>1146</v>
      </c>
      <c r="L22">
        <v>58</v>
      </c>
      <c r="M22">
        <v>127</v>
      </c>
      <c r="N22">
        <v>295</v>
      </c>
      <c r="O22" s="45">
        <f t="shared" si="3"/>
        <v>5.06108202443281E-2</v>
      </c>
      <c r="P22" s="45">
        <f t="shared" si="3"/>
        <v>0.11082024432809773</v>
      </c>
      <c r="Q22" s="45">
        <f t="shared" si="3"/>
        <v>0.25741710296684117</v>
      </c>
    </row>
    <row r="23" spans="1:17">
      <c r="A23" s="67" t="s">
        <v>117</v>
      </c>
      <c r="B23" s="82">
        <v>5860000</v>
      </c>
      <c r="C23" s="82">
        <v>237000</v>
      </c>
      <c r="D23" s="45">
        <f t="shared" si="0"/>
        <v>4.0443686006825935E-2</v>
      </c>
      <c r="E23" s="82">
        <v>322000</v>
      </c>
      <c r="F23" s="45">
        <f t="shared" si="1"/>
        <v>5.4948805460750851E-2</v>
      </c>
      <c r="G23" s="84">
        <v>1155000</v>
      </c>
      <c r="H23" s="45">
        <f t="shared" si="2"/>
        <v>0.19709897610921501</v>
      </c>
      <c r="K23">
        <v>432</v>
      </c>
      <c r="L23">
        <v>19</v>
      </c>
      <c r="M23">
        <v>41</v>
      </c>
      <c r="N23">
        <v>113</v>
      </c>
      <c r="O23" s="45">
        <f t="shared" si="3"/>
        <v>4.3981481481481483E-2</v>
      </c>
      <c r="P23" s="45">
        <f t="shared" si="3"/>
        <v>9.4907407407407413E-2</v>
      </c>
      <c r="Q23" s="45">
        <f t="shared" si="3"/>
        <v>0.26157407407407407</v>
      </c>
    </row>
    <row r="24" spans="1:17">
      <c r="A24" s="67" t="s">
        <v>118</v>
      </c>
      <c r="B24" s="82">
        <v>13766766.09</v>
      </c>
      <c r="C24" s="82">
        <v>679369.66889421642</v>
      </c>
      <c r="D24" s="45">
        <f t="shared" si="0"/>
        <v>4.9348529963598474E-2</v>
      </c>
      <c r="E24" s="82">
        <v>1975609.0066826497</v>
      </c>
      <c r="F24" s="45">
        <f t="shared" si="1"/>
        <v>0.14350567110439294</v>
      </c>
      <c r="G24" s="84">
        <v>3345799.8094916581</v>
      </c>
      <c r="H24" s="45">
        <f t="shared" si="2"/>
        <v>0.24303455057044979</v>
      </c>
      <c r="K24">
        <v>160</v>
      </c>
      <c r="L24">
        <v>7</v>
      </c>
      <c r="M24">
        <v>12</v>
      </c>
      <c r="N24">
        <v>36</v>
      </c>
      <c r="O24" s="45">
        <f t="shared" si="3"/>
        <v>4.3749999999999997E-2</v>
      </c>
      <c r="P24" s="45">
        <f t="shared" si="3"/>
        <v>7.4999999999999997E-2</v>
      </c>
      <c r="Q24" s="45">
        <f t="shared" si="3"/>
        <v>0.22500000000000001</v>
      </c>
    </row>
    <row r="25" spans="1:17">
      <c r="A25" s="67" t="s">
        <v>119</v>
      </c>
      <c r="B25" s="82">
        <v>41870000</v>
      </c>
      <c r="C25" s="82">
        <v>3167621.3960546283</v>
      </c>
      <c r="D25" s="45">
        <f t="shared" si="0"/>
        <v>7.5653723335434159E-2</v>
      </c>
      <c r="E25" s="82">
        <v>4689089.5295902882</v>
      </c>
      <c r="F25" s="45">
        <f t="shared" si="1"/>
        <v>0.11199162955792424</v>
      </c>
      <c r="G25" s="84">
        <v>10915800.455235206</v>
      </c>
      <c r="H25" s="45">
        <f t="shared" si="2"/>
        <v>0.26070696095617879</v>
      </c>
      <c r="K25">
        <v>521</v>
      </c>
      <c r="L25">
        <v>26</v>
      </c>
      <c r="M25">
        <v>77</v>
      </c>
      <c r="N25">
        <v>130</v>
      </c>
      <c r="O25" s="45">
        <f t="shared" si="3"/>
        <v>4.9904030710172742E-2</v>
      </c>
      <c r="P25" s="45">
        <f t="shared" si="3"/>
        <v>0.14779270633397312</v>
      </c>
      <c r="Q25" s="45">
        <f t="shared" si="3"/>
        <v>0.24952015355086371</v>
      </c>
    </row>
    <row r="26" spans="1:17">
      <c r="A26" s="67" t="s">
        <v>120</v>
      </c>
      <c r="B26" s="82">
        <v>270750000</v>
      </c>
      <c r="C26" s="82">
        <v>12836000</v>
      </c>
      <c r="D26" s="45">
        <f t="shared" si="0"/>
        <v>4.7409048938134808E-2</v>
      </c>
      <c r="E26" s="82">
        <v>26825000</v>
      </c>
      <c r="F26" s="45">
        <f t="shared" si="1"/>
        <v>9.9076638965835642E-2</v>
      </c>
      <c r="G26" s="84">
        <v>68336000</v>
      </c>
      <c r="H26" s="45">
        <f t="shared" si="2"/>
        <v>0.25239519852262232</v>
      </c>
      <c r="K26">
        <v>1043</v>
      </c>
      <c r="L26">
        <v>61</v>
      </c>
      <c r="M26">
        <v>107</v>
      </c>
      <c r="N26">
        <v>266</v>
      </c>
      <c r="O26" s="45">
        <f t="shared" si="3"/>
        <v>5.8485139022051776E-2</v>
      </c>
      <c r="P26" s="45">
        <f t="shared" si="3"/>
        <v>0.10258868648130393</v>
      </c>
      <c r="Q26" s="45">
        <f t="shared" si="3"/>
        <v>0.25503355704697989</v>
      </c>
    </row>
    <row r="27" spans="1:17">
      <c r="A27" s="67" t="s">
        <v>121</v>
      </c>
      <c r="B27" s="82">
        <v>12050000</v>
      </c>
      <c r="C27" s="82">
        <v>559957.14285714296</v>
      </c>
      <c r="D27" s="45">
        <f t="shared" si="0"/>
        <v>4.6469472436277422E-2</v>
      </c>
      <c r="E27" s="82">
        <v>1159914.2857142857</v>
      </c>
      <c r="F27" s="45">
        <f t="shared" si="1"/>
        <v>9.6258446947243628E-2</v>
      </c>
      <c r="G27" s="84">
        <v>2837385.7142857146</v>
      </c>
      <c r="H27" s="45">
        <f t="shared" si="2"/>
        <v>0.23546769413159457</v>
      </c>
      <c r="K27">
        <v>986</v>
      </c>
      <c r="L27">
        <v>49</v>
      </c>
      <c r="M27">
        <v>98</v>
      </c>
      <c r="N27">
        <v>248</v>
      </c>
      <c r="O27" s="45">
        <f t="shared" si="3"/>
        <v>4.9695740365111561E-2</v>
      </c>
      <c r="P27" s="45">
        <f t="shared" si="3"/>
        <v>9.9391480730223122E-2</v>
      </c>
      <c r="Q27" s="45">
        <f t="shared" si="3"/>
        <v>0.25152129817444219</v>
      </c>
    </row>
    <row r="28" spans="1:17">
      <c r="A28" s="67" t="s">
        <v>122</v>
      </c>
      <c r="B28" s="82">
        <v>24670000</v>
      </c>
      <c r="C28" s="82">
        <v>1134054.9682875264</v>
      </c>
      <c r="D28" s="45">
        <f t="shared" si="0"/>
        <v>4.5968989391468436E-2</v>
      </c>
      <c r="E28" s="82">
        <v>2885643.1591664152</v>
      </c>
      <c r="F28" s="45">
        <f t="shared" si="1"/>
        <v>0.11696972675988712</v>
      </c>
      <c r="G28" s="84">
        <v>5905523.1048021745</v>
      </c>
      <c r="H28" s="45">
        <f t="shared" si="2"/>
        <v>0.2393807500933188</v>
      </c>
      <c r="K28">
        <v>232</v>
      </c>
      <c r="L28">
        <v>11</v>
      </c>
      <c r="M28">
        <v>23</v>
      </c>
      <c r="N28">
        <v>57</v>
      </c>
      <c r="O28" s="45">
        <f t="shared" si="3"/>
        <v>4.7413793103448273E-2</v>
      </c>
      <c r="P28" s="45">
        <f t="shared" si="3"/>
        <v>9.9137931034482762E-2</v>
      </c>
      <c r="Q28" s="45">
        <f t="shared" si="3"/>
        <v>0.24568965517241378</v>
      </c>
    </row>
    <row r="29" spans="1:17">
      <c r="A29" s="70" t="s">
        <v>20</v>
      </c>
      <c r="B29" s="83">
        <v>1353882736.3000002</v>
      </c>
      <c r="C29" s="83">
        <v>79943249.926572233</v>
      </c>
      <c r="D29" s="73">
        <f>MEDIAN(D2:D28)</f>
        <v>4.9483039241048278E-2</v>
      </c>
      <c r="E29" s="83">
        <v>150043152.55587512</v>
      </c>
      <c r="F29" s="73">
        <f>MEDIAN(F2:F28)</f>
        <v>0.10184683391460385</v>
      </c>
      <c r="G29" s="85">
        <v>353801832.44465744</v>
      </c>
      <c r="H29" s="73">
        <f>MEDIAN(H2:H28)</f>
        <v>0.24677944519208239</v>
      </c>
      <c r="K29">
        <v>581</v>
      </c>
      <c r="L29">
        <v>29</v>
      </c>
      <c r="M29">
        <v>85</v>
      </c>
      <c r="N29">
        <v>126</v>
      </c>
      <c r="O29" s="45">
        <f t="shared" si="3"/>
        <v>4.9913941480206538E-2</v>
      </c>
      <c r="P29" s="45">
        <f t="shared" si="3"/>
        <v>0.14629948364888123</v>
      </c>
      <c r="Q29" s="45">
        <f t="shared" si="3"/>
        <v>0.21686746987951808</v>
      </c>
    </row>
    <row r="30" spans="1:17">
      <c r="K30" s="71">
        <v>25973</v>
      </c>
      <c r="L30" s="71">
        <v>1531</v>
      </c>
      <c r="M30" s="71">
        <v>3163</v>
      </c>
      <c r="N30" s="71">
        <v>6749</v>
      </c>
      <c r="O30" s="73">
        <f>MEDIAN(O3:O29)</f>
        <v>5.0546448087431695E-2</v>
      </c>
      <c r="P30" s="73">
        <f>MEDIAN(P3:P29)</f>
        <v>0.10119047619047619</v>
      </c>
      <c r="Q30" s="73">
        <f>MEDIAN(Q3:Q29)</f>
        <v>0.25016812373907193</v>
      </c>
    </row>
    <row r="36" spans="1:5">
      <c r="A36" s="91" t="s">
        <v>89</v>
      </c>
      <c r="B36" s="98" t="s">
        <v>133</v>
      </c>
      <c r="C36" s="95" t="s">
        <v>134</v>
      </c>
      <c r="D36" s="95" t="s">
        <v>135</v>
      </c>
      <c r="E36" s="95" t="s">
        <v>136</v>
      </c>
    </row>
    <row r="37" spans="1:5">
      <c r="A37" t="s">
        <v>102</v>
      </c>
      <c r="B37" s="82">
        <v>4273856.9212429002</v>
      </c>
      <c r="C37" s="93">
        <v>0.14009794608876061</v>
      </c>
      <c r="D37">
        <v>17</v>
      </c>
      <c r="E37" s="45">
        <v>9.5505617977528087E-2</v>
      </c>
    </row>
    <row r="38" spans="1:5">
      <c r="A38" t="s">
        <v>94</v>
      </c>
      <c r="B38" s="82">
        <v>2005888.4941265839</v>
      </c>
      <c r="C38" s="93">
        <v>0.13782059089383275</v>
      </c>
      <c r="D38">
        <v>71</v>
      </c>
      <c r="E38" s="45">
        <v>0.14822546972860126</v>
      </c>
    </row>
    <row r="39" spans="1:5">
      <c r="A39" t="s">
        <v>104</v>
      </c>
      <c r="B39" s="82">
        <v>4480021.6588512547</v>
      </c>
      <c r="C39" s="93">
        <v>9.4787188110427703E-2</v>
      </c>
      <c r="D39">
        <v>56</v>
      </c>
      <c r="E39" s="45">
        <v>9.7222222222222224E-2</v>
      </c>
    </row>
    <row r="40" spans="1:5">
      <c r="A40" t="s">
        <v>101</v>
      </c>
      <c r="B40" s="82">
        <v>8039142.3944476573</v>
      </c>
      <c r="C40" s="93">
        <v>9.1814004207992975E-2</v>
      </c>
      <c r="D40">
        <v>85</v>
      </c>
      <c r="E40" s="45">
        <v>8.9852008456659624E-2</v>
      </c>
    </row>
    <row r="41" spans="1:5">
      <c r="A41" t="s">
        <v>109</v>
      </c>
      <c r="B41" s="82">
        <v>5085705.7224659156</v>
      </c>
      <c r="C41" s="93">
        <v>8.5558524502894168E-2</v>
      </c>
      <c r="D41">
        <v>126</v>
      </c>
      <c r="E41" s="45">
        <v>8.4734364492266304E-2</v>
      </c>
    </row>
    <row r="42" spans="1:5">
      <c r="A42" t="s">
        <v>99</v>
      </c>
      <c r="B42" s="82">
        <v>2574178.4949162058</v>
      </c>
      <c r="C42" s="93">
        <v>7.8972248465894221E-2</v>
      </c>
      <c r="D42">
        <v>62</v>
      </c>
      <c r="E42" s="45">
        <v>9.2953523238380811E-2</v>
      </c>
    </row>
    <row r="43" spans="1:5">
      <c r="A43" t="s">
        <v>119</v>
      </c>
      <c r="B43" s="82">
        <v>3167621.3960546283</v>
      </c>
      <c r="C43" s="93">
        <v>7.5653723335434159E-2</v>
      </c>
      <c r="D43">
        <v>61</v>
      </c>
      <c r="E43" s="45">
        <v>5.8485139022051776E-2</v>
      </c>
    </row>
    <row r="44" spans="1:5">
      <c r="A44" t="s">
        <v>97</v>
      </c>
      <c r="B44" s="82">
        <v>1538565.9774556381</v>
      </c>
      <c r="C44" s="93">
        <v>6.0061053041790637E-2</v>
      </c>
      <c r="D44">
        <v>80</v>
      </c>
      <c r="E44" s="45">
        <v>6.3091482649842268E-2</v>
      </c>
    </row>
    <row r="45" spans="1:5">
      <c r="A45" t="s">
        <v>98</v>
      </c>
      <c r="B45" s="82">
        <v>881932.46753246756</v>
      </c>
      <c r="C45" s="93">
        <v>5.4216715489983747E-2</v>
      </c>
      <c r="D45">
        <v>37</v>
      </c>
      <c r="E45" s="45">
        <v>5.0546448087431695E-2</v>
      </c>
    </row>
    <row r="46" spans="1:5">
      <c r="A46" t="s">
        <v>107</v>
      </c>
      <c r="B46" s="82">
        <v>1027752.9304029305</v>
      </c>
      <c r="C46" s="93">
        <v>5.4154965244121112E-2</v>
      </c>
      <c r="D46">
        <v>62</v>
      </c>
      <c r="E46" s="45">
        <v>0.08</v>
      </c>
    </row>
    <row r="47" spans="1:5">
      <c r="A47" t="s">
        <v>110</v>
      </c>
      <c r="B47" s="82">
        <v>1815151.5088996005</v>
      </c>
      <c r="C47" s="93">
        <v>5.0987401935382037E-2</v>
      </c>
      <c r="D47">
        <v>103</v>
      </c>
      <c r="E47" s="45">
        <v>5.0788954635108484E-2</v>
      </c>
    </row>
    <row r="48" spans="1:5">
      <c r="A48" t="s">
        <v>114</v>
      </c>
      <c r="B48" s="82">
        <v>4350501.6831092127</v>
      </c>
      <c r="C48" s="93">
        <v>4.9988529048709783E-2</v>
      </c>
      <c r="D48">
        <v>54</v>
      </c>
      <c r="E48" s="45">
        <v>5.1330798479087454E-2</v>
      </c>
    </row>
    <row r="49" spans="1:5">
      <c r="A49" t="s">
        <v>111</v>
      </c>
      <c r="B49" s="82">
        <v>3188543.0866047665</v>
      </c>
      <c r="C49" s="93">
        <v>4.9609361509259181E-2</v>
      </c>
      <c r="D49">
        <v>32</v>
      </c>
      <c r="E49" s="45">
        <v>4.9612403100775193E-2</v>
      </c>
    </row>
    <row r="50" spans="1:5">
      <c r="A50" t="s">
        <v>115</v>
      </c>
      <c r="B50" s="82">
        <v>1333815.3227424563</v>
      </c>
      <c r="C50" s="93">
        <v>4.9483039241048278E-2</v>
      </c>
      <c r="D50">
        <v>58</v>
      </c>
      <c r="E50" s="45">
        <v>5.06108202443281E-2</v>
      </c>
    </row>
    <row r="51" spans="1:5">
      <c r="A51" t="s">
        <v>118</v>
      </c>
      <c r="B51" s="82">
        <v>679369.66889421642</v>
      </c>
      <c r="C51" s="93">
        <v>4.9348529963598474E-2</v>
      </c>
      <c r="D51">
        <v>26</v>
      </c>
      <c r="E51" s="45">
        <v>4.9904030710172742E-2</v>
      </c>
    </row>
    <row r="52" spans="1:5">
      <c r="A52" t="s">
        <v>100</v>
      </c>
      <c r="B52" s="82">
        <v>3534538.3548535174</v>
      </c>
      <c r="C52" s="93">
        <v>4.922069843828878E-2</v>
      </c>
      <c r="D52">
        <v>54</v>
      </c>
      <c r="E52" s="45">
        <v>5.0799623706491062E-2</v>
      </c>
    </row>
    <row r="53" spans="1:5">
      <c r="A53" t="s">
        <v>108</v>
      </c>
      <c r="B53" s="82">
        <v>6382596.502499626</v>
      </c>
      <c r="C53" s="93">
        <v>4.9092175771557549E-2</v>
      </c>
      <c r="D53">
        <v>207</v>
      </c>
      <c r="E53" s="45">
        <v>4.9110320284697508E-2</v>
      </c>
    </row>
    <row r="54" spans="1:5">
      <c r="A54" t="s">
        <v>113</v>
      </c>
      <c r="B54" s="82">
        <v>1170975.7334299167</v>
      </c>
      <c r="C54" s="93">
        <v>4.8693269021536791E-2</v>
      </c>
      <c r="D54">
        <v>26</v>
      </c>
      <c r="E54" s="45">
        <v>0.05</v>
      </c>
    </row>
    <row r="55" spans="1:5">
      <c r="A55" t="s">
        <v>112</v>
      </c>
      <c r="B55" s="82">
        <v>3206358.33</v>
      </c>
      <c r="C55" s="93">
        <v>4.8634857151588856E-2</v>
      </c>
      <c r="D55">
        <v>111</v>
      </c>
      <c r="E55" s="45">
        <v>4.9865229110512131E-2</v>
      </c>
    </row>
    <row r="56" spans="1:5">
      <c r="A56" t="s">
        <v>120</v>
      </c>
      <c r="B56" s="82">
        <v>12836000</v>
      </c>
      <c r="C56" s="93">
        <v>4.7409048938134808E-2</v>
      </c>
      <c r="D56">
        <v>49</v>
      </c>
      <c r="E56" s="45">
        <v>4.9695740365111561E-2</v>
      </c>
    </row>
    <row r="57" spans="1:5">
      <c r="A57" t="s">
        <v>121</v>
      </c>
      <c r="B57" s="82">
        <v>559957.14285714296</v>
      </c>
      <c r="C57" s="93">
        <v>4.6469472436277422E-2</v>
      </c>
      <c r="D57">
        <v>11</v>
      </c>
      <c r="E57" s="45">
        <v>4.7413793103448273E-2</v>
      </c>
    </row>
    <row r="58" spans="1:5">
      <c r="A58" t="s">
        <v>122</v>
      </c>
      <c r="B58" s="82">
        <v>1134054.9682875264</v>
      </c>
      <c r="C58" s="93">
        <v>4.5968989391468436E-2</v>
      </c>
      <c r="D58">
        <v>29</v>
      </c>
      <c r="E58" s="45">
        <v>4.9913941480206538E-2</v>
      </c>
    </row>
    <row r="59" spans="1:5">
      <c r="A59" t="s">
        <v>106</v>
      </c>
      <c r="B59" s="82">
        <v>830586.54634946678</v>
      </c>
      <c r="C59" s="93">
        <v>4.5023121549732585E-2</v>
      </c>
      <c r="D59">
        <v>11</v>
      </c>
      <c r="E59" s="45">
        <v>4.7826086956521741E-2</v>
      </c>
    </row>
    <row r="60" spans="1:5">
      <c r="A60" t="s">
        <v>116</v>
      </c>
      <c r="B60" s="82">
        <v>2458572.8381807264</v>
      </c>
      <c r="C60" s="93">
        <v>4.4338554340500026E-2</v>
      </c>
      <c r="D60">
        <v>19</v>
      </c>
      <c r="E60" s="45">
        <v>4.3981481481481483E-2</v>
      </c>
    </row>
    <row r="61" spans="1:5">
      <c r="A61" t="s">
        <v>105</v>
      </c>
      <c r="B61" s="82">
        <v>1362805.9885784842</v>
      </c>
      <c r="C61" s="93">
        <v>4.3890692063719296E-2</v>
      </c>
      <c r="D61">
        <v>50</v>
      </c>
      <c r="E61" s="45">
        <v>4.2517006802721087E-2</v>
      </c>
    </row>
    <row r="62" spans="1:5">
      <c r="A62" t="s">
        <v>103</v>
      </c>
      <c r="B62" s="82">
        <v>1787755.7937893884</v>
      </c>
      <c r="C62" s="93">
        <v>4.3047334307473838E-2</v>
      </c>
      <c r="D62">
        <v>27</v>
      </c>
      <c r="E62" s="45">
        <v>4.4334975369458129E-2</v>
      </c>
    </row>
    <row r="63" spans="1:5">
      <c r="A63" t="s">
        <v>117</v>
      </c>
      <c r="B63" s="82">
        <v>237000</v>
      </c>
      <c r="C63" s="93">
        <v>4.0443686006825935E-2</v>
      </c>
      <c r="D63">
        <v>7</v>
      </c>
      <c r="E63" s="93">
        <v>4.3749999999999997E-2</v>
      </c>
    </row>
    <row r="64" spans="1:5">
      <c r="A64" s="86"/>
      <c r="B64" s="96"/>
      <c r="C64" s="96"/>
      <c r="D64" s="96"/>
      <c r="E64" s="93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2"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38388-3625-42EF-9981-88C98F09B3BA}">
  <dimension ref="A1:V498"/>
  <sheetViews>
    <sheetView workbookViewId="0">
      <selection activeCell="H10" sqref="H10"/>
    </sheetView>
  </sheetViews>
  <sheetFormatPr defaultColWidth="8.81640625" defaultRowHeight="14.5"/>
  <cols>
    <col min="1" max="1" width="24.1796875" customWidth="1"/>
    <col min="2" max="2" width="29.81640625" customWidth="1"/>
    <col min="3" max="3" width="17.453125" customWidth="1"/>
    <col min="4" max="4" width="20.453125" bestFit="1" customWidth="1"/>
    <col min="5" max="5" width="23" bestFit="1" customWidth="1"/>
    <col min="6" max="6" width="17.453125" bestFit="1" customWidth="1"/>
    <col min="7" max="7" width="14.453125" bestFit="1" customWidth="1"/>
    <col min="8" max="8" width="68.453125" style="59" customWidth="1"/>
    <col min="9" max="11" width="13.81640625" customWidth="1"/>
    <col min="12" max="12" width="13.1796875" bestFit="1" customWidth="1"/>
    <col min="14" max="14" width="21.453125" bestFit="1" customWidth="1"/>
    <col min="17" max="17" width="18.453125" bestFit="1" customWidth="1"/>
    <col min="18" max="18" width="22" bestFit="1" customWidth="1"/>
    <col min="19" max="19" width="24.54296875" bestFit="1" customWidth="1"/>
    <col min="20" max="20" width="19.1796875" bestFit="1" customWidth="1"/>
    <col min="21" max="21" width="14.453125" bestFit="1" customWidth="1"/>
  </cols>
  <sheetData>
    <row r="1" spans="1:22">
      <c r="A1" s="23" t="s">
        <v>137</v>
      </c>
      <c r="B1" s="52" t="s">
        <v>138</v>
      </c>
      <c r="C1" s="24" t="s">
        <v>139</v>
      </c>
      <c r="D1" s="25" t="s">
        <v>140</v>
      </c>
      <c r="E1" s="25" t="s">
        <v>141</v>
      </c>
      <c r="F1" s="25" t="s">
        <v>142</v>
      </c>
      <c r="G1" s="23" t="s">
        <v>143</v>
      </c>
      <c r="H1" s="53" t="s">
        <v>144</v>
      </c>
      <c r="I1" s="23" t="s">
        <v>145</v>
      </c>
      <c r="J1" s="23" t="s">
        <v>146</v>
      </c>
      <c r="K1" s="23" t="s">
        <v>147</v>
      </c>
      <c r="L1" s="23" t="s">
        <v>148</v>
      </c>
      <c r="M1" s="23" t="s">
        <v>35</v>
      </c>
      <c r="N1" s="23" t="s">
        <v>149</v>
      </c>
      <c r="O1" s="23" t="s">
        <v>150</v>
      </c>
      <c r="P1" s="23" t="s">
        <v>151</v>
      </c>
      <c r="Q1" s="24" t="s">
        <v>152</v>
      </c>
      <c r="R1" s="24" t="s">
        <v>153</v>
      </c>
      <c r="S1" s="24" t="s">
        <v>154</v>
      </c>
      <c r="T1" s="24" t="s">
        <v>155</v>
      </c>
      <c r="U1" s="23" t="s">
        <v>156</v>
      </c>
      <c r="V1" s="26"/>
    </row>
    <row r="2" spans="1:22">
      <c r="A2" s="27" t="s">
        <v>94</v>
      </c>
      <c r="B2" s="50" t="s">
        <v>157</v>
      </c>
      <c r="C2" s="28">
        <v>696000</v>
      </c>
      <c r="D2" s="29">
        <v>0.26</v>
      </c>
      <c r="E2" s="30">
        <v>0.12</v>
      </c>
      <c r="F2" s="31">
        <v>0.12</v>
      </c>
      <c r="G2" s="32">
        <v>42</v>
      </c>
      <c r="H2" s="54"/>
      <c r="I2" s="33" t="b">
        <v>1</v>
      </c>
      <c r="J2" s="34" t="b">
        <v>1</v>
      </c>
      <c r="K2" s="35" t="b">
        <v>1</v>
      </c>
      <c r="L2" s="27" t="s">
        <v>158</v>
      </c>
      <c r="M2" s="27" t="s">
        <v>34</v>
      </c>
      <c r="N2" s="33">
        <v>11</v>
      </c>
      <c r="O2" s="34">
        <v>5</v>
      </c>
      <c r="P2" s="35">
        <v>5</v>
      </c>
      <c r="Q2" s="28">
        <v>16571.428571428569</v>
      </c>
      <c r="R2" s="36">
        <v>182285.71428571429</v>
      </c>
      <c r="S2" s="37">
        <v>82857.14285714287</v>
      </c>
      <c r="T2" s="38">
        <v>82857.14285714287</v>
      </c>
      <c r="U2" s="27" t="s">
        <v>36</v>
      </c>
    </row>
    <row r="3" spans="1:22">
      <c r="A3" s="27" t="s">
        <v>94</v>
      </c>
      <c r="B3" s="50" t="s">
        <v>159</v>
      </c>
      <c r="C3" s="28">
        <v>1470000</v>
      </c>
      <c r="D3" s="29">
        <v>0.28570000000000001</v>
      </c>
      <c r="E3" s="30">
        <v>0.1429</v>
      </c>
      <c r="F3" s="31">
        <v>0.1429</v>
      </c>
      <c r="G3" s="32">
        <v>42</v>
      </c>
      <c r="H3" s="54"/>
      <c r="I3" s="33" t="b">
        <v>1</v>
      </c>
      <c r="J3" s="34" t="b">
        <v>1</v>
      </c>
      <c r="K3" s="35" t="b">
        <v>1</v>
      </c>
      <c r="L3" s="27" t="s">
        <v>158</v>
      </c>
      <c r="M3" s="27" t="s">
        <v>34</v>
      </c>
      <c r="N3" s="33">
        <v>12</v>
      </c>
      <c r="O3" s="34">
        <v>6</v>
      </c>
      <c r="P3" s="35">
        <v>6</v>
      </c>
      <c r="Q3" s="28">
        <v>35000</v>
      </c>
      <c r="R3" s="36">
        <v>420000</v>
      </c>
      <c r="S3" s="37">
        <v>210000</v>
      </c>
      <c r="T3" s="38">
        <v>210000</v>
      </c>
      <c r="U3" s="27" t="s">
        <v>37</v>
      </c>
    </row>
    <row r="4" spans="1:22">
      <c r="A4" s="27" t="s">
        <v>94</v>
      </c>
      <c r="B4" s="50" t="s">
        <v>160</v>
      </c>
      <c r="C4" s="28">
        <v>1672276.38</v>
      </c>
      <c r="D4" s="29">
        <v>0.16669999999999999</v>
      </c>
      <c r="E4" s="30">
        <v>0.16669999999999999</v>
      </c>
      <c r="F4" s="31">
        <v>0.16669999999999999</v>
      </c>
      <c r="G4" s="32">
        <v>30</v>
      </c>
      <c r="H4" s="54"/>
      <c r="I4" s="33" t="b">
        <v>0</v>
      </c>
      <c r="J4" s="34" t="b">
        <v>1</v>
      </c>
      <c r="K4" s="35" t="b">
        <v>1</v>
      </c>
      <c r="L4" s="27" t="s">
        <v>158</v>
      </c>
      <c r="M4" s="27" t="s">
        <v>34</v>
      </c>
      <c r="N4" s="33">
        <v>5</v>
      </c>
      <c r="O4" s="34">
        <v>5</v>
      </c>
      <c r="P4" s="35">
        <v>5</v>
      </c>
      <c r="Q4" s="28">
        <v>55742.545999999988</v>
      </c>
      <c r="R4" s="36">
        <v>278712.73</v>
      </c>
      <c r="S4" s="37">
        <v>278712.73</v>
      </c>
      <c r="T4" s="38">
        <v>278712.73</v>
      </c>
      <c r="U4" s="27" t="s">
        <v>37</v>
      </c>
    </row>
    <row r="5" spans="1:22">
      <c r="A5" s="27" t="s">
        <v>94</v>
      </c>
      <c r="B5" s="50" t="s">
        <v>161</v>
      </c>
      <c r="C5" s="28">
        <v>418069.1</v>
      </c>
      <c r="D5" s="29">
        <v>0</v>
      </c>
      <c r="E5" s="30">
        <v>0</v>
      </c>
      <c r="F5" s="31">
        <v>0</v>
      </c>
      <c r="G5" s="32">
        <v>1</v>
      </c>
      <c r="H5" s="54"/>
      <c r="I5" s="33" t="b">
        <v>1</v>
      </c>
      <c r="J5" s="34" t="b">
        <v>1</v>
      </c>
      <c r="K5" s="35" t="b">
        <v>1</v>
      </c>
      <c r="L5" s="27" t="s">
        <v>158</v>
      </c>
      <c r="M5" s="27" t="s">
        <v>34</v>
      </c>
      <c r="N5" s="33">
        <v>0</v>
      </c>
      <c r="O5" s="34">
        <v>0</v>
      </c>
      <c r="P5" s="35">
        <v>0</v>
      </c>
      <c r="Q5" s="28">
        <v>418069.1</v>
      </c>
      <c r="R5" s="36">
        <v>0</v>
      </c>
      <c r="S5" s="37">
        <v>0</v>
      </c>
      <c r="T5" s="38">
        <v>0</v>
      </c>
      <c r="U5" s="27" t="s">
        <v>37</v>
      </c>
    </row>
    <row r="6" spans="1:22">
      <c r="A6" s="27" t="s">
        <v>94</v>
      </c>
      <c r="B6" s="50" t="s">
        <v>162</v>
      </c>
      <c r="C6" s="28">
        <v>4100000</v>
      </c>
      <c r="D6" s="29">
        <v>0.25</v>
      </c>
      <c r="E6" s="30">
        <v>0.18</v>
      </c>
      <c r="F6" s="31">
        <v>0.18</v>
      </c>
      <c r="G6" s="32">
        <v>122</v>
      </c>
      <c r="H6" s="54"/>
      <c r="I6" s="33" t="b">
        <v>1</v>
      </c>
      <c r="J6" s="34" t="b">
        <v>1</v>
      </c>
      <c r="K6" s="35" t="b">
        <v>1</v>
      </c>
      <c r="L6" s="27" t="s">
        <v>158</v>
      </c>
      <c r="M6" s="27" t="s">
        <v>34</v>
      </c>
      <c r="N6" s="33">
        <v>30</v>
      </c>
      <c r="O6" s="34">
        <v>22</v>
      </c>
      <c r="P6" s="35">
        <v>22</v>
      </c>
      <c r="Q6" s="28">
        <v>33606.557377049183</v>
      </c>
      <c r="R6" s="36">
        <v>1008196.721311475</v>
      </c>
      <c r="S6" s="37">
        <v>739344.26229508198</v>
      </c>
      <c r="T6" s="38">
        <v>739344.26229508198</v>
      </c>
      <c r="U6" s="27" t="s">
        <v>38</v>
      </c>
    </row>
    <row r="7" spans="1:22">
      <c r="A7" s="27" t="s">
        <v>94</v>
      </c>
      <c r="B7" s="50" t="s">
        <v>163</v>
      </c>
      <c r="C7" s="28">
        <v>300000</v>
      </c>
      <c r="D7" s="29">
        <v>0.27800000000000002</v>
      </c>
      <c r="E7" s="30">
        <v>0.111</v>
      </c>
      <c r="F7" s="31">
        <v>5.6000000000000008E-2</v>
      </c>
      <c r="G7" s="32">
        <v>18</v>
      </c>
      <c r="H7" s="54"/>
      <c r="I7" s="33" t="b">
        <v>1</v>
      </c>
      <c r="J7" s="34" t="b">
        <v>1</v>
      </c>
      <c r="K7" s="35" t="b">
        <v>1</v>
      </c>
      <c r="L7" s="27" t="s">
        <v>158</v>
      </c>
      <c r="M7" s="27" t="s">
        <v>34</v>
      </c>
      <c r="N7" s="33">
        <v>5</v>
      </c>
      <c r="O7" s="34">
        <v>2</v>
      </c>
      <c r="P7" s="35">
        <v>1</v>
      </c>
      <c r="Q7" s="28">
        <v>16666.666666666672</v>
      </c>
      <c r="R7" s="36">
        <v>83333.333333333343</v>
      </c>
      <c r="S7" s="37">
        <v>33333.333333333343</v>
      </c>
      <c r="T7" s="38">
        <v>16666.666666666672</v>
      </c>
      <c r="U7" s="27" t="s">
        <v>38</v>
      </c>
    </row>
    <row r="8" spans="1:22">
      <c r="A8" s="27" t="s">
        <v>94</v>
      </c>
      <c r="B8" s="50" t="s">
        <v>164</v>
      </c>
      <c r="C8" s="28">
        <v>200000</v>
      </c>
      <c r="D8" s="29">
        <v>0.5</v>
      </c>
      <c r="E8" s="30">
        <v>0</v>
      </c>
      <c r="F8" s="31">
        <v>0</v>
      </c>
      <c r="G8" s="32">
        <v>10</v>
      </c>
      <c r="H8" s="54"/>
      <c r="I8" s="33" t="b">
        <v>1</v>
      </c>
      <c r="J8" s="34" t="b">
        <v>0</v>
      </c>
      <c r="K8" s="35" t="b">
        <v>1</v>
      </c>
      <c r="L8" s="27" t="s">
        <v>158</v>
      </c>
      <c r="M8" s="27" t="s">
        <v>34</v>
      </c>
      <c r="N8" s="33">
        <v>5</v>
      </c>
      <c r="O8" s="34">
        <v>0</v>
      </c>
      <c r="P8" s="35">
        <v>0</v>
      </c>
      <c r="Q8" s="28">
        <v>20000</v>
      </c>
      <c r="R8" s="36">
        <v>100000</v>
      </c>
      <c r="S8" s="37">
        <v>0</v>
      </c>
      <c r="T8" s="38">
        <v>0</v>
      </c>
      <c r="U8" s="27" t="s">
        <v>38</v>
      </c>
    </row>
    <row r="9" spans="1:22">
      <c r="A9" s="27" t="s">
        <v>94</v>
      </c>
      <c r="B9" s="50" t="s">
        <v>165</v>
      </c>
      <c r="C9" s="28">
        <v>2500000</v>
      </c>
      <c r="D9" s="29">
        <v>0.307</v>
      </c>
      <c r="E9" s="30">
        <v>0.15379999999999999</v>
      </c>
      <c r="F9" s="31">
        <v>7.6899999999999996E-2</v>
      </c>
      <c r="G9" s="32">
        <v>13</v>
      </c>
      <c r="H9" s="54"/>
      <c r="I9" s="33" t="b">
        <v>1</v>
      </c>
      <c r="J9" s="34" t="b">
        <v>1</v>
      </c>
      <c r="K9" s="35" t="b">
        <v>1</v>
      </c>
      <c r="L9" s="27" t="s">
        <v>158</v>
      </c>
      <c r="M9" s="27" t="s">
        <v>34</v>
      </c>
      <c r="N9" s="33">
        <v>4</v>
      </c>
      <c r="O9" s="34">
        <v>2</v>
      </c>
      <c r="P9" s="35">
        <v>1</v>
      </c>
      <c r="Q9" s="28">
        <v>192307.69230769231</v>
      </c>
      <c r="R9" s="36">
        <v>769230.76923076925</v>
      </c>
      <c r="S9" s="37">
        <v>384615.38461538462</v>
      </c>
      <c r="T9" s="38">
        <v>192307.69230769231</v>
      </c>
      <c r="U9" s="27" t="s">
        <v>38</v>
      </c>
    </row>
    <row r="10" spans="1:22">
      <c r="A10" s="39" t="s">
        <v>94</v>
      </c>
      <c r="B10" s="46" t="s">
        <v>166</v>
      </c>
      <c r="C10" s="40">
        <v>900000</v>
      </c>
      <c r="D10" s="41">
        <v>0.2</v>
      </c>
      <c r="E10" s="41">
        <v>0.2</v>
      </c>
      <c r="F10" s="41">
        <v>0.2</v>
      </c>
      <c r="G10" s="42">
        <v>60</v>
      </c>
      <c r="H10" s="55" t="s">
        <v>6</v>
      </c>
      <c r="I10" s="42" t="b">
        <v>1</v>
      </c>
      <c r="J10" s="42" t="b">
        <v>1</v>
      </c>
      <c r="K10" s="42" t="b">
        <v>1</v>
      </c>
      <c r="L10" s="39" t="s">
        <v>158</v>
      </c>
      <c r="M10" s="39" t="s">
        <v>34</v>
      </c>
      <c r="N10" s="42">
        <v>12</v>
      </c>
      <c r="O10" s="42">
        <v>12</v>
      </c>
      <c r="P10" s="42">
        <v>12</v>
      </c>
      <c r="Q10" s="40">
        <v>15000</v>
      </c>
      <c r="R10" s="40">
        <v>180000</v>
      </c>
      <c r="S10" s="40">
        <v>180000</v>
      </c>
      <c r="T10" s="40">
        <v>180000</v>
      </c>
      <c r="U10" s="39" t="s">
        <v>39</v>
      </c>
    </row>
    <row r="11" spans="1:22">
      <c r="A11" s="39" t="s">
        <v>94</v>
      </c>
      <c r="B11" s="46" t="s">
        <v>167</v>
      </c>
      <c r="C11" s="40">
        <v>1200000</v>
      </c>
      <c r="D11" s="41">
        <v>0</v>
      </c>
      <c r="E11" s="41">
        <v>1</v>
      </c>
      <c r="F11" s="41">
        <v>0.15</v>
      </c>
      <c r="G11" s="42">
        <v>80</v>
      </c>
      <c r="H11" s="55" t="s">
        <v>168</v>
      </c>
      <c r="I11" s="42" t="b">
        <v>1</v>
      </c>
      <c r="J11" s="42" t="b">
        <v>1</v>
      </c>
      <c r="K11" s="42" t="b">
        <v>1</v>
      </c>
      <c r="L11" s="39" t="s">
        <v>158</v>
      </c>
      <c r="M11" s="39" t="s">
        <v>34</v>
      </c>
      <c r="N11" s="42">
        <v>0</v>
      </c>
      <c r="O11" s="42">
        <v>80</v>
      </c>
      <c r="P11" s="42">
        <v>12</v>
      </c>
      <c r="Q11" s="40">
        <v>15000</v>
      </c>
      <c r="R11" s="40">
        <v>0</v>
      </c>
      <c r="S11" s="40">
        <v>1200000</v>
      </c>
      <c r="T11" s="40">
        <v>180000</v>
      </c>
      <c r="U11" s="39" t="s">
        <v>39</v>
      </c>
    </row>
    <row r="12" spans="1:22">
      <c r="A12" s="27" t="s">
        <v>94</v>
      </c>
      <c r="B12" s="50" t="s">
        <v>169</v>
      </c>
      <c r="C12" s="28">
        <v>1098000</v>
      </c>
      <c r="D12" s="29">
        <v>0.26229999999999998</v>
      </c>
      <c r="E12" s="30">
        <v>0.14749999999999999</v>
      </c>
      <c r="F12" s="31">
        <v>0.1148</v>
      </c>
      <c r="G12" s="32">
        <v>61</v>
      </c>
      <c r="H12" s="54"/>
      <c r="I12" s="33" t="b">
        <v>1</v>
      </c>
      <c r="J12" s="34" t="b">
        <v>1</v>
      </c>
      <c r="K12" s="35" t="b">
        <v>1</v>
      </c>
      <c r="L12" s="27" t="s">
        <v>158</v>
      </c>
      <c r="M12" s="27" t="s">
        <v>34</v>
      </c>
      <c r="N12" s="33">
        <v>16</v>
      </c>
      <c r="O12" s="34">
        <v>9</v>
      </c>
      <c r="P12" s="35">
        <v>7</v>
      </c>
      <c r="Q12" s="28">
        <v>18000</v>
      </c>
      <c r="R12" s="36">
        <v>288000</v>
      </c>
      <c r="S12" s="37">
        <v>162000</v>
      </c>
      <c r="T12" s="38">
        <v>126000</v>
      </c>
      <c r="U12" s="27" t="s">
        <v>40</v>
      </c>
    </row>
    <row r="13" spans="1:22">
      <c r="A13" s="27" t="s">
        <v>97</v>
      </c>
      <c r="B13" s="50" t="s">
        <v>170</v>
      </c>
      <c r="C13" s="28">
        <v>2616000</v>
      </c>
      <c r="D13" s="29">
        <v>0.25</v>
      </c>
      <c r="E13" s="30">
        <v>8.3299999999999999E-2</v>
      </c>
      <c r="F13" s="31">
        <v>4.1700000000000001E-2</v>
      </c>
      <c r="G13" s="32">
        <v>24</v>
      </c>
      <c r="H13" s="54"/>
      <c r="I13" s="33" t="b">
        <v>1</v>
      </c>
      <c r="J13" s="34" t="b">
        <v>1</v>
      </c>
      <c r="K13" s="35" t="b">
        <v>1</v>
      </c>
      <c r="L13" s="27" t="s">
        <v>171</v>
      </c>
      <c r="M13" s="27" t="s">
        <v>34</v>
      </c>
      <c r="N13" s="33">
        <v>6</v>
      </c>
      <c r="O13" s="34">
        <v>2</v>
      </c>
      <c r="P13" s="35">
        <v>1</v>
      </c>
      <c r="Q13" s="28">
        <v>109000</v>
      </c>
      <c r="R13" s="36">
        <v>654000</v>
      </c>
      <c r="S13" s="37">
        <v>218000</v>
      </c>
      <c r="T13" s="38">
        <v>109000</v>
      </c>
      <c r="U13" s="27" t="s">
        <v>37</v>
      </c>
    </row>
    <row r="14" spans="1:22">
      <c r="A14" s="27" t="s">
        <v>97</v>
      </c>
      <c r="B14" s="50" t="s">
        <v>172</v>
      </c>
      <c r="C14" s="28">
        <v>653000</v>
      </c>
      <c r="D14" s="29">
        <v>0</v>
      </c>
      <c r="E14" s="30">
        <v>0</v>
      </c>
      <c r="F14" s="31">
        <v>0</v>
      </c>
      <c r="G14" s="32">
        <v>2</v>
      </c>
      <c r="H14" s="54"/>
      <c r="I14" s="33" t="b">
        <v>1</v>
      </c>
      <c r="J14" s="34" t="b">
        <v>1</v>
      </c>
      <c r="K14" s="35" t="b">
        <v>1</v>
      </c>
      <c r="L14" s="27" t="s">
        <v>171</v>
      </c>
      <c r="M14" s="27" t="s">
        <v>34</v>
      </c>
      <c r="N14" s="33">
        <v>0</v>
      </c>
      <c r="O14" s="34">
        <v>0</v>
      </c>
      <c r="P14" s="35">
        <v>0</v>
      </c>
      <c r="Q14" s="28">
        <v>326500</v>
      </c>
      <c r="R14" s="36">
        <v>0</v>
      </c>
      <c r="S14" s="37">
        <v>0</v>
      </c>
      <c r="T14" s="38">
        <v>0</v>
      </c>
      <c r="U14" s="27" t="s">
        <v>37</v>
      </c>
    </row>
    <row r="15" spans="1:22">
      <c r="A15" s="27" t="s">
        <v>97</v>
      </c>
      <c r="B15" s="50" t="s">
        <v>173</v>
      </c>
      <c r="C15" s="28">
        <v>900000</v>
      </c>
      <c r="D15" s="29">
        <v>0.25640000000000002</v>
      </c>
      <c r="E15" s="30">
        <v>7.6899999999999996E-2</v>
      </c>
      <c r="F15" s="31">
        <v>5.1299999999999998E-2</v>
      </c>
      <c r="G15" s="32">
        <v>39</v>
      </c>
      <c r="H15" s="54"/>
      <c r="I15" s="33" t="b">
        <v>1</v>
      </c>
      <c r="J15" s="34" t="b">
        <v>0</v>
      </c>
      <c r="K15" s="35" t="b">
        <v>1</v>
      </c>
      <c r="L15" s="27" t="s">
        <v>171</v>
      </c>
      <c r="M15" s="27" t="s">
        <v>34</v>
      </c>
      <c r="N15" s="33">
        <v>10</v>
      </c>
      <c r="O15" s="34">
        <v>3</v>
      </c>
      <c r="P15" s="35">
        <v>2</v>
      </c>
      <c r="Q15" s="28">
        <v>23076.923076923082</v>
      </c>
      <c r="R15" s="36">
        <v>230769.23076923081</v>
      </c>
      <c r="S15" s="37">
        <v>69230.769230769234</v>
      </c>
      <c r="T15" s="38">
        <v>46153.846153846163</v>
      </c>
      <c r="U15" s="27" t="s">
        <v>38</v>
      </c>
    </row>
    <row r="16" spans="1:22">
      <c r="A16" s="27" t="s">
        <v>97</v>
      </c>
      <c r="B16" s="50" t="s">
        <v>174</v>
      </c>
      <c r="C16" s="28">
        <v>1100000</v>
      </c>
      <c r="D16" s="29">
        <v>0.25</v>
      </c>
      <c r="E16" s="30">
        <v>0.125</v>
      </c>
      <c r="F16" s="31">
        <v>0.125</v>
      </c>
      <c r="G16" s="32">
        <v>16</v>
      </c>
      <c r="H16" s="54"/>
      <c r="I16" s="33" t="b">
        <v>1</v>
      </c>
      <c r="J16" s="34" t="b">
        <v>1</v>
      </c>
      <c r="K16" s="35" t="b">
        <v>1</v>
      </c>
      <c r="L16" s="27" t="s">
        <v>171</v>
      </c>
      <c r="M16" s="27" t="s">
        <v>34</v>
      </c>
      <c r="N16" s="33">
        <v>4</v>
      </c>
      <c r="O16" s="34">
        <v>2</v>
      </c>
      <c r="P16" s="35">
        <v>2</v>
      </c>
      <c r="Q16" s="28">
        <v>68750</v>
      </c>
      <c r="R16" s="36">
        <v>275000</v>
      </c>
      <c r="S16" s="37">
        <v>137500</v>
      </c>
      <c r="T16" s="38">
        <v>137500</v>
      </c>
      <c r="U16" s="27" t="s">
        <v>38</v>
      </c>
    </row>
    <row r="17" spans="1:21">
      <c r="A17" s="27" t="s">
        <v>97</v>
      </c>
      <c r="B17" s="50" t="s">
        <v>175</v>
      </c>
      <c r="C17" s="28">
        <v>400000</v>
      </c>
      <c r="D17" s="29">
        <v>0.26319999999999999</v>
      </c>
      <c r="E17" s="30">
        <v>0.1053</v>
      </c>
      <c r="F17" s="31">
        <v>7.0199999999999999E-2</v>
      </c>
      <c r="G17" s="32">
        <v>57</v>
      </c>
      <c r="H17" s="54"/>
      <c r="I17" s="33" t="b">
        <v>1</v>
      </c>
      <c r="J17" s="34" t="b">
        <v>1</v>
      </c>
      <c r="K17" s="35" t="b">
        <v>1</v>
      </c>
      <c r="L17" s="27" t="s">
        <v>171</v>
      </c>
      <c r="M17" s="27" t="s">
        <v>34</v>
      </c>
      <c r="N17" s="33">
        <v>15</v>
      </c>
      <c r="O17" s="34">
        <v>6</v>
      </c>
      <c r="P17" s="35">
        <v>4</v>
      </c>
      <c r="Q17" s="28">
        <v>7017.5438596491231</v>
      </c>
      <c r="R17" s="36">
        <v>105263.1578947368</v>
      </c>
      <c r="S17" s="37">
        <v>42105.26315789474</v>
      </c>
      <c r="T17" s="38">
        <v>28070.175438596489</v>
      </c>
      <c r="U17" s="27" t="s">
        <v>38</v>
      </c>
    </row>
    <row r="18" spans="1:21">
      <c r="A18" s="27" t="s">
        <v>97</v>
      </c>
      <c r="B18" s="50" t="s">
        <v>176</v>
      </c>
      <c r="C18" s="28">
        <v>200000</v>
      </c>
      <c r="D18" s="29">
        <v>0.25530000000000003</v>
      </c>
      <c r="E18" s="30">
        <v>0.1176</v>
      </c>
      <c r="F18" s="31">
        <v>5.8799999999999998E-2</v>
      </c>
      <c r="G18" s="32">
        <v>17</v>
      </c>
      <c r="H18" s="54"/>
      <c r="I18" s="33" t="b">
        <v>1</v>
      </c>
      <c r="J18" s="34" t="b">
        <v>1</v>
      </c>
      <c r="K18" s="35" t="b">
        <v>1</v>
      </c>
      <c r="L18" s="27" t="s">
        <v>171</v>
      </c>
      <c r="M18" s="27" t="s">
        <v>34</v>
      </c>
      <c r="N18" s="33">
        <v>4</v>
      </c>
      <c r="O18" s="34">
        <v>2</v>
      </c>
      <c r="P18" s="35">
        <v>1</v>
      </c>
      <c r="Q18" s="28">
        <v>11764.705882352941</v>
      </c>
      <c r="R18" s="36">
        <v>47058.823529411762</v>
      </c>
      <c r="S18" s="37">
        <v>23529.411764705881</v>
      </c>
      <c r="T18" s="38">
        <v>11764.705882352941</v>
      </c>
      <c r="U18" s="27" t="s">
        <v>38</v>
      </c>
    </row>
    <row r="19" spans="1:21">
      <c r="A19" s="27" t="s">
        <v>97</v>
      </c>
      <c r="B19" s="50" t="s">
        <v>177</v>
      </c>
      <c r="C19" s="28">
        <v>200000</v>
      </c>
      <c r="D19" s="29">
        <v>0.21429999999999999</v>
      </c>
      <c r="E19" s="30">
        <v>7.1400000000000005E-2</v>
      </c>
      <c r="F19" s="31">
        <v>7.1400000000000005E-2</v>
      </c>
      <c r="G19" s="32">
        <v>14</v>
      </c>
      <c r="H19" s="54"/>
      <c r="I19" s="33" t="b">
        <v>1</v>
      </c>
      <c r="J19" s="34" t="b">
        <v>1</v>
      </c>
      <c r="K19" s="35" t="b">
        <v>1</v>
      </c>
      <c r="L19" s="27" t="s">
        <v>171</v>
      </c>
      <c r="M19" s="27" t="s">
        <v>34</v>
      </c>
      <c r="N19" s="33">
        <v>3</v>
      </c>
      <c r="O19" s="34">
        <v>1</v>
      </c>
      <c r="P19" s="35">
        <v>1</v>
      </c>
      <c r="Q19" s="28">
        <v>14285.71428571429</v>
      </c>
      <c r="R19" s="36">
        <v>42857.142857142862</v>
      </c>
      <c r="S19" s="37">
        <v>14285.71428571429</v>
      </c>
      <c r="T19" s="38">
        <v>14285.71428571429</v>
      </c>
      <c r="U19" s="27" t="s">
        <v>38</v>
      </c>
    </row>
    <row r="20" spans="1:21">
      <c r="A20" s="27" t="s">
        <v>97</v>
      </c>
      <c r="B20" s="50" t="s">
        <v>178</v>
      </c>
      <c r="C20" s="28">
        <v>900000</v>
      </c>
      <c r="D20" s="29">
        <v>0.25640000000000002</v>
      </c>
      <c r="E20" s="30">
        <v>0.1026</v>
      </c>
      <c r="F20" s="31">
        <v>7.6899999999999996E-2</v>
      </c>
      <c r="G20" s="32">
        <v>39</v>
      </c>
      <c r="H20" s="54"/>
      <c r="I20" s="33" t="b">
        <v>1</v>
      </c>
      <c r="J20" s="34" t="b">
        <v>1</v>
      </c>
      <c r="K20" s="35" t="b">
        <v>1</v>
      </c>
      <c r="L20" s="27" t="s">
        <v>171</v>
      </c>
      <c r="M20" s="27" t="s">
        <v>34</v>
      </c>
      <c r="N20" s="33">
        <v>10</v>
      </c>
      <c r="O20" s="34">
        <v>4</v>
      </c>
      <c r="P20" s="35">
        <v>3</v>
      </c>
      <c r="Q20" s="28">
        <v>23076.923076923082</v>
      </c>
      <c r="R20" s="36">
        <v>230769.23076923081</v>
      </c>
      <c r="S20" s="37">
        <v>92307.692307692312</v>
      </c>
      <c r="T20" s="38">
        <v>69230.769230769234</v>
      </c>
      <c r="U20" s="27" t="s">
        <v>38</v>
      </c>
    </row>
    <row r="21" spans="1:21">
      <c r="A21" s="27" t="s">
        <v>97</v>
      </c>
      <c r="B21" s="50" t="s">
        <v>179</v>
      </c>
      <c r="C21" s="28">
        <v>200000</v>
      </c>
      <c r="D21" s="29">
        <v>0.25</v>
      </c>
      <c r="E21" s="30">
        <v>0.1</v>
      </c>
      <c r="F21" s="31">
        <v>7.4999999999999997E-2</v>
      </c>
      <c r="G21" s="32">
        <v>40</v>
      </c>
      <c r="H21" s="54"/>
      <c r="I21" s="33" t="b">
        <v>1</v>
      </c>
      <c r="J21" s="34" t="b">
        <v>1</v>
      </c>
      <c r="K21" s="35" t="b">
        <v>1</v>
      </c>
      <c r="L21" s="27" t="s">
        <v>171</v>
      </c>
      <c r="M21" s="27" t="s">
        <v>34</v>
      </c>
      <c r="N21" s="33">
        <v>10</v>
      </c>
      <c r="O21" s="34">
        <v>4</v>
      </c>
      <c r="P21" s="35">
        <v>3</v>
      </c>
      <c r="Q21" s="28">
        <v>5000</v>
      </c>
      <c r="R21" s="36">
        <v>50000</v>
      </c>
      <c r="S21" s="37">
        <v>20000</v>
      </c>
      <c r="T21" s="38">
        <v>15000</v>
      </c>
      <c r="U21" s="27" t="s">
        <v>38</v>
      </c>
    </row>
    <row r="22" spans="1:21">
      <c r="A22" s="27" t="s">
        <v>97</v>
      </c>
      <c r="B22" s="50" t="s">
        <v>180</v>
      </c>
      <c r="C22" s="28">
        <v>900000</v>
      </c>
      <c r="D22" s="29">
        <v>0.28000000000000003</v>
      </c>
      <c r="E22" s="30">
        <v>0.125</v>
      </c>
      <c r="F22" s="31">
        <v>0.1</v>
      </c>
      <c r="G22" s="32">
        <v>50</v>
      </c>
      <c r="H22" s="54"/>
      <c r="I22" s="33" t="b">
        <v>1</v>
      </c>
      <c r="J22" s="34" t="b">
        <v>1</v>
      </c>
      <c r="K22" s="35" t="b">
        <v>1</v>
      </c>
      <c r="L22" s="27" t="s">
        <v>171</v>
      </c>
      <c r="M22" s="27" t="s">
        <v>34</v>
      </c>
      <c r="N22" s="33">
        <v>14</v>
      </c>
      <c r="O22" s="34">
        <v>6</v>
      </c>
      <c r="P22" s="35">
        <v>5</v>
      </c>
      <c r="Q22" s="28">
        <v>18000</v>
      </c>
      <c r="R22" s="36">
        <v>252000</v>
      </c>
      <c r="S22" s="37">
        <v>108000</v>
      </c>
      <c r="T22" s="38">
        <v>90000</v>
      </c>
      <c r="U22" s="27" t="s">
        <v>38</v>
      </c>
    </row>
    <row r="23" spans="1:21">
      <c r="A23" s="27" t="s">
        <v>97</v>
      </c>
      <c r="B23" s="50" t="s">
        <v>181</v>
      </c>
      <c r="C23" s="28">
        <v>1398000</v>
      </c>
      <c r="D23" s="29">
        <v>0.24099999999999999</v>
      </c>
      <c r="E23" s="30">
        <v>0.1084</v>
      </c>
      <c r="F23" s="31">
        <v>6.0199999999999997E-2</v>
      </c>
      <c r="G23" s="32">
        <v>83</v>
      </c>
      <c r="H23" s="54"/>
      <c r="I23" s="33" t="b">
        <v>1</v>
      </c>
      <c r="J23" s="34" t="b">
        <v>1</v>
      </c>
      <c r="K23" s="35" t="b">
        <v>1</v>
      </c>
      <c r="L23" s="27" t="s">
        <v>171</v>
      </c>
      <c r="M23" s="27" t="s">
        <v>34</v>
      </c>
      <c r="N23" s="33">
        <v>20</v>
      </c>
      <c r="O23" s="34">
        <v>9</v>
      </c>
      <c r="P23" s="35">
        <v>5</v>
      </c>
      <c r="Q23" s="28">
        <v>16843.373493975909</v>
      </c>
      <c r="R23" s="36">
        <v>336867.46987951809</v>
      </c>
      <c r="S23" s="37">
        <v>151590.36144578311</v>
      </c>
      <c r="T23" s="38">
        <v>84216.867469879522</v>
      </c>
      <c r="U23" s="27" t="s">
        <v>38</v>
      </c>
    </row>
    <row r="24" spans="1:21">
      <c r="A24" s="39" t="s">
        <v>97</v>
      </c>
      <c r="B24" s="46" t="s">
        <v>182</v>
      </c>
      <c r="C24" s="40">
        <v>1010000</v>
      </c>
      <c r="D24" s="41">
        <v>0.2571</v>
      </c>
      <c r="E24" s="41">
        <v>0.1</v>
      </c>
      <c r="F24" s="41">
        <v>7.1400000000000005E-2</v>
      </c>
      <c r="G24" s="42">
        <v>70</v>
      </c>
      <c r="H24" s="56" t="s">
        <v>183</v>
      </c>
      <c r="I24" s="42" t="b">
        <v>1</v>
      </c>
      <c r="J24" s="42" t="b">
        <v>1</v>
      </c>
      <c r="K24" s="42" t="b">
        <v>1</v>
      </c>
      <c r="L24" s="39" t="s">
        <v>171</v>
      </c>
      <c r="M24" s="39" t="s">
        <v>34</v>
      </c>
      <c r="N24" s="42">
        <v>18</v>
      </c>
      <c r="O24" s="42">
        <v>7</v>
      </c>
      <c r="P24" s="42">
        <v>5</v>
      </c>
      <c r="Q24" s="40">
        <v>14428.571428571429</v>
      </c>
      <c r="R24" s="40">
        <v>259714.28571428571</v>
      </c>
      <c r="S24" s="40">
        <v>101000</v>
      </c>
      <c r="T24" s="40">
        <v>72142.857142857145</v>
      </c>
      <c r="U24" s="39" t="s">
        <v>38</v>
      </c>
    </row>
    <row r="25" spans="1:21">
      <c r="A25" s="27" t="s">
        <v>97</v>
      </c>
      <c r="B25" s="50" t="s">
        <v>184</v>
      </c>
      <c r="C25" s="28">
        <v>1780000</v>
      </c>
      <c r="D25" s="29">
        <v>0.253</v>
      </c>
      <c r="E25" s="30">
        <v>9.64E-2</v>
      </c>
      <c r="F25" s="31">
        <v>6.0199999999999997E-2</v>
      </c>
      <c r="G25" s="32">
        <v>83</v>
      </c>
      <c r="H25" s="54"/>
      <c r="I25" s="33" t="b">
        <v>1</v>
      </c>
      <c r="J25" s="34" t="b">
        <v>1</v>
      </c>
      <c r="K25" s="35" t="b">
        <v>1</v>
      </c>
      <c r="L25" s="27" t="s">
        <v>171</v>
      </c>
      <c r="M25" s="27" t="s">
        <v>34</v>
      </c>
      <c r="N25" s="33">
        <v>21</v>
      </c>
      <c r="O25" s="34">
        <v>8</v>
      </c>
      <c r="P25" s="35">
        <v>5</v>
      </c>
      <c r="Q25" s="28">
        <v>21445.783132530119</v>
      </c>
      <c r="R25" s="36">
        <v>450361.44578313251</v>
      </c>
      <c r="S25" s="37">
        <v>171566.26506024101</v>
      </c>
      <c r="T25" s="38">
        <v>107228.9156626506</v>
      </c>
      <c r="U25" s="27" t="s">
        <v>38</v>
      </c>
    </row>
    <row r="26" spans="1:21">
      <c r="A26" s="39" t="s">
        <v>97</v>
      </c>
      <c r="B26" s="64" t="s">
        <v>185</v>
      </c>
      <c r="C26" s="40">
        <v>1800000</v>
      </c>
      <c r="D26" s="41">
        <v>0.26669999999999999</v>
      </c>
      <c r="E26" s="41">
        <v>0.1</v>
      </c>
      <c r="F26" s="41">
        <v>6.6699999999999995E-2</v>
      </c>
      <c r="G26" s="42">
        <v>90</v>
      </c>
      <c r="H26" s="55" t="s">
        <v>13</v>
      </c>
      <c r="I26" s="42" t="b">
        <v>1</v>
      </c>
      <c r="J26" s="42" t="b">
        <v>1</v>
      </c>
      <c r="K26" s="42" t="b">
        <v>1</v>
      </c>
      <c r="L26" s="39" t="s">
        <v>171</v>
      </c>
      <c r="M26" s="39" t="s">
        <v>34</v>
      </c>
      <c r="N26" s="42">
        <v>24</v>
      </c>
      <c r="O26" s="42">
        <v>9</v>
      </c>
      <c r="P26" s="42">
        <v>6</v>
      </c>
      <c r="Q26" s="40">
        <v>20000</v>
      </c>
      <c r="R26" s="40">
        <v>480000</v>
      </c>
      <c r="S26" s="40">
        <v>180000</v>
      </c>
      <c r="T26" s="40">
        <v>120000</v>
      </c>
      <c r="U26" s="39" t="s">
        <v>38</v>
      </c>
    </row>
    <row r="27" spans="1:21">
      <c r="A27" s="27" t="s">
        <v>97</v>
      </c>
      <c r="B27" s="50" t="s">
        <v>186</v>
      </c>
      <c r="C27" s="28">
        <v>1039700</v>
      </c>
      <c r="D27" s="29">
        <v>0.24099999999999999</v>
      </c>
      <c r="E27" s="30">
        <v>0.1084</v>
      </c>
      <c r="F27" s="31">
        <v>9.64E-2</v>
      </c>
      <c r="G27" s="32">
        <v>83</v>
      </c>
      <c r="H27" s="54"/>
      <c r="I27" s="33" t="b">
        <v>0</v>
      </c>
      <c r="J27" s="34" t="b">
        <v>1</v>
      </c>
      <c r="K27" s="35" t="b">
        <v>1</v>
      </c>
      <c r="L27" s="27" t="s">
        <v>171</v>
      </c>
      <c r="M27" s="27" t="s">
        <v>34</v>
      </c>
      <c r="N27" s="33">
        <v>20</v>
      </c>
      <c r="O27" s="34">
        <v>9</v>
      </c>
      <c r="P27" s="35">
        <v>8</v>
      </c>
      <c r="Q27" s="28">
        <v>12526.506024096379</v>
      </c>
      <c r="R27" s="36">
        <v>250530.1204819277</v>
      </c>
      <c r="S27" s="37">
        <v>112738.5542168675</v>
      </c>
      <c r="T27" s="38">
        <v>100212.04819277109</v>
      </c>
      <c r="U27" s="27" t="s">
        <v>38</v>
      </c>
    </row>
    <row r="28" spans="1:21">
      <c r="A28" s="39" t="s">
        <v>97</v>
      </c>
      <c r="B28" s="46" t="s">
        <v>187</v>
      </c>
      <c r="C28" s="40">
        <v>2000000</v>
      </c>
      <c r="D28" s="41">
        <v>0.2407</v>
      </c>
      <c r="E28" s="41">
        <v>9.2600000000000002E-2</v>
      </c>
      <c r="F28" s="41">
        <v>5.5599999999999997E-2</v>
      </c>
      <c r="G28" s="42">
        <v>54</v>
      </c>
      <c r="H28" s="55" t="s">
        <v>12</v>
      </c>
      <c r="I28" s="42" t="b">
        <v>1</v>
      </c>
      <c r="J28" s="42" t="b">
        <v>1</v>
      </c>
      <c r="K28" s="42" t="b">
        <v>1</v>
      </c>
      <c r="L28" s="39" t="s">
        <v>171</v>
      </c>
      <c r="M28" s="39" t="s">
        <v>34</v>
      </c>
      <c r="N28" s="42">
        <v>13</v>
      </c>
      <c r="O28" s="42">
        <v>5</v>
      </c>
      <c r="P28" s="42">
        <v>3</v>
      </c>
      <c r="Q28" s="40">
        <v>37037.037037037036</v>
      </c>
      <c r="R28" s="40">
        <v>481481.48148148152</v>
      </c>
      <c r="S28" s="40">
        <v>185185.1851851852</v>
      </c>
      <c r="T28" s="40">
        <v>111111.11111111109</v>
      </c>
      <c r="U28" s="39" t="s">
        <v>38</v>
      </c>
    </row>
    <row r="29" spans="1:21">
      <c r="A29" s="27" t="s">
        <v>97</v>
      </c>
      <c r="B29" s="50" t="s">
        <v>188</v>
      </c>
      <c r="C29" s="28">
        <v>2300000</v>
      </c>
      <c r="D29" s="29">
        <v>0.2485</v>
      </c>
      <c r="E29" s="30">
        <v>9.7000000000000017E-2</v>
      </c>
      <c r="F29" s="31">
        <v>4.24E-2</v>
      </c>
      <c r="G29" s="32">
        <v>165</v>
      </c>
      <c r="H29" s="54"/>
      <c r="I29" s="33" t="b">
        <v>1</v>
      </c>
      <c r="J29" s="34" t="b">
        <v>1</v>
      </c>
      <c r="K29" s="35" t="b">
        <v>0</v>
      </c>
      <c r="L29" s="27" t="s">
        <v>171</v>
      </c>
      <c r="M29" s="27" t="s">
        <v>34</v>
      </c>
      <c r="N29" s="33">
        <v>41</v>
      </c>
      <c r="O29" s="34">
        <v>16</v>
      </c>
      <c r="P29" s="35">
        <v>7</v>
      </c>
      <c r="Q29" s="28">
        <v>13939.39393939394</v>
      </c>
      <c r="R29" s="36">
        <v>571515.15151515149</v>
      </c>
      <c r="S29" s="37">
        <v>223030.30303030301</v>
      </c>
      <c r="T29" s="38">
        <v>97575.757575757583</v>
      </c>
      <c r="U29" s="27" t="s">
        <v>38</v>
      </c>
    </row>
    <row r="30" spans="1:21">
      <c r="A30" s="27" t="s">
        <v>97</v>
      </c>
      <c r="B30" s="50" t="s">
        <v>189</v>
      </c>
      <c r="C30" s="28">
        <v>1000000</v>
      </c>
      <c r="D30" s="29">
        <v>0.2545</v>
      </c>
      <c r="E30" s="30">
        <v>9.0899999999999995E-2</v>
      </c>
      <c r="F30" s="31">
        <v>5.45E-2</v>
      </c>
      <c r="G30" s="32">
        <v>55</v>
      </c>
      <c r="H30" s="54"/>
      <c r="I30" s="33" t="b">
        <v>1</v>
      </c>
      <c r="J30" s="34" t="b">
        <v>1</v>
      </c>
      <c r="K30" s="35" t="b">
        <v>1</v>
      </c>
      <c r="L30" s="27" t="s">
        <v>171</v>
      </c>
      <c r="M30" s="27" t="s">
        <v>34</v>
      </c>
      <c r="N30" s="33">
        <v>14</v>
      </c>
      <c r="O30" s="34">
        <v>5</v>
      </c>
      <c r="P30" s="35">
        <v>3</v>
      </c>
      <c r="Q30" s="28">
        <v>18181.81818181818</v>
      </c>
      <c r="R30" s="36">
        <v>254545.4545454545</v>
      </c>
      <c r="S30" s="37">
        <v>90909.090909090897</v>
      </c>
      <c r="T30" s="38">
        <v>54545.454545454537</v>
      </c>
      <c r="U30" s="27" t="s">
        <v>38</v>
      </c>
    </row>
    <row r="31" spans="1:21">
      <c r="A31" s="27" t="s">
        <v>97</v>
      </c>
      <c r="B31" s="50" t="s">
        <v>190</v>
      </c>
      <c r="C31" s="28">
        <v>1000000</v>
      </c>
      <c r="D31" s="29">
        <v>0.23530000000000001</v>
      </c>
      <c r="E31" s="30">
        <v>8.8200000000000001E-2</v>
      </c>
      <c r="F31" s="31">
        <v>5.8799999999999998E-2</v>
      </c>
      <c r="G31" s="32">
        <v>34</v>
      </c>
      <c r="H31" s="54"/>
      <c r="I31" s="33" t="b">
        <v>1</v>
      </c>
      <c r="J31" s="34" t="b">
        <v>1</v>
      </c>
      <c r="K31" s="35" t="b">
        <v>1</v>
      </c>
      <c r="L31" s="27" t="s">
        <v>171</v>
      </c>
      <c r="M31" s="27" t="s">
        <v>34</v>
      </c>
      <c r="N31" s="33">
        <v>8</v>
      </c>
      <c r="O31" s="34">
        <v>3</v>
      </c>
      <c r="P31" s="35">
        <v>2</v>
      </c>
      <c r="Q31" s="28">
        <v>29411.76470588235</v>
      </c>
      <c r="R31" s="36">
        <v>235294.1176470588</v>
      </c>
      <c r="S31" s="37">
        <v>88235.294117647063</v>
      </c>
      <c r="T31" s="38">
        <v>58823.529411764714</v>
      </c>
      <c r="U31" s="27" t="s">
        <v>38</v>
      </c>
    </row>
    <row r="32" spans="1:21">
      <c r="A32" s="27" t="s">
        <v>97</v>
      </c>
      <c r="B32" s="50" t="s">
        <v>191</v>
      </c>
      <c r="C32" s="28">
        <v>1200000</v>
      </c>
      <c r="D32" s="29">
        <v>0.2535</v>
      </c>
      <c r="E32" s="30">
        <v>9.8599999999999993E-2</v>
      </c>
      <c r="F32" s="31">
        <v>4.2299999999999997E-2</v>
      </c>
      <c r="G32" s="32">
        <v>71</v>
      </c>
      <c r="H32" s="54"/>
      <c r="I32" s="33" t="b">
        <v>1</v>
      </c>
      <c r="J32" s="34" t="b">
        <v>1</v>
      </c>
      <c r="K32" s="35" t="b">
        <v>1</v>
      </c>
      <c r="L32" s="27" t="s">
        <v>171</v>
      </c>
      <c r="M32" s="27" t="s">
        <v>34</v>
      </c>
      <c r="N32" s="33">
        <v>18</v>
      </c>
      <c r="O32" s="34">
        <v>7</v>
      </c>
      <c r="P32" s="35">
        <v>3</v>
      </c>
      <c r="Q32" s="28">
        <v>16901.408450704221</v>
      </c>
      <c r="R32" s="36">
        <v>304225.35211267602</v>
      </c>
      <c r="S32" s="37">
        <v>118309.8591549296</v>
      </c>
      <c r="T32" s="38">
        <v>50704.225352112669</v>
      </c>
      <c r="U32" s="27" t="s">
        <v>38</v>
      </c>
    </row>
    <row r="33" spans="1:21">
      <c r="A33" s="27" t="s">
        <v>97</v>
      </c>
      <c r="B33" s="50" t="s">
        <v>192</v>
      </c>
      <c r="C33" s="28">
        <v>300000</v>
      </c>
      <c r="D33" s="29">
        <v>0.26</v>
      </c>
      <c r="E33" s="30">
        <v>0.1</v>
      </c>
      <c r="F33" s="31">
        <v>0.06</v>
      </c>
      <c r="G33" s="32">
        <v>50</v>
      </c>
      <c r="H33" s="54"/>
      <c r="I33" s="33" t="b">
        <v>1</v>
      </c>
      <c r="J33" s="34" t="b">
        <v>1</v>
      </c>
      <c r="K33" s="35" t="b">
        <v>1</v>
      </c>
      <c r="L33" s="27" t="s">
        <v>171</v>
      </c>
      <c r="M33" s="27" t="s">
        <v>34</v>
      </c>
      <c r="N33" s="33">
        <v>13</v>
      </c>
      <c r="O33" s="34">
        <v>5</v>
      </c>
      <c r="P33" s="35">
        <v>3</v>
      </c>
      <c r="Q33" s="28">
        <v>6000</v>
      </c>
      <c r="R33" s="36">
        <v>78000</v>
      </c>
      <c r="S33" s="37">
        <v>30000</v>
      </c>
      <c r="T33" s="38">
        <v>18000</v>
      </c>
      <c r="U33" s="27" t="s">
        <v>39</v>
      </c>
    </row>
    <row r="34" spans="1:21">
      <c r="A34" s="39" t="s">
        <v>97</v>
      </c>
      <c r="B34" s="46" t="s">
        <v>193</v>
      </c>
      <c r="C34" s="40">
        <v>300000</v>
      </c>
      <c r="D34" s="41">
        <v>0.25</v>
      </c>
      <c r="E34" s="41">
        <v>0.1</v>
      </c>
      <c r="F34" s="41">
        <v>0.05</v>
      </c>
      <c r="G34" s="42">
        <v>20</v>
      </c>
      <c r="H34" s="55" t="s">
        <v>6</v>
      </c>
      <c r="I34" s="42" t="b">
        <v>1</v>
      </c>
      <c r="J34" s="42" t="b">
        <v>1</v>
      </c>
      <c r="K34" s="42" t="b">
        <v>1</v>
      </c>
      <c r="L34" s="39" t="s">
        <v>171</v>
      </c>
      <c r="M34" s="39" t="s">
        <v>34</v>
      </c>
      <c r="N34" s="42">
        <v>5</v>
      </c>
      <c r="O34" s="42">
        <v>2</v>
      </c>
      <c r="P34" s="42">
        <v>1</v>
      </c>
      <c r="Q34" s="40">
        <v>15000</v>
      </c>
      <c r="R34" s="40">
        <v>75000</v>
      </c>
      <c r="S34" s="40">
        <v>30000</v>
      </c>
      <c r="T34" s="40">
        <v>15000</v>
      </c>
      <c r="U34" s="39" t="s">
        <v>39</v>
      </c>
    </row>
    <row r="35" spans="1:21">
      <c r="A35" s="27" t="s">
        <v>97</v>
      </c>
      <c r="B35" s="50" t="s">
        <v>194</v>
      </c>
      <c r="C35" s="28">
        <v>260000</v>
      </c>
      <c r="D35" s="29">
        <v>0.30769999999999997</v>
      </c>
      <c r="E35" s="30">
        <v>0.15379999999999999</v>
      </c>
      <c r="F35" s="31">
        <v>7.6899999999999996E-2</v>
      </c>
      <c r="G35" s="32">
        <v>52</v>
      </c>
      <c r="H35" s="54"/>
      <c r="I35" s="33" t="b">
        <v>1</v>
      </c>
      <c r="J35" s="34" t="b">
        <v>1</v>
      </c>
      <c r="K35" s="35" t="b">
        <v>1</v>
      </c>
      <c r="L35" s="27" t="s">
        <v>171</v>
      </c>
      <c r="M35" s="27" t="s">
        <v>34</v>
      </c>
      <c r="N35" s="33">
        <v>16</v>
      </c>
      <c r="O35" s="34">
        <v>8</v>
      </c>
      <c r="P35" s="35">
        <v>4</v>
      </c>
      <c r="Q35" s="28">
        <v>5000</v>
      </c>
      <c r="R35" s="36">
        <v>80000</v>
      </c>
      <c r="S35" s="37">
        <v>40000</v>
      </c>
      <c r="T35" s="38">
        <v>20000</v>
      </c>
      <c r="U35" s="27" t="s">
        <v>39</v>
      </c>
    </row>
    <row r="36" spans="1:21">
      <c r="A36" s="27" t="s">
        <v>97</v>
      </c>
      <c r="B36" s="50" t="s">
        <v>195</v>
      </c>
      <c r="C36" s="28">
        <v>2160000</v>
      </c>
      <c r="D36" s="29">
        <v>0.25</v>
      </c>
      <c r="E36" s="30">
        <v>0.1</v>
      </c>
      <c r="F36" s="31">
        <v>0.05</v>
      </c>
      <c r="G36" s="32">
        <v>60</v>
      </c>
      <c r="H36" s="54"/>
      <c r="I36" s="33" t="b">
        <v>1</v>
      </c>
      <c r="J36" s="34" t="b">
        <v>1</v>
      </c>
      <c r="K36" s="35" t="b">
        <v>1</v>
      </c>
      <c r="L36" s="27" t="s">
        <v>171</v>
      </c>
      <c r="M36" s="27" t="s">
        <v>34</v>
      </c>
      <c r="N36" s="33">
        <v>15</v>
      </c>
      <c r="O36" s="34">
        <v>6</v>
      </c>
      <c r="P36" s="35">
        <v>3</v>
      </c>
      <c r="Q36" s="28">
        <v>36000</v>
      </c>
      <c r="R36" s="36">
        <v>540000</v>
      </c>
      <c r="S36" s="37">
        <v>216000</v>
      </c>
      <c r="T36" s="38">
        <v>108000</v>
      </c>
      <c r="U36" s="27" t="s">
        <v>40</v>
      </c>
    </row>
    <row r="37" spans="1:21">
      <c r="A37" s="27" t="s">
        <v>98</v>
      </c>
      <c r="B37" s="50" t="s">
        <v>196</v>
      </c>
      <c r="C37" s="28">
        <v>2116800</v>
      </c>
      <c r="D37" s="29">
        <v>0.25</v>
      </c>
      <c r="E37" s="30">
        <v>0.1</v>
      </c>
      <c r="F37" s="31">
        <v>0.05</v>
      </c>
      <c r="G37" s="32">
        <v>22</v>
      </c>
      <c r="H37" s="54"/>
      <c r="I37" s="33" t="b">
        <v>1</v>
      </c>
      <c r="J37" s="34" t="b">
        <v>1</v>
      </c>
      <c r="K37" s="35" t="b">
        <v>1</v>
      </c>
      <c r="L37" s="27" t="s">
        <v>197</v>
      </c>
      <c r="M37" s="27" t="s">
        <v>34</v>
      </c>
      <c r="N37" s="33">
        <v>6</v>
      </c>
      <c r="O37" s="34">
        <v>2</v>
      </c>
      <c r="P37" s="35">
        <v>1</v>
      </c>
      <c r="Q37" s="28">
        <v>96218.181818181823</v>
      </c>
      <c r="R37" s="36">
        <v>577309.09090909094</v>
      </c>
      <c r="S37" s="37">
        <v>192436.36363636359</v>
      </c>
      <c r="T37" s="38">
        <v>96218.181818181823</v>
      </c>
      <c r="U37" s="27" t="s">
        <v>37</v>
      </c>
    </row>
    <row r="38" spans="1:21">
      <c r="A38" s="27" t="s">
        <v>98</v>
      </c>
      <c r="B38" s="50" t="s">
        <v>198</v>
      </c>
      <c r="C38" s="28">
        <v>2400000</v>
      </c>
      <c r="D38" s="29">
        <v>0.2571</v>
      </c>
      <c r="E38" s="30">
        <v>0.1143</v>
      </c>
      <c r="F38" s="31">
        <v>8.5699999999999998E-2</v>
      </c>
      <c r="G38" s="32">
        <v>35</v>
      </c>
      <c r="H38" s="54"/>
      <c r="I38" s="33" t="b">
        <v>1</v>
      </c>
      <c r="J38" s="34" t="b">
        <v>1</v>
      </c>
      <c r="K38" s="35" t="b">
        <v>1</v>
      </c>
      <c r="L38" s="27" t="s">
        <v>197</v>
      </c>
      <c r="M38" s="27" t="s">
        <v>34</v>
      </c>
      <c r="N38" s="33">
        <v>9</v>
      </c>
      <c r="O38" s="34">
        <v>4</v>
      </c>
      <c r="P38" s="35">
        <v>3</v>
      </c>
      <c r="Q38" s="28">
        <v>68571.428571428565</v>
      </c>
      <c r="R38" s="36">
        <v>617142.85714285704</v>
      </c>
      <c r="S38" s="37">
        <v>274285.71428571432</v>
      </c>
      <c r="T38" s="38">
        <v>205714.28571428571</v>
      </c>
      <c r="U38" s="27" t="s">
        <v>38</v>
      </c>
    </row>
    <row r="39" spans="1:21">
      <c r="A39" s="27" t="s">
        <v>98</v>
      </c>
      <c r="B39" s="50" t="s">
        <v>199</v>
      </c>
      <c r="C39" s="28">
        <v>1050000</v>
      </c>
      <c r="D39" s="29">
        <v>0.25</v>
      </c>
      <c r="E39" s="30">
        <v>0.1</v>
      </c>
      <c r="F39" s="31">
        <v>0.05</v>
      </c>
      <c r="G39" s="32">
        <v>35</v>
      </c>
      <c r="H39" s="54"/>
      <c r="I39" s="33" t="b">
        <v>1</v>
      </c>
      <c r="J39" s="34" t="b">
        <v>1</v>
      </c>
      <c r="K39" s="35" t="b">
        <v>1</v>
      </c>
      <c r="L39" s="27" t="s">
        <v>197</v>
      </c>
      <c r="M39" s="27" t="s">
        <v>34</v>
      </c>
      <c r="N39" s="33">
        <v>9</v>
      </c>
      <c r="O39" s="34">
        <v>4</v>
      </c>
      <c r="P39" s="35">
        <v>2</v>
      </c>
      <c r="Q39" s="28">
        <v>30000</v>
      </c>
      <c r="R39" s="36">
        <v>270000</v>
      </c>
      <c r="S39" s="37">
        <v>120000</v>
      </c>
      <c r="T39" s="38">
        <v>60000</v>
      </c>
      <c r="U39" s="27" t="s">
        <v>38</v>
      </c>
    </row>
    <row r="40" spans="1:21">
      <c r="A40" s="27" t="s">
        <v>98</v>
      </c>
      <c r="B40" s="50" t="s">
        <v>200</v>
      </c>
      <c r="C40" s="28">
        <v>8200000</v>
      </c>
      <c r="D40" s="29">
        <v>0.25</v>
      </c>
      <c r="E40" s="30">
        <v>0.1</v>
      </c>
      <c r="F40" s="31">
        <v>0.05</v>
      </c>
      <c r="G40" s="32">
        <v>410</v>
      </c>
      <c r="H40" s="54"/>
      <c r="I40" s="33" t="b">
        <v>1</v>
      </c>
      <c r="J40" s="34" t="b">
        <v>1</v>
      </c>
      <c r="K40" s="35" t="b">
        <v>1</v>
      </c>
      <c r="L40" s="27" t="s">
        <v>197</v>
      </c>
      <c r="M40" s="27" t="s">
        <v>34</v>
      </c>
      <c r="N40" s="33">
        <v>102</v>
      </c>
      <c r="O40" s="34">
        <v>41</v>
      </c>
      <c r="P40" s="35">
        <v>20</v>
      </c>
      <c r="Q40" s="28">
        <v>20000</v>
      </c>
      <c r="R40" s="36">
        <v>2040000</v>
      </c>
      <c r="S40" s="37">
        <v>820000</v>
      </c>
      <c r="T40" s="38">
        <v>400000</v>
      </c>
      <c r="U40" s="27" t="s">
        <v>38</v>
      </c>
    </row>
    <row r="41" spans="1:21">
      <c r="A41" s="39" t="s">
        <v>98</v>
      </c>
      <c r="B41" s="64" t="s">
        <v>201</v>
      </c>
      <c r="C41" s="40">
        <v>400000</v>
      </c>
      <c r="D41" s="41">
        <v>0.25</v>
      </c>
      <c r="E41" s="41">
        <v>0.1</v>
      </c>
      <c r="F41" s="41">
        <v>0.05</v>
      </c>
      <c r="G41" s="42">
        <v>20</v>
      </c>
      <c r="H41" s="55" t="s">
        <v>13</v>
      </c>
      <c r="I41" s="42" t="b">
        <v>1</v>
      </c>
      <c r="J41" s="42" t="b">
        <v>1</v>
      </c>
      <c r="K41" s="42" t="b">
        <v>1</v>
      </c>
      <c r="L41" s="39" t="s">
        <v>197</v>
      </c>
      <c r="M41" s="39" t="s">
        <v>34</v>
      </c>
      <c r="N41" s="42">
        <v>5</v>
      </c>
      <c r="O41" s="42">
        <v>2</v>
      </c>
      <c r="P41" s="42">
        <v>1</v>
      </c>
      <c r="Q41" s="40">
        <v>20000</v>
      </c>
      <c r="R41" s="40">
        <v>100000</v>
      </c>
      <c r="S41" s="40">
        <v>40000</v>
      </c>
      <c r="T41" s="40">
        <v>20000</v>
      </c>
      <c r="U41" s="39" t="s">
        <v>38</v>
      </c>
    </row>
    <row r="42" spans="1:21">
      <c r="A42" s="27" t="s">
        <v>98</v>
      </c>
      <c r="B42" s="50" t="s">
        <v>202</v>
      </c>
      <c r="C42" s="28">
        <v>2100000</v>
      </c>
      <c r="D42" s="29">
        <v>0.25</v>
      </c>
      <c r="E42" s="30">
        <v>0.1</v>
      </c>
      <c r="F42" s="31">
        <v>0.05</v>
      </c>
      <c r="G42" s="32">
        <v>210</v>
      </c>
      <c r="H42" s="54"/>
      <c r="I42" s="33" t="b">
        <v>1</v>
      </c>
      <c r="J42" s="34" t="b">
        <v>1</v>
      </c>
      <c r="K42" s="35" t="b">
        <v>1</v>
      </c>
      <c r="L42" s="27" t="s">
        <v>197</v>
      </c>
      <c r="M42" s="27" t="s">
        <v>34</v>
      </c>
      <c r="N42" s="33">
        <v>52</v>
      </c>
      <c r="O42" s="34">
        <v>21</v>
      </c>
      <c r="P42" s="35">
        <v>10</v>
      </c>
      <c r="Q42" s="28">
        <v>10000</v>
      </c>
      <c r="R42" s="36">
        <v>520000</v>
      </c>
      <c r="S42" s="37">
        <v>210000</v>
      </c>
      <c r="T42" s="38">
        <v>100000</v>
      </c>
      <c r="U42" s="27" t="s">
        <v>40</v>
      </c>
    </row>
    <row r="43" spans="1:21">
      <c r="A43" s="27" t="s">
        <v>99</v>
      </c>
      <c r="B43" s="50" t="s">
        <v>203</v>
      </c>
      <c r="C43" s="28">
        <v>2000000</v>
      </c>
      <c r="D43" s="29">
        <v>0.25</v>
      </c>
      <c r="E43" s="30">
        <v>0.25</v>
      </c>
      <c r="F43" s="31">
        <v>0.05</v>
      </c>
      <c r="G43" s="32">
        <v>52</v>
      </c>
      <c r="H43" s="54"/>
      <c r="I43" s="33" t="b">
        <v>1</v>
      </c>
      <c r="J43" s="34" t="b">
        <v>1</v>
      </c>
      <c r="K43" s="35" t="b">
        <v>1</v>
      </c>
      <c r="L43" s="27" t="s">
        <v>204</v>
      </c>
      <c r="M43" s="27" t="s">
        <v>34</v>
      </c>
      <c r="N43" s="33">
        <v>13</v>
      </c>
      <c r="O43" s="34">
        <v>13</v>
      </c>
      <c r="P43" s="35">
        <v>3</v>
      </c>
      <c r="Q43" s="28">
        <v>38461.538461538461</v>
      </c>
      <c r="R43" s="36">
        <v>500000</v>
      </c>
      <c r="S43" s="37">
        <v>500000</v>
      </c>
      <c r="T43" s="38">
        <v>115384.6153846154</v>
      </c>
      <c r="U43" s="27" t="s">
        <v>38</v>
      </c>
    </row>
    <row r="44" spans="1:21">
      <c r="A44" s="27" t="s">
        <v>99</v>
      </c>
      <c r="B44" s="50" t="s">
        <v>205</v>
      </c>
      <c r="C44" s="28">
        <v>2000000</v>
      </c>
      <c r="D44" s="29">
        <v>0.25</v>
      </c>
      <c r="E44" s="30">
        <v>0.25</v>
      </c>
      <c r="F44" s="31">
        <v>0.05</v>
      </c>
      <c r="G44" s="32">
        <v>44</v>
      </c>
      <c r="H44" s="54"/>
      <c r="I44" s="33" t="b">
        <v>1</v>
      </c>
      <c r="J44" s="34" t="b">
        <v>1</v>
      </c>
      <c r="K44" s="35" t="b">
        <v>1</v>
      </c>
      <c r="L44" s="27" t="s">
        <v>204</v>
      </c>
      <c r="M44" s="27" t="s">
        <v>34</v>
      </c>
      <c r="N44" s="33">
        <v>11</v>
      </c>
      <c r="O44" s="34">
        <v>11</v>
      </c>
      <c r="P44" s="35">
        <v>2</v>
      </c>
      <c r="Q44" s="28">
        <v>45454.545454545463</v>
      </c>
      <c r="R44" s="36">
        <v>500000</v>
      </c>
      <c r="S44" s="37">
        <v>500000</v>
      </c>
      <c r="T44" s="38">
        <v>90909.090909090912</v>
      </c>
      <c r="U44" s="27" t="s">
        <v>38</v>
      </c>
    </row>
    <row r="45" spans="1:21">
      <c r="A45" s="27" t="s">
        <v>99</v>
      </c>
      <c r="B45" s="50" t="s">
        <v>206</v>
      </c>
      <c r="C45" s="28">
        <v>2000000</v>
      </c>
      <c r="D45" s="29">
        <v>0.25</v>
      </c>
      <c r="E45" s="30">
        <v>0.25</v>
      </c>
      <c r="F45" s="31">
        <v>0.05</v>
      </c>
      <c r="G45" s="32">
        <v>32</v>
      </c>
      <c r="H45" s="54"/>
      <c r="I45" s="33" t="b">
        <v>1</v>
      </c>
      <c r="J45" s="34" t="b">
        <v>1</v>
      </c>
      <c r="K45" s="35" t="b">
        <v>1</v>
      </c>
      <c r="L45" s="27" t="s">
        <v>204</v>
      </c>
      <c r="M45" s="27" t="s">
        <v>34</v>
      </c>
      <c r="N45" s="33">
        <v>8</v>
      </c>
      <c r="O45" s="34">
        <v>8</v>
      </c>
      <c r="P45" s="35">
        <v>2</v>
      </c>
      <c r="Q45" s="28">
        <v>62500</v>
      </c>
      <c r="R45" s="36">
        <v>500000</v>
      </c>
      <c r="S45" s="37">
        <v>500000</v>
      </c>
      <c r="T45" s="38">
        <v>125000</v>
      </c>
      <c r="U45" s="27" t="s">
        <v>38</v>
      </c>
    </row>
    <row r="46" spans="1:21">
      <c r="A46" s="27" t="s">
        <v>99</v>
      </c>
      <c r="B46" s="50" t="s">
        <v>207</v>
      </c>
      <c r="C46" s="28">
        <v>2000000</v>
      </c>
      <c r="D46" s="29">
        <v>0.1905</v>
      </c>
      <c r="E46" s="30">
        <v>0.1905</v>
      </c>
      <c r="F46" s="31">
        <v>0.16669999999999999</v>
      </c>
      <c r="G46" s="32">
        <v>42</v>
      </c>
      <c r="H46" s="54"/>
      <c r="I46" s="33" t="b">
        <v>0</v>
      </c>
      <c r="J46" s="34" t="b">
        <v>1</v>
      </c>
      <c r="K46" s="35" t="b">
        <v>1</v>
      </c>
      <c r="L46" s="27" t="s">
        <v>204</v>
      </c>
      <c r="M46" s="27" t="s">
        <v>34</v>
      </c>
      <c r="N46" s="33">
        <v>8</v>
      </c>
      <c r="O46" s="34">
        <v>8</v>
      </c>
      <c r="P46" s="35">
        <v>7</v>
      </c>
      <c r="Q46" s="28">
        <v>47619.047619047618</v>
      </c>
      <c r="R46" s="36">
        <v>380952.38095238089</v>
      </c>
      <c r="S46" s="37">
        <v>380952.38095238089</v>
      </c>
      <c r="T46" s="38">
        <v>333333.33333333331</v>
      </c>
      <c r="U46" s="27" t="s">
        <v>38</v>
      </c>
    </row>
    <row r="47" spans="1:21">
      <c r="A47" s="27" t="s">
        <v>99</v>
      </c>
      <c r="B47" s="50" t="s">
        <v>208</v>
      </c>
      <c r="C47" s="28">
        <v>2000000</v>
      </c>
      <c r="D47" s="29">
        <v>0.25</v>
      </c>
      <c r="E47" s="30">
        <v>0.25</v>
      </c>
      <c r="F47" s="31">
        <v>0.05</v>
      </c>
      <c r="G47" s="32">
        <v>30</v>
      </c>
      <c r="H47" s="54"/>
      <c r="I47" s="33" t="b">
        <v>1</v>
      </c>
      <c r="J47" s="34" t="b">
        <v>1</v>
      </c>
      <c r="K47" s="35" t="b">
        <v>1</v>
      </c>
      <c r="L47" s="27" t="s">
        <v>204</v>
      </c>
      <c r="M47" s="27" t="s">
        <v>34</v>
      </c>
      <c r="N47" s="33">
        <v>8</v>
      </c>
      <c r="O47" s="34">
        <v>8</v>
      </c>
      <c r="P47" s="35">
        <v>2</v>
      </c>
      <c r="Q47" s="28">
        <v>66666.666666666672</v>
      </c>
      <c r="R47" s="36">
        <v>533333.33333333337</v>
      </c>
      <c r="S47" s="37">
        <v>533333.33333333337</v>
      </c>
      <c r="T47" s="38">
        <v>133333.33333333331</v>
      </c>
      <c r="U47" s="27" t="s">
        <v>38</v>
      </c>
    </row>
    <row r="48" spans="1:21">
      <c r="A48" s="27" t="s">
        <v>99</v>
      </c>
      <c r="B48" s="50" t="s">
        <v>209</v>
      </c>
      <c r="C48" s="28">
        <v>2000000</v>
      </c>
      <c r="D48" s="29">
        <v>0.25</v>
      </c>
      <c r="E48" s="30">
        <v>0.25</v>
      </c>
      <c r="F48" s="31">
        <v>0.05</v>
      </c>
      <c r="G48" s="32">
        <v>42</v>
      </c>
      <c r="H48" s="54"/>
      <c r="I48" s="33" t="b">
        <v>1</v>
      </c>
      <c r="J48" s="34" t="b">
        <v>1</v>
      </c>
      <c r="K48" s="35" t="b">
        <v>1</v>
      </c>
      <c r="L48" s="27" t="s">
        <v>204</v>
      </c>
      <c r="M48" s="27" t="s">
        <v>34</v>
      </c>
      <c r="N48" s="33">
        <v>10</v>
      </c>
      <c r="O48" s="34">
        <v>10</v>
      </c>
      <c r="P48" s="35">
        <v>2</v>
      </c>
      <c r="Q48" s="28">
        <v>47619.047619047618</v>
      </c>
      <c r="R48" s="36">
        <v>476190.47619047621</v>
      </c>
      <c r="S48" s="37">
        <v>476190.47619047621</v>
      </c>
      <c r="T48" s="38">
        <v>95238.095238095237</v>
      </c>
      <c r="U48" s="27" t="s">
        <v>38</v>
      </c>
    </row>
    <row r="49" spans="1:21">
      <c r="A49" s="39" t="s">
        <v>99</v>
      </c>
      <c r="B49" s="46" t="s">
        <v>210</v>
      </c>
      <c r="C49" s="40">
        <v>1485000</v>
      </c>
      <c r="D49" s="41">
        <v>0.25</v>
      </c>
      <c r="E49" s="41">
        <v>0.25</v>
      </c>
      <c r="F49" s="41">
        <v>0.05</v>
      </c>
      <c r="G49" s="42">
        <v>30</v>
      </c>
      <c r="H49" s="56" t="s">
        <v>183</v>
      </c>
      <c r="I49" s="42" t="b">
        <v>1</v>
      </c>
      <c r="J49" s="42" t="b">
        <v>1</v>
      </c>
      <c r="K49" s="42" t="b">
        <v>1</v>
      </c>
      <c r="L49" s="39" t="s">
        <v>204</v>
      </c>
      <c r="M49" s="39" t="s">
        <v>34</v>
      </c>
      <c r="N49" s="42">
        <v>8</v>
      </c>
      <c r="O49" s="42">
        <v>8</v>
      </c>
      <c r="P49" s="42">
        <v>2</v>
      </c>
      <c r="Q49" s="40">
        <v>49500</v>
      </c>
      <c r="R49" s="40">
        <v>396000</v>
      </c>
      <c r="S49" s="40">
        <v>396000</v>
      </c>
      <c r="T49" s="40">
        <v>99000</v>
      </c>
      <c r="U49" s="39" t="s">
        <v>38</v>
      </c>
    </row>
    <row r="50" spans="1:21">
      <c r="A50" s="27" t="s">
        <v>99</v>
      </c>
      <c r="B50" s="50" t="s">
        <v>211</v>
      </c>
      <c r="C50" s="28">
        <v>2000000</v>
      </c>
      <c r="D50" s="29">
        <v>0.25</v>
      </c>
      <c r="E50" s="30">
        <v>0.25</v>
      </c>
      <c r="F50" s="31">
        <v>0.05</v>
      </c>
      <c r="G50" s="32">
        <v>38</v>
      </c>
      <c r="H50" s="54"/>
      <c r="I50" s="33" t="b">
        <v>1</v>
      </c>
      <c r="J50" s="34" t="b">
        <v>1</v>
      </c>
      <c r="K50" s="35" t="b">
        <v>1</v>
      </c>
      <c r="L50" s="27" t="s">
        <v>204</v>
      </c>
      <c r="M50" s="27" t="s">
        <v>34</v>
      </c>
      <c r="N50" s="33">
        <v>10</v>
      </c>
      <c r="O50" s="34">
        <v>10</v>
      </c>
      <c r="P50" s="35">
        <v>2</v>
      </c>
      <c r="Q50" s="28">
        <v>52631.57894736842</v>
      </c>
      <c r="R50" s="36">
        <v>526315.78947368416</v>
      </c>
      <c r="S50" s="37">
        <v>526315.78947368416</v>
      </c>
      <c r="T50" s="38">
        <v>105263.1578947368</v>
      </c>
      <c r="U50" s="27" t="s">
        <v>38</v>
      </c>
    </row>
    <row r="51" spans="1:21">
      <c r="A51" s="39" t="s">
        <v>99</v>
      </c>
      <c r="B51" s="46" t="s">
        <v>212</v>
      </c>
      <c r="C51" s="40">
        <v>1413000</v>
      </c>
      <c r="D51" s="41">
        <v>1</v>
      </c>
      <c r="E51" s="41">
        <v>0</v>
      </c>
      <c r="F51" s="41">
        <v>0.25</v>
      </c>
      <c r="G51" s="42">
        <v>44</v>
      </c>
      <c r="H51" s="55" t="s">
        <v>213</v>
      </c>
      <c r="I51" s="42" t="b">
        <v>1</v>
      </c>
      <c r="J51" s="42" t="b">
        <v>1</v>
      </c>
      <c r="K51" s="42" t="b">
        <v>1</v>
      </c>
      <c r="L51" s="39" t="s">
        <v>204</v>
      </c>
      <c r="M51" s="39" t="s">
        <v>34</v>
      </c>
      <c r="N51" s="42">
        <v>44</v>
      </c>
      <c r="O51" s="42">
        <v>0</v>
      </c>
      <c r="P51" s="42">
        <v>11</v>
      </c>
      <c r="Q51" s="40">
        <v>32113.63636363636</v>
      </c>
      <c r="R51" s="40">
        <v>1413000</v>
      </c>
      <c r="S51" s="40">
        <v>0</v>
      </c>
      <c r="T51" s="40">
        <v>353250</v>
      </c>
      <c r="U51" s="39" t="s">
        <v>38</v>
      </c>
    </row>
    <row r="52" spans="1:21">
      <c r="A52" s="39" t="s">
        <v>99</v>
      </c>
      <c r="B52" s="46" t="s">
        <v>214</v>
      </c>
      <c r="C52" s="40">
        <v>1413000</v>
      </c>
      <c r="D52" s="41">
        <v>0</v>
      </c>
      <c r="E52" s="41">
        <v>1</v>
      </c>
      <c r="F52" s="41">
        <v>0.125</v>
      </c>
      <c r="G52" s="42">
        <v>40</v>
      </c>
      <c r="H52" s="55" t="s">
        <v>168</v>
      </c>
      <c r="I52" s="42" t="b">
        <v>1</v>
      </c>
      <c r="J52" s="42" t="b">
        <v>1</v>
      </c>
      <c r="K52" s="42" t="b">
        <v>1</v>
      </c>
      <c r="L52" s="39" t="s">
        <v>204</v>
      </c>
      <c r="M52" s="39" t="s">
        <v>34</v>
      </c>
      <c r="N52" s="42">
        <v>0</v>
      </c>
      <c r="O52" s="42">
        <v>40</v>
      </c>
      <c r="P52" s="42">
        <v>5</v>
      </c>
      <c r="Q52" s="40">
        <v>35325</v>
      </c>
      <c r="R52" s="40">
        <v>0</v>
      </c>
      <c r="S52" s="40">
        <v>1413000</v>
      </c>
      <c r="T52" s="40">
        <v>176625</v>
      </c>
      <c r="U52" s="39" t="s">
        <v>38</v>
      </c>
    </row>
    <row r="53" spans="1:21">
      <c r="A53" s="27" t="s">
        <v>99</v>
      </c>
      <c r="B53" s="50" t="s">
        <v>215</v>
      </c>
      <c r="C53" s="28">
        <v>1500000</v>
      </c>
      <c r="D53" s="29">
        <v>0.25</v>
      </c>
      <c r="E53" s="30">
        <v>0.25</v>
      </c>
      <c r="F53" s="31">
        <v>0.05</v>
      </c>
      <c r="G53" s="32">
        <v>40</v>
      </c>
      <c r="H53" s="54"/>
      <c r="I53" s="33" t="b">
        <v>1</v>
      </c>
      <c r="J53" s="34" t="b">
        <v>1</v>
      </c>
      <c r="K53" s="35" t="b">
        <v>1</v>
      </c>
      <c r="L53" s="27" t="s">
        <v>204</v>
      </c>
      <c r="M53" s="27" t="s">
        <v>34</v>
      </c>
      <c r="N53" s="33">
        <v>10</v>
      </c>
      <c r="O53" s="34">
        <v>10</v>
      </c>
      <c r="P53" s="35">
        <v>2</v>
      </c>
      <c r="Q53" s="28">
        <v>37500</v>
      </c>
      <c r="R53" s="36">
        <v>375000</v>
      </c>
      <c r="S53" s="37">
        <v>375000</v>
      </c>
      <c r="T53" s="38">
        <v>75000</v>
      </c>
      <c r="U53" s="27" t="s">
        <v>38</v>
      </c>
    </row>
    <row r="54" spans="1:21">
      <c r="A54" s="27" t="s">
        <v>99</v>
      </c>
      <c r="B54" s="50" t="s">
        <v>216</v>
      </c>
      <c r="C54" s="28">
        <v>6500000</v>
      </c>
      <c r="D54" s="29">
        <v>0.25</v>
      </c>
      <c r="E54" s="30">
        <v>0.25</v>
      </c>
      <c r="F54" s="31">
        <v>0.05</v>
      </c>
      <c r="G54" s="32">
        <v>106</v>
      </c>
      <c r="H54" s="54"/>
      <c r="I54" s="33" t="b">
        <v>1</v>
      </c>
      <c r="J54" s="34" t="b">
        <v>1</v>
      </c>
      <c r="K54" s="35" t="b">
        <v>1</v>
      </c>
      <c r="L54" s="27" t="s">
        <v>204</v>
      </c>
      <c r="M54" s="27" t="s">
        <v>34</v>
      </c>
      <c r="N54" s="33">
        <v>26</v>
      </c>
      <c r="O54" s="34">
        <v>26</v>
      </c>
      <c r="P54" s="35">
        <v>5</v>
      </c>
      <c r="Q54" s="28">
        <v>61320.75471698113</v>
      </c>
      <c r="R54" s="36">
        <v>1594339.6226415089</v>
      </c>
      <c r="S54" s="37">
        <v>1594339.6226415089</v>
      </c>
      <c r="T54" s="38">
        <v>306603.77358490572</v>
      </c>
      <c r="U54" s="27" t="s">
        <v>38</v>
      </c>
    </row>
    <row r="55" spans="1:21">
      <c r="A55" s="27" t="s">
        <v>99</v>
      </c>
      <c r="B55" s="50" t="s">
        <v>217</v>
      </c>
      <c r="C55" s="28">
        <v>930000</v>
      </c>
      <c r="D55" s="29">
        <v>0.25</v>
      </c>
      <c r="E55" s="30">
        <v>0.25</v>
      </c>
      <c r="F55" s="31">
        <v>0.05</v>
      </c>
      <c r="G55" s="32">
        <v>18</v>
      </c>
      <c r="H55" s="54"/>
      <c r="I55" s="33" t="b">
        <v>1</v>
      </c>
      <c r="J55" s="34" t="b">
        <v>1</v>
      </c>
      <c r="K55" s="35" t="b">
        <v>1</v>
      </c>
      <c r="L55" s="27" t="s">
        <v>204</v>
      </c>
      <c r="M55" s="27" t="s">
        <v>34</v>
      </c>
      <c r="N55" s="33">
        <v>4</v>
      </c>
      <c r="O55" s="34">
        <v>4</v>
      </c>
      <c r="P55" s="35">
        <v>1</v>
      </c>
      <c r="Q55" s="28">
        <v>51666.666666666657</v>
      </c>
      <c r="R55" s="36">
        <v>206666.66666666669</v>
      </c>
      <c r="S55" s="37">
        <v>206666.66666666669</v>
      </c>
      <c r="T55" s="38">
        <v>51666.666666666657</v>
      </c>
      <c r="U55" s="27" t="s">
        <v>38</v>
      </c>
    </row>
    <row r="56" spans="1:21">
      <c r="A56" s="27" t="s">
        <v>99</v>
      </c>
      <c r="B56" s="50" t="s">
        <v>218</v>
      </c>
      <c r="C56" s="28">
        <v>3000000</v>
      </c>
      <c r="D56" s="29">
        <v>0.24</v>
      </c>
      <c r="E56" s="30">
        <v>0.24</v>
      </c>
      <c r="F56" s="31">
        <v>0.12</v>
      </c>
      <c r="G56" s="32">
        <v>25</v>
      </c>
      <c r="H56" s="54"/>
      <c r="I56" s="33" t="b">
        <v>1</v>
      </c>
      <c r="J56" s="34" t="b">
        <v>1</v>
      </c>
      <c r="K56" s="35" t="b">
        <v>1</v>
      </c>
      <c r="L56" s="27" t="s">
        <v>204</v>
      </c>
      <c r="M56" s="27" t="s">
        <v>34</v>
      </c>
      <c r="N56" s="33">
        <v>6</v>
      </c>
      <c r="O56" s="34">
        <v>6</v>
      </c>
      <c r="P56" s="35">
        <v>3</v>
      </c>
      <c r="Q56" s="28">
        <v>120000</v>
      </c>
      <c r="R56" s="36">
        <v>720000</v>
      </c>
      <c r="S56" s="37">
        <v>720000</v>
      </c>
      <c r="T56" s="38">
        <v>360000</v>
      </c>
      <c r="U56" s="27" t="s">
        <v>40</v>
      </c>
    </row>
    <row r="57" spans="1:21">
      <c r="A57" s="27" t="s">
        <v>99</v>
      </c>
      <c r="B57" s="50" t="s">
        <v>219</v>
      </c>
      <c r="C57" s="28">
        <v>150000</v>
      </c>
      <c r="D57" s="29">
        <v>0.25</v>
      </c>
      <c r="E57" s="30">
        <v>0.25</v>
      </c>
      <c r="F57" s="31">
        <v>0.35699999999999998</v>
      </c>
      <c r="G57" s="32">
        <v>28</v>
      </c>
      <c r="H57" s="54"/>
      <c r="I57" s="33" t="b">
        <v>1</v>
      </c>
      <c r="J57" s="34" t="b">
        <v>1</v>
      </c>
      <c r="K57" s="35" t="b">
        <v>1</v>
      </c>
      <c r="L57" s="27" t="s">
        <v>204</v>
      </c>
      <c r="M57" s="27" t="s">
        <v>34</v>
      </c>
      <c r="N57" s="33">
        <v>7</v>
      </c>
      <c r="O57" s="34">
        <v>7</v>
      </c>
      <c r="P57" s="35">
        <v>10</v>
      </c>
      <c r="Q57" s="28">
        <v>5357.1428571428569</v>
      </c>
      <c r="R57" s="36">
        <v>37500</v>
      </c>
      <c r="S57" s="37">
        <v>37500</v>
      </c>
      <c r="T57" s="38">
        <v>53571.428571428572</v>
      </c>
      <c r="U57" s="27" t="s">
        <v>37</v>
      </c>
    </row>
    <row r="58" spans="1:21">
      <c r="A58" s="27" t="s">
        <v>99</v>
      </c>
      <c r="B58" s="50" t="s">
        <v>220</v>
      </c>
      <c r="C58" s="28">
        <v>420000</v>
      </c>
      <c r="D58" s="29">
        <v>0.28000000000000003</v>
      </c>
      <c r="E58" s="30">
        <v>0.28000000000000003</v>
      </c>
      <c r="F58" s="31">
        <v>7.0000000000000007E-2</v>
      </c>
      <c r="G58" s="32">
        <v>14</v>
      </c>
      <c r="H58" s="54"/>
      <c r="I58" s="33" t="b">
        <v>1</v>
      </c>
      <c r="J58" s="34" t="b">
        <v>1</v>
      </c>
      <c r="K58" s="35" t="b">
        <v>1</v>
      </c>
      <c r="L58" s="27" t="s">
        <v>204</v>
      </c>
      <c r="M58" s="27" t="s">
        <v>34</v>
      </c>
      <c r="N58" s="33">
        <v>4</v>
      </c>
      <c r="O58" s="34">
        <v>4</v>
      </c>
      <c r="P58" s="35">
        <v>1</v>
      </c>
      <c r="Q58" s="28">
        <v>30000</v>
      </c>
      <c r="R58" s="36">
        <v>120000</v>
      </c>
      <c r="S58" s="37">
        <v>120000</v>
      </c>
      <c r="T58" s="38">
        <v>30000</v>
      </c>
      <c r="U58" s="27" t="s">
        <v>37</v>
      </c>
    </row>
    <row r="59" spans="1:21">
      <c r="A59" s="27" t="s">
        <v>99</v>
      </c>
      <c r="B59" s="50" t="s">
        <v>221</v>
      </c>
      <c r="C59" s="28">
        <v>384988.4</v>
      </c>
      <c r="D59" s="29">
        <v>0</v>
      </c>
      <c r="E59" s="30">
        <v>0.5</v>
      </c>
      <c r="F59" s="31">
        <v>0</v>
      </c>
      <c r="G59" s="32">
        <v>2</v>
      </c>
      <c r="H59" s="54"/>
      <c r="I59" s="33" t="b">
        <v>1</v>
      </c>
      <c r="J59" s="34" t="b">
        <v>1</v>
      </c>
      <c r="K59" s="35" t="b">
        <v>1</v>
      </c>
      <c r="L59" s="27" t="s">
        <v>204</v>
      </c>
      <c r="M59" s="27" t="s">
        <v>34</v>
      </c>
      <c r="N59" s="33">
        <v>0</v>
      </c>
      <c r="O59" s="34">
        <v>1</v>
      </c>
      <c r="P59" s="35">
        <v>0</v>
      </c>
      <c r="Q59" s="28">
        <v>192494.2</v>
      </c>
      <c r="R59" s="36">
        <v>0</v>
      </c>
      <c r="S59" s="37">
        <v>192494.2</v>
      </c>
      <c r="T59" s="38">
        <v>0</v>
      </c>
      <c r="U59" s="27" t="s">
        <v>37</v>
      </c>
    </row>
    <row r="60" spans="1:21">
      <c r="A60" s="27" t="s">
        <v>99</v>
      </c>
      <c r="B60" s="50" t="s">
        <v>222</v>
      </c>
      <c r="C60" s="28">
        <v>1400000</v>
      </c>
      <c r="D60" s="29">
        <v>0.25</v>
      </c>
      <c r="E60" s="30">
        <v>0.25</v>
      </c>
      <c r="F60" s="31">
        <v>0.05</v>
      </c>
      <c r="G60" s="32">
        <v>40</v>
      </c>
      <c r="H60" s="54"/>
      <c r="I60" s="33" t="b">
        <v>1</v>
      </c>
      <c r="J60" s="34" t="b">
        <v>1</v>
      </c>
      <c r="K60" s="35" t="b">
        <v>1</v>
      </c>
      <c r="L60" s="27" t="s">
        <v>204</v>
      </c>
      <c r="M60" s="27" t="s">
        <v>34</v>
      </c>
      <c r="N60" s="33">
        <v>10</v>
      </c>
      <c r="O60" s="34">
        <v>10</v>
      </c>
      <c r="P60" s="35">
        <v>2</v>
      </c>
      <c r="Q60" s="28">
        <v>35000</v>
      </c>
      <c r="R60" s="36">
        <v>350000</v>
      </c>
      <c r="S60" s="37">
        <v>350000</v>
      </c>
      <c r="T60" s="38">
        <v>70000</v>
      </c>
      <c r="U60" s="27" t="s">
        <v>38</v>
      </c>
    </row>
    <row r="61" spans="1:21">
      <c r="A61" s="27" t="s">
        <v>54</v>
      </c>
      <c r="B61" s="50" t="s">
        <v>223</v>
      </c>
      <c r="C61" s="28">
        <v>250000</v>
      </c>
      <c r="D61" s="29">
        <v>0</v>
      </c>
      <c r="E61" s="30">
        <v>0</v>
      </c>
      <c r="F61" s="31">
        <v>0</v>
      </c>
      <c r="G61" s="32">
        <v>5</v>
      </c>
      <c r="H61" s="54"/>
      <c r="I61" s="33" t="b">
        <v>1</v>
      </c>
      <c r="J61" s="34" t="b">
        <v>1</v>
      </c>
      <c r="K61" s="35" t="b">
        <v>1</v>
      </c>
      <c r="L61" s="27" t="s">
        <v>224</v>
      </c>
      <c r="M61" s="27" t="s">
        <v>33</v>
      </c>
      <c r="N61" s="33">
        <v>0</v>
      </c>
      <c r="O61" s="34">
        <v>0</v>
      </c>
      <c r="P61" s="35">
        <v>0</v>
      </c>
      <c r="Q61" s="28">
        <v>50000</v>
      </c>
      <c r="R61" s="36">
        <v>0</v>
      </c>
      <c r="S61" s="37">
        <v>0</v>
      </c>
      <c r="T61" s="38">
        <v>0</v>
      </c>
      <c r="U61" s="27" t="s">
        <v>36</v>
      </c>
    </row>
    <row r="62" spans="1:21">
      <c r="A62" s="27" t="s">
        <v>54</v>
      </c>
      <c r="B62" s="50" t="s">
        <v>225</v>
      </c>
      <c r="C62" s="28">
        <v>800000</v>
      </c>
      <c r="D62" s="29">
        <v>0.25</v>
      </c>
      <c r="E62" s="30">
        <v>0.1</v>
      </c>
      <c r="F62" s="31">
        <v>0.05</v>
      </c>
      <c r="G62" s="32">
        <v>10</v>
      </c>
      <c r="H62" s="54"/>
      <c r="I62" s="33" t="b">
        <v>1</v>
      </c>
      <c r="J62" s="34" t="b">
        <v>1</v>
      </c>
      <c r="K62" s="35" t="b">
        <v>1</v>
      </c>
      <c r="L62" s="27" t="s">
        <v>224</v>
      </c>
      <c r="M62" s="27" t="s">
        <v>33</v>
      </c>
      <c r="N62" s="33">
        <v>2</v>
      </c>
      <c r="O62" s="34">
        <v>1</v>
      </c>
      <c r="P62" s="35">
        <v>0</v>
      </c>
      <c r="Q62" s="28">
        <v>80000</v>
      </c>
      <c r="R62" s="36">
        <v>160000</v>
      </c>
      <c r="S62" s="37">
        <v>80000</v>
      </c>
      <c r="T62" s="38">
        <v>0</v>
      </c>
      <c r="U62" s="27" t="s">
        <v>37</v>
      </c>
    </row>
    <row r="63" spans="1:21">
      <c r="A63" s="27" t="s">
        <v>54</v>
      </c>
      <c r="B63" s="50" t="s">
        <v>226</v>
      </c>
      <c r="C63" s="28">
        <v>2420000</v>
      </c>
      <c r="D63" s="29">
        <v>0.25</v>
      </c>
      <c r="E63" s="30">
        <v>0.1</v>
      </c>
      <c r="F63" s="31">
        <v>0.05</v>
      </c>
      <c r="G63" s="32">
        <v>60</v>
      </c>
      <c r="H63" s="54"/>
      <c r="I63" s="33" t="b">
        <v>1</v>
      </c>
      <c r="J63" s="34" t="b">
        <v>1</v>
      </c>
      <c r="K63" s="35" t="b">
        <v>1</v>
      </c>
      <c r="L63" s="27" t="s">
        <v>224</v>
      </c>
      <c r="M63" s="27" t="s">
        <v>33</v>
      </c>
      <c r="N63" s="33">
        <v>15</v>
      </c>
      <c r="O63" s="34">
        <v>6</v>
      </c>
      <c r="P63" s="35">
        <v>3</v>
      </c>
      <c r="Q63" s="28">
        <v>40333.333333333343</v>
      </c>
      <c r="R63" s="36">
        <v>605000</v>
      </c>
      <c r="S63" s="37">
        <v>242000</v>
      </c>
      <c r="T63" s="38">
        <v>121000</v>
      </c>
      <c r="U63" s="27" t="s">
        <v>38</v>
      </c>
    </row>
    <row r="64" spans="1:21">
      <c r="A64" s="27" t="s">
        <v>54</v>
      </c>
      <c r="B64" s="50" t="s">
        <v>227</v>
      </c>
      <c r="C64" s="28">
        <v>330085.32</v>
      </c>
      <c r="D64" s="29">
        <v>0.25</v>
      </c>
      <c r="E64" s="30">
        <v>0.1</v>
      </c>
      <c r="F64" s="31">
        <v>0.05</v>
      </c>
      <c r="G64" s="32">
        <v>12</v>
      </c>
      <c r="H64" s="54"/>
      <c r="I64" s="33" t="b">
        <v>1</v>
      </c>
      <c r="J64" s="34" t="b">
        <v>1</v>
      </c>
      <c r="K64" s="35" t="b">
        <v>1</v>
      </c>
      <c r="L64" s="27" t="s">
        <v>224</v>
      </c>
      <c r="M64" s="27" t="s">
        <v>33</v>
      </c>
      <c r="N64" s="33">
        <v>3</v>
      </c>
      <c r="O64" s="34">
        <v>1</v>
      </c>
      <c r="P64" s="35">
        <v>1</v>
      </c>
      <c r="Q64" s="28">
        <v>27507.11</v>
      </c>
      <c r="R64" s="36">
        <v>82521.33</v>
      </c>
      <c r="S64" s="37">
        <v>27507.11</v>
      </c>
      <c r="T64" s="38">
        <v>27507.11</v>
      </c>
      <c r="U64" s="27" t="s">
        <v>37</v>
      </c>
    </row>
    <row r="65" spans="1:21">
      <c r="A65" s="27" t="s">
        <v>100</v>
      </c>
      <c r="B65" s="50" t="s">
        <v>228</v>
      </c>
      <c r="C65" s="28">
        <v>1200000</v>
      </c>
      <c r="D65" s="29">
        <v>0.5</v>
      </c>
      <c r="E65" s="30">
        <v>0.1</v>
      </c>
      <c r="F65" s="31">
        <v>0.05</v>
      </c>
      <c r="G65" s="32">
        <v>20</v>
      </c>
      <c r="H65" s="54"/>
      <c r="I65" s="33" t="b">
        <v>1</v>
      </c>
      <c r="J65" s="34" t="b">
        <v>1</v>
      </c>
      <c r="K65" s="35" t="b">
        <v>1</v>
      </c>
      <c r="L65" s="27" t="s">
        <v>229</v>
      </c>
      <c r="M65" s="27" t="s">
        <v>34</v>
      </c>
      <c r="N65" s="33">
        <v>10</v>
      </c>
      <c r="O65" s="34">
        <v>2</v>
      </c>
      <c r="P65" s="35">
        <v>1</v>
      </c>
      <c r="Q65" s="28">
        <v>60000</v>
      </c>
      <c r="R65" s="36">
        <v>600000</v>
      </c>
      <c r="S65" s="37">
        <v>120000</v>
      </c>
      <c r="T65" s="38">
        <v>60000</v>
      </c>
      <c r="U65" s="27" t="s">
        <v>36</v>
      </c>
    </row>
    <row r="66" spans="1:21">
      <c r="A66" s="27" t="s">
        <v>100</v>
      </c>
      <c r="B66" s="50" t="s">
        <v>230</v>
      </c>
      <c r="C66" s="28">
        <v>1980000</v>
      </c>
      <c r="D66" s="29">
        <v>0.5</v>
      </c>
      <c r="E66" s="30">
        <v>0.5</v>
      </c>
      <c r="F66" s="31">
        <v>0.05</v>
      </c>
      <c r="G66" s="32">
        <v>66</v>
      </c>
      <c r="H66" s="54"/>
      <c r="I66" s="33" t="b">
        <v>1</v>
      </c>
      <c r="J66" s="34" t="b">
        <v>1</v>
      </c>
      <c r="K66" s="35" t="b">
        <v>1</v>
      </c>
      <c r="L66" s="27" t="s">
        <v>229</v>
      </c>
      <c r="M66" s="27" t="s">
        <v>34</v>
      </c>
      <c r="N66" s="33">
        <v>33</v>
      </c>
      <c r="O66" s="34">
        <v>33</v>
      </c>
      <c r="P66" s="35">
        <v>3</v>
      </c>
      <c r="Q66" s="28">
        <v>30000</v>
      </c>
      <c r="R66" s="36">
        <v>990000</v>
      </c>
      <c r="S66" s="37">
        <v>990000</v>
      </c>
      <c r="T66" s="38">
        <v>90000</v>
      </c>
      <c r="U66" s="27" t="s">
        <v>37</v>
      </c>
    </row>
    <row r="67" spans="1:21">
      <c r="A67" s="27" t="s">
        <v>100</v>
      </c>
      <c r="B67" s="50" t="s">
        <v>231</v>
      </c>
      <c r="C67" s="28">
        <v>4220000</v>
      </c>
      <c r="D67" s="29">
        <v>0.5</v>
      </c>
      <c r="E67" s="30">
        <v>0.1</v>
      </c>
      <c r="F67" s="31">
        <v>0.05</v>
      </c>
      <c r="G67" s="32">
        <v>74</v>
      </c>
      <c r="H67" s="54"/>
      <c r="I67" s="33" t="b">
        <v>1</v>
      </c>
      <c r="J67" s="34" t="b">
        <v>1</v>
      </c>
      <c r="K67" s="35" t="b">
        <v>1</v>
      </c>
      <c r="L67" s="27" t="s">
        <v>229</v>
      </c>
      <c r="M67" s="27" t="s">
        <v>34</v>
      </c>
      <c r="N67" s="33">
        <v>37</v>
      </c>
      <c r="O67" s="34">
        <v>7</v>
      </c>
      <c r="P67" s="35">
        <v>4</v>
      </c>
      <c r="Q67" s="28">
        <v>57027.027027027027</v>
      </c>
      <c r="R67" s="36">
        <v>2110000</v>
      </c>
      <c r="S67" s="37">
        <v>399189.18918918917</v>
      </c>
      <c r="T67" s="38">
        <v>228108.10810810811</v>
      </c>
      <c r="U67" s="27" t="s">
        <v>37</v>
      </c>
    </row>
    <row r="68" spans="1:21">
      <c r="A68" s="27" t="s">
        <v>100</v>
      </c>
      <c r="B68" s="50" t="s">
        <v>232</v>
      </c>
      <c r="C68" s="28">
        <v>3840000</v>
      </c>
      <c r="D68" s="29">
        <v>0.5</v>
      </c>
      <c r="E68" s="30">
        <v>0.1</v>
      </c>
      <c r="F68" s="31">
        <v>0.05</v>
      </c>
      <c r="G68" s="32">
        <v>48</v>
      </c>
      <c r="H68" s="54"/>
      <c r="I68" s="33" t="b">
        <v>1</v>
      </c>
      <c r="J68" s="34" t="b">
        <v>1</v>
      </c>
      <c r="K68" s="35" t="b">
        <v>1</v>
      </c>
      <c r="L68" s="27" t="s">
        <v>229</v>
      </c>
      <c r="M68" s="27" t="s">
        <v>34</v>
      </c>
      <c r="N68" s="33">
        <v>24</v>
      </c>
      <c r="O68" s="34">
        <v>5</v>
      </c>
      <c r="P68" s="35">
        <v>2</v>
      </c>
      <c r="Q68" s="28">
        <v>80000</v>
      </c>
      <c r="R68" s="36">
        <v>1920000</v>
      </c>
      <c r="S68" s="37">
        <v>400000</v>
      </c>
      <c r="T68" s="38">
        <v>160000</v>
      </c>
      <c r="U68" s="27" t="s">
        <v>37</v>
      </c>
    </row>
    <row r="69" spans="1:21">
      <c r="A69" s="27" t="s">
        <v>100</v>
      </c>
      <c r="B69" s="50" t="s">
        <v>233</v>
      </c>
      <c r="C69" s="28">
        <v>1080000</v>
      </c>
      <c r="D69" s="29">
        <v>0.5</v>
      </c>
      <c r="E69" s="30">
        <v>0.1</v>
      </c>
      <c r="F69" s="31">
        <v>0.05</v>
      </c>
      <c r="G69" s="32">
        <v>27</v>
      </c>
      <c r="H69" s="54"/>
      <c r="I69" s="33" t="b">
        <v>1</v>
      </c>
      <c r="J69" s="34" t="b">
        <v>1</v>
      </c>
      <c r="K69" s="35" t="b">
        <v>1</v>
      </c>
      <c r="L69" s="27" t="s">
        <v>229</v>
      </c>
      <c r="M69" s="27" t="s">
        <v>34</v>
      </c>
      <c r="N69" s="33">
        <v>14</v>
      </c>
      <c r="O69" s="34">
        <v>3</v>
      </c>
      <c r="P69" s="35">
        <v>1</v>
      </c>
      <c r="Q69" s="28">
        <v>40000</v>
      </c>
      <c r="R69" s="36">
        <v>560000</v>
      </c>
      <c r="S69" s="37">
        <v>120000</v>
      </c>
      <c r="T69" s="38">
        <v>40000</v>
      </c>
      <c r="U69" s="27" t="s">
        <v>37</v>
      </c>
    </row>
    <row r="70" spans="1:21">
      <c r="A70" s="27" t="s">
        <v>100</v>
      </c>
      <c r="B70" s="50" t="s">
        <v>234</v>
      </c>
      <c r="C70" s="28">
        <v>2100000</v>
      </c>
      <c r="D70" s="29">
        <v>0.5</v>
      </c>
      <c r="E70" s="30">
        <v>0.1</v>
      </c>
      <c r="F70" s="31">
        <v>0.05</v>
      </c>
      <c r="G70" s="32">
        <v>7</v>
      </c>
      <c r="H70" s="54"/>
      <c r="I70" s="33" t="b">
        <v>1</v>
      </c>
      <c r="J70" s="34" t="b">
        <v>1</v>
      </c>
      <c r="K70" s="35" t="b">
        <v>1</v>
      </c>
      <c r="L70" s="27" t="s">
        <v>229</v>
      </c>
      <c r="M70" s="27" t="s">
        <v>34</v>
      </c>
      <c r="N70" s="33">
        <v>4</v>
      </c>
      <c r="O70" s="34">
        <v>1</v>
      </c>
      <c r="P70" s="35">
        <v>0</v>
      </c>
      <c r="Q70" s="28">
        <v>300000</v>
      </c>
      <c r="R70" s="36">
        <v>1200000</v>
      </c>
      <c r="S70" s="37">
        <v>300000</v>
      </c>
      <c r="T70" s="38">
        <v>0</v>
      </c>
      <c r="U70" s="27" t="s">
        <v>37</v>
      </c>
    </row>
    <row r="71" spans="1:21">
      <c r="A71" s="27" t="s">
        <v>100</v>
      </c>
      <c r="B71" s="50" t="s">
        <v>235</v>
      </c>
      <c r="C71" s="28">
        <v>7250000</v>
      </c>
      <c r="D71" s="29">
        <v>0.5</v>
      </c>
      <c r="E71" s="30">
        <v>0.1</v>
      </c>
      <c r="F71" s="31">
        <v>0.05</v>
      </c>
      <c r="G71" s="32">
        <v>113</v>
      </c>
      <c r="H71" s="54"/>
      <c r="I71" s="33" t="b">
        <v>1</v>
      </c>
      <c r="J71" s="34" t="b">
        <v>1</v>
      </c>
      <c r="K71" s="35" t="b">
        <v>1</v>
      </c>
      <c r="L71" s="27" t="s">
        <v>229</v>
      </c>
      <c r="M71" s="27" t="s">
        <v>34</v>
      </c>
      <c r="N71" s="33">
        <v>56</v>
      </c>
      <c r="O71" s="34">
        <v>11</v>
      </c>
      <c r="P71" s="35">
        <v>6</v>
      </c>
      <c r="Q71" s="28">
        <v>64159.292035398234</v>
      </c>
      <c r="R71" s="36">
        <v>3592920.353982301</v>
      </c>
      <c r="S71" s="37">
        <v>705752.21238938055</v>
      </c>
      <c r="T71" s="38">
        <v>384955.75221238937</v>
      </c>
      <c r="U71" s="27" t="s">
        <v>38</v>
      </c>
    </row>
    <row r="72" spans="1:21">
      <c r="A72" s="27" t="s">
        <v>100</v>
      </c>
      <c r="B72" s="50" t="s">
        <v>236</v>
      </c>
      <c r="C72" s="28">
        <v>840000</v>
      </c>
      <c r="D72" s="29">
        <v>0.5</v>
      </c>
      <c r="E72" s="30">
        <v>0.1</v>
      </c>
      <c r="F72" s="31">
        <v>0.05</v>
      </c>
      <c r="G72" s="32">
        <v>36</v>
      </c>
      <c r="H72" s="54"/>
      <c r="I72" s="33" t="b">
        <v>1</v>
      </c>
      <c r="J72" s="34" t="b">
        <v>1</v>
      </c>
      <c r="K72" s="35" t="b">
        <v>1</v>
      </c>
      <c r="L72" s="27" t="s">
        <v>229</v>
      </c>
      <c r="M72" s="27" t="s">
        <v>34</v>
      </c>
      <c r="N72" s="33">
        <v>18</v>
      </c>
      <c r="O72" s="34">
        <v>4</v>
      </c>
      <c r="P72" s="35">
        <v>2</v>
      </c>
      <c r="Q72" s="28">
        <v>23333.333333333328</v>
      </c>
      <c r="R72" s="36">
        <v>420000</v>
      </c>
      <c r="S72" s="37">
        <v>93333.333333333328</v>
      </c>
      <c r="T72" s="38">
        <v>46666.666666666657</v>
      </c>
      <c r="U72" s="27" t="s">
        <v>38</v>
      </c>
    </row>
    <row r="73" spans="1:21">
      <c r="A73" s="27" t="s">
        <v>100</v>
      </c>
      <c r="B73" s="50" t="s">
        <v>237</v>
      </c>
      <c r="C73" s="28">
        <v>780000</v>
      </c>
      <c r="D73" s="29">
        <v>0.5</v>
      </c>
      <c r="E73" s="30">
        <v>0.1</v>
      </c>
      <c r="F73" s="31">
        <v>0.05</v>
      </c>
      <c r="G73" s="32">
        <v>12</v>
      </c>
      <c r="H73" s="54"/>
      <c r="I73" s="33" t="b">
        <v>1</v>
      </c>
      <c r="J73" s="34" t="b">
        <v>1</v>
      </c>
      <c r="K73" s="35" t="b">
        <v>1</v>
      </c>
      <c r="L73" s="27" t="s">
        <v>229</v>
      </c>
      <c r="M73" s="27" t="s">
        <v>34</v>
      </c>
      <c r="N73" s="33">
        <v>6</v>
      </c>
      <c r="O73" s="34">
        <v>1</v>
      </c>
      <c r="P73" s="35">
        <v>1</v>
      </c>
      <c r="Q73" s="28">
        <v>65000</v>
      </c>
      <c r="R73" s="36">
        <v>390000</v>
      </c>
      <c r="S73" s="37">
        <v>65000</v>
      </c>
      <c r="T73" s="38">
        <v>65000</v>
      </c>
      <c r="U73" s="27" t="s">
        <v>38</v>
      </c>
    </row>
    <row r="74" spans="1:21">
      <c r="A74" s="27" t="s">
        <v>100</v>
      </c>
      <c r="B74" s="50" t="s">
        <v>238</v>
      </c>
      <c r="C74" s="28">
        <v>6900000</v>
      </c>
      <c r="D74" s="29">
        <v>0.5</v>
      </c>
      <c r="E74" s="30">
        <v>0.1</v>
      </c>
      <c r="F74" s="31">
        <v>0.05</v>
      </c>
      <c r="G74" s="32">
        <v>29</v>
      </c>
      <c r="H74" s="54"/>
      <c r="I74" s="33" t="b">
        <v>1</v>
      </c>
      <c r="J74" s="34" t="b">
        <v>1</v>
      </c>
      <c r="K74" s="35" t="b">
        <v>1</v>
      </c>
      <c r="L74" s="27" t="s">
        <v>229</v>
      </c>
      <c r="M74" s="27" t="s">
        <v>34</v>
      </c>
      <c r="N74" s="33">
        <v>14</v>
      </c>
      <c r="O74" s="34">
        <v>3</v>
      </c>
      <c r="P74" s="35">
        <v>1</v>
      </c>
      <c r="Q74" s="28">
        <v>237931.03448275861</v>
      </c>
      <c r="R74" s="36">
        <v>3331034.4827586212</v>
      </c>
      <c r="S74" s="37">
        <v>713793.10344827583</v>
      </c>
      <c r="T74" s="38">
        <v>237931.03448275861</v>
      </c>
      <c r="U74" s="27" t="s">
        <v>38</v>
      </c>
    </row>
    <row r="75" spans="1:21">
      <c r="A75" s="27" t="s">
        <v>100</v>
      </c>
      <c r="B75" s="50" t="s">
        <v>239</v>
      </c>
      <c r="C75" s="28">
        <v>7200000</v>
      </c>
      <c r="D75" s="29">
        <v>0.5</v>
      </c>
      <c r="E75" s="30">
        <v>0.1</v>
      </c>
      <c r="F75" s="31">
        <v>0.05</v>
      </c>
      <c r="G75" s="32">
        <v>75</v>
      </c>
      <c r="H75" s="54"/>
      <c r="I75" s="33" t="b">
        <v>1</v>
      </c>
      <c r="J75" s="34" t="b">
        <v>1</v>
      </c>
      <c r="K75" s="35" t="b">
        <v>1</v>
      </c>
      <c r="L75" s="27" t="s">
        <v>229</v>
      </c>
      <c r="M75" s="27" t="s">
        <v>34</v>
      </c>
      <c r="N75" s="33">
        <v>38</v>
      </c>
      <c r="O75" s="34">
        <v>8</v>
      </c>
      <c r="P75" s="35">
        <v>4</v>
      </c>
      <c r="Q75" s="28">
        <v>96000</v>
      </c>
      <c r="R75" s="36">
        <v>3648000</v>
      </c>
      <c r="S75" s="37">
        <v>768000</v>
      </c>
      <c r="T75" s="38">
        <v>384000</v>
      </c>
      <c r="U75" s="27" t="s">
        <v>38</v>
      </c>
    </row>
    <row r="76" spans="1:21">
      <c r="A76" s="27" t="s">
        <v>100</v>
      </c>
      <c r="B76" s="50" t="s">
        <v>240</v>
      </c>
      <c r="C76" s="28">
        <v>3000000</v>
      </c>
      <c r="D76" s="29">
        <v>0.5</v>
      </c>
      <c r="E76" s="30">
        <v>0.17</v>
      </c>
      <c r="F76" s="31">
        <v>0.08</v>
      </c>
      <c r="G76" s="32">
        <v>12</v>
      </c>
      <c r="H76" s="54"/>
      <c r="I76" s="33" t="b">
        <v>1</v>
      </c>
      <c r="J76" s="34" t="b">
        <v>1</v>
      </c>
      <c r="K76" s="35" t="b">
        <v>1</v>
      </c>
      <c r="L76" s="27" t="s">
        <v>229</v>
      </c>
      <c r="M76" s="27" t="s">
        <v>34</v>
      </c>
      <c r="N76" s="33">
        <v>6</v>
      </c>
      <c r="O76" s="34">
        <v>2</v>
      </c>
      <c r="P76" s="35">
        <v>1</v>
      </c>
      <c r="Q76" s="28">
        <v>250000</v>
      </c>
      <c r="R76" s="36">
        <v>1500000</v>
      </c>
      <c r="S76" s="37">
        <v>500000</v>
      </c>
      <c r="T76" s="38">
        <v>250000</v>
      </c>
      <c r="U76" s="27" t="s">
        <v>38</v>
      </c>
    </row>
    <row r="77" spans="1:21">
      <c r="A77" s="27" t="s">
        <v>100</v>
      </c>
      <c r="B77" s="50" t="s">
        <v>241</v>
      </c>
      <c r="C77" s="28">
        <v>500000</v>
      </c>
      <c r="D77" s="29">
        <v>0.5</v>
      </c>
      <c r="E77" s="30">
        <v>0.1</v>
      </c>
      <c r="F77" s="31">
        <v>0.1</v>
      </c>
      <c r="G77" s="32">
        <v>10</v>
      </c>
      <c r="H77" s="54"/>
      <c r="I77" s="33" t="b">
        <v>1</v>
      </c>
      <c r="J77" s="34" t="b">
        <v>1</v>
      </c>
      <c r="K77" s="35" t="b">
        <v>1</v>
      </c>
      <c r="L77" s="27" t="s">
        <v>229</v>
      </c>
      <c r="M77" s="27" t="s">
        <v>34</v>
      </c>
      <c r="N77" s="33">
        <v>5</v>
      </c>
      <c r="O77" s="34">
        <v>1</v>
      </c>
      <c r="P77" s="35">
        <v>1</v>
      </c>
      <c r="Q77" s="28">
        <v>50000</v>
      </c>
      <c r="R77" s="36">
        <v>250000</v>
      </c>
      <c r="S77" s="37">
        <v>50000</v>
      </c>
      <c r="T77" s="38">
        <v>50000</v>
      </c>
      <c r="U77" s="27" t="s">
        <v>38</v>
      </c>
    </row>
    <row r="78" spans="1:21">
      <c r="A78" s="27" t="s">
        <v>100</v>
      </c>
      <c r="B78" s="50" t="s">
        <v>242</v>
      </c>
      <c r="C78" s="28">
        <v>1050000</v>
      </c>
      <c r="D78" s="29">
        <v>0.5</v>
      </c>
      <c r="E78" s="30">
        <v>0.1</v>
      </c>
      <c r="F78" s="31">
        <v>0.05</v>
      </c>
      <c r="G78" s="32">
        <v>21</v>
      </c>
      <c r="H78" s="54"/>
      <c r="I78" s="33" t="b">
        <v>1</v>
      </c>
      <c r="J78" s="34" t="b">
        <v>1</v>
      </c>
      <c r="K78" s="35" t="b">
        <v>1</v>
      </c>
      <c r="L78" s="27" t="s">
        <v>229</v>
      </c>
      <c r="M78" s="27" t="s">
        <v>34</v>
      </c>
      <c r="N78" s="33">
        <v>10</v>
      </c>
      <c r="O78" s="34">
        <v>2</v>
      </c>
      <c r="P78" s="35">
        <v>1</v>
      </c>
      <c r="Q78" s="28">
        <v>50000</v>
      </c>
      <c r="R78" s="36">
        <v>500000</v>
      </c>
      <c r="S78" s="37">
        <v>100000</v>
      </c>
      <c r="T78" s="38">
        <v>50000</v>
      </c>
      <c r="U78" s="27" t="s">
        <v>38</v>
      </c>
    </row>
    <row r="79" spans="1:21">
      <c r="A79" s="27" t="s">
        <v>100</v>
      </c>
      <c r="B79" s="50" t="s">
        <v>243</v>
      </c>
      <c r="C79" s="28">
        <v>1200000</v>
      </c>
      <c r="D79" s="29">
        <v>0.5</v>
      </c>
      <c r="E79" s="30">
        <v>0.12</v>
      </c>
      <c r="F79" s="31">
        <v>0</v>
      </c>
      <c r="G79" s="32">
        <v>8</v>
      </c>
      <c r="H79" s="54"/>
      <c r="I79" s="33" t="b">
        <v>1</v>
      </c>
      <c r="J79" s="34" t="b">
        <v>1</v>
      </c>
      <c r="K79" s="35" t="b">
        <v>1</v>
      </c>
      <c r="L79" s="27" t="s">
        <v>229</v>
      </c>
      <c r="M79" s="27" t="s">
        <v>34</v>
      </c>
      <c r="N79" s="33">
        <v>4</v>
      </c>
      <c r="O79" s="34">
        <v>1</v>
      </c>
      <c r="P79" s="35">
        <v>0</v>
      </c>
      <c r="Q79" s="28">
        <v>150000</v>
      </c>
      <c r="R79" s="36">
        <v>600000</v>
      </c>
      <c r="S79" s="37">
        <v>150000</v>
      </c>
      <c r="T79" s="38">
        <v>0</v>
      </c>
      <c r="U79" s="27" t="s">
        <v>38</v>
      </c>
    </row>
    <row r="80" spans="1:21">
      <c r="A80" s="27" t="s">
        <v>100</v>
      </c>
      <c r="B80" s="50" t="s">
        <v>244</v>
      </c>
      <c r="C80" s="28">
        <v>1250000</v>
      </c>
      <c r="D80" s="29">
        <v>0.4</v>
      </c>
      <c r="E80" s="30">
        <v>0.2</v>
      </c>
      <c r="F80" s="31">
        <v>0</v>
      </c>
      <c r="G80" s="32">
        <v>5</v>
      </c>
      <c r="H80" s="54"/>
      <c r="I80" s="33" t="b">
        <v>1</v>
      </c>
      <c r="J80" s="34" t="b">
        <v>1</v>
      </c>
      <c r="K80" s="35" t="b">
        <v>1</v>
      </c>
      <c r="L80" s="27" t="s">
        <v>229</v>
      </c>
      <c r="M80" s="27" t="s">
        <v>34</v>
      </c>
      <c r="N80" s="33">
        <v>2</v>
      </c>
      <c r="O80" s="34">
        <v>1</v>
      </c>
      <c r="P80" s="35">
        <v>0</v>
      </c>
      <c r="Q80" s="28">
        <v>250000</v>
      </c>
      <c r="R80" s="36">
        <v>500000</v>
      </c>
      <c r="S80" s="37">
        <v>250000</v>
      </c>
      <c r="T80" s="38">
        <v>0</v>
      </c>
      <c r="U80" s="27" t="s">
        <v>38</v>
      </c>
    </row>
    <row r="81" spans="1:21">
      <c r="A81" s="27" t="s">
        <v>100</v>
      </c>
      <c r="B81" s="50" t="s">
        <v>245</v>
      </c>
      <c r="C81" s="28">
        <v>1700000</v>
      </c>
      <c r="D81" s="29">
        <v>0.55000000000000004</v>
      </c>
      <c r="E81" s="30">
        <v>0.15</v>
      </c>
      <c r="F81" s="31">
        <v>0.05</v>
      </c>
      <c r="G81" s="32">
        <v>40</v>
      </c>
      <c r="H81" s="54"/>
      <c r="I81" s="33" t="b">
        <v>1</v>
      </c>
      <c r="J81" s="34" t="b">
        <v>1</v>
      </c>
      <c r="K81" s="35" t="b">
        <v>1</v>
      </c>
      <c r="L81" s="27" t="s">
        <v>229</v>
      </c>
      <c r="M81" s="27" t="s">
        <v>34</v>
      </c>
      <c r="N81" s="33">
        <v>22</v>
      </c>
      <c r="O81" s="34">
        <v>6</v>
      </c>
      <c r="P81" s="35">
        <v>2</v>
      </c>
      <c r="Q81" s="28">
        <v>42500</v>
      </c>
      <c r="R81" s="36">
        <v>935000</v>
      </c>
      <c r="S81" s="37">
        <v>255000</v>
      </c>
      <c r="T81" s="38">
        <v>85000</v>
      </c>
      <c r="U81" s="27" t="s">
        <v>38</v>
      </c>
    </row>
    <row r="82" spans="1:21">
      <c r="A82" s="27" t="s">
        <v>100</v>
      </c>
      <c r="B82" s="50" t="s">
        <v>246</v>
      </c>
      <c r="C82" s="28">
        <v>5150000</v>
      </c>
      <c r="D82" s="29">
        <v>0.5</v>
      </c>
      <c r="E82" s="30">
        <v>0.1</v>
      </c>
      <c r="F82" s="31">
        <v>0.05</v>
      </c>
      <c r="G82" s="32">
        <v>43</v>
      </c>
      <c r="H82" s="54"/>
      <c r="I82" s="33" t="b">
        <v>1</v>
      </c>
      <c r="J82" s="34" t="b">
        <v>1</v>
      </c>
      <c r="K82" s="35" t="b">
        <v>1</v>
      </c>
      <c r="L82" s="27" t="s">
        <v>229</v>
      </c>
      <c r="M82" s="27" t="s">
        <v>34</v>
      </c>
      <c r="N82" s="33">
        <v>22</v>
      </c>
      <c r="O82" s="34">
        <v>4</v>
      </c>
      <c r="P82" s="35">
        <v>2</v>
      </c>
      <c r="Q82" s="28">
        <v>119767.4418604651</v>
      </c>
      <c r="R82" s="36">
        <v>2634883.7209302331</v>
      </c>
      <c r="S82" s="37">
        <v>479069.76744186052</v>
      </c>
      <c r="T82" s="38">
        <v>239534.8837209302</v>
      </c>
      <c r="U82" s="27" t="s">
        <v>38</v>
      </c>
    </row>
    <row r="83" spans="1:21">
      <c r="A83" s="27" t="s">
        <v>100</v>
      </c>
      <c r="B83" s="50" t="s">
        <v>247</v>
      </c>
      <c r="C83" s="28">
        <v>900000</v>
      </c>
      <c r="D83" s="29">
        <v>0.5</v>
      </c>
      <c r="E83" s="30">
        <v>0.1</v>
      </c>
      <c r="F83" s="31">
        <v>0.05</v>
      </c>
      <c r="G83" s="32">
        <v>20</v>
      </c>
      <c r="H83" s="54"/>
      <c r="I83" s="33" t="b">
        <v>1</v>
      </c>
      <c r="J83" s="34" t="b">
        <v>1</v>
      </c>
      <c r="K83" s="35" t="b">
        <v>1</v>
      </c>
      <c r="L83" s="27" t="s">
        <v>229</v>
      </c>
      <c r="M83" s="27" t="s">
        <v>34</v>
      </c>
      <c r="N83" s="33">
        <v>10</v>
      </c>
      <c r="O83" s="34">
        <v>2</v>
      </c>
      <c r="P83" s="35">
        <v>1</v>
      </c>
      <c r="Q83" s="28">
        <v>45000</v>
      </c>
      <c r="R83" s="36">
        <v>450000</v>
      </c>
      <c r="S83" s="37">
        <v>90000</v>
      </c>
      <c r="T83" s="38">
        <v>45000</v>
      </c>
      <c r="U83" s="27" t="s">
        <v>38</v>
      </c>
    </row>
    <row r="84" spans="1:21">
      <c r="A84" s="27" t="s">
        <v>100</v>
      </c>
      <c r="B84" s="50" t="s">
        <v>248</v>
      </c>
      <c r="C84" s="28">
        <v>1750000</v>
      </c>
      <c r="D84" s="29">
        <v>0.5</v>
      </c>
      <c r="E84" s="30">
        <v>0.1</v>
      </c>
      <c r="F84" s="31">
        <v>0.05</v>
      </c>
      <c r="G84" s="32">
        <v>35</v>
      </c>
      <c r="H84" s="54"/>
      <c r="I84" s="33" t="b">
        <v>1</v>
      </c>
      <c r="J84" s="34" t="b">
        <v>1</v>
      </c>
      <c r="K84" s="35" t="b">
        <v>1</v>
      </c>
      <c r="L84" s="27" t="s">
        <v>229</v>
      </c>
      <c r="M84" s="27" t="s">
        <v>34</v>
      </c>
      <c r="N84" s="33">
        <v>18</v>
      </c>
      <c r="O84" s="34">
        <v>4</v>
      </c>
      <c r="P84" s="35">
        <v>2</v>
      </c>
      <c r="Q84" s="28">
        <v>50000</v>
      </c>
      <c r="R84" s="36">
        <v>900000</v>
      </c>
      <c r="S84" s="37">
        <v>200000</v>
      </c>
      <c r="T84" s="38">
        <v>100000</v>
      </c>
      <c r="U84" s="27" t="s">
        <v>38</v>
      </c>
    </row>
    <row r="85" spans="1:21">
      <c r="A85" s="27" t="s">
        <v>100</v>
      </c>
      <c r="B85" s="50" t="s">
        <v>249</v>
      </c>
      <c r="C85" s="28">
        <v>1000000</v>
      </c>
      <c r="D85" s="29">
        <v>0.5</v>
      </c>
      <c r="E85" s="30">
        <v>0.1</v>
      </c>
      <c r="F85" s="31">
        <v>0.05</v>
      </c>
      <c r="G85" s="32">
        <v>33</v>
      </c>
      <c r="H85" s="54"/>
      <c r="I85" s="33" t="b">
        <v>1</v>
      </c>
      <c r="J85" s="34" t="b">
        <v>1</v>
      </c>
      <c r="K85" s="35" t="b">
        <v>1</v>
      </c>
      <c r="L85" s="27" t="s">
        <v>229</v>
      </c>
      <c r="M85" s="27" t="s">
        <v>34</v>
      </c>
      <c r="N85" s="33">
        <v>16</v>
      </c>
      <c r="O85" s="34">
        <v>3</v>
      </c>
      <c r="P85" s="35">
        <v>2</v>
      </c>
      <c r="Q85" s="28">
        <v>30303.0303030303</v>
      </c>
      <c r="R85" s="36">
        <v>484848.48484848492</v>
      </c>
      <c r="S85" s="37">
        <v>90909.090909090912</v>
      </c>
      <c r="T85" s="38">
        <v>60606.060606060608</v>
      </c>
      <c r="U85" s="27" t="s">
        <v>38</v>
      </c>
    </row>
    <row r="86" spans="1:21">
      <c r="A86" s="27" t="s">
        <v>100</v>
      </c>
      <c r="B86" s="50" t="s">
        <v>250</v>
      </c>
      <c r="C86" s="28">
        <v>3000000</v>
      </c>
      <c r="D86" s="29">
        <v>0.5</v>
      </c>
      <c r="E86" s="30">
        <v>0.1</v>
      </c>
      <c r="F86" s="31">
        <v>0.05</v>
      </c>
      <c r="G86" s="32">
        <v>12</v>
      </c>
      <c r="H86" s="54"/>
      <c r="I86" s="33" t="b">
        <v>1</v>
      </c>
      <c r="J86" s="34" t="b">
        <v>1</v>
      </c>
      <c r="K86" s="35" t="b">
        <v>1</v>
      </c>
      <c r="L86" s="27" t="s">
        <v>229</v>
      </c>
      <c r="M86" s="27" t="s">
        <v>34</v>
      </c>
      <c r="N86" s="33">
        <v>6</v>
      </c>
      <c r="O86" s="34">
        <v>1</v>
      </c>
      <c r="P86" s="35">
        <v>1</v>
      </c>
      <c r="Q86" s="28">
        <v>250000</v>
      </c>
      <c r="R86" s="36">
        <v>1500000</v>
      </c>
      <c r="S86" s="37">
        <v>250000</v>
      </c>
      <c r="T86" s="38">
        <v>250000</v>
      </c>
      <c r="U86" s="27" t="s">
        <v>38</v>
      </c>
    </row>
    <row r="87" spans="1:21">
      <c r="A87" s="27" t="s">
        <v>100</v>
      </c>
      <c r="B87" s="50" t="s">
        <v>251</v>
      </c>
      <c r="C87" s="28">
        <v>900000</v>
      </c>
      <c r="D87" s="29">
        <v>0.5</v>
      </c>
      <c r="E87" s="30">
        <v>0.1</v>
      </c>
      <c r="F87" s="31">
        <v>0.05</v>
      </c>
      <c r="G87" s="32">
        <v>30</v>
      </c>
      <c r="H87" s="54"/>
      <c r="I87" s="33" t="b">
        <v>1</v>
      </c>
      <c r="J87" s="34" t="b">
        <v>1</v>
      </c>
      <c r="K87" s="35" t="b">
        <v>1</v>
      </c>
      <c r="L87" s="27" t="s">
        <v>229</v>
      </c>
      <c r="M87" s="27" t="s">
        <v>34</v>
      </c>
      <c r="N87" s="33">
        <v>15</v>
      </c>
      <c r="O87" s="34">
        <v>3</v>
      </c>
      <c r="P87" s="35">
        <v>2</v>
      </c>
      <c r="Q87" s="28">
        <v>30000</v>
      </c>
      <c r="R87" s="36">
        <v>450000</v>
      </c>
      <c r="S87" s="37">
        <v>90000</v>
      </c>
      <c r="T87" s="38">
        <v>60000</v>
      </c>
      <c r="U87" s="27" t="s">
        <v>39</v>
      </c>
    </row>
    <row r="88" spans="1:21">
      <c r="A88" s="27" t="s">
        <v>100</v>
      </c>
      <c r="B88" s="50" t="s">
        <v>252</v>
      </c>
      <c r="C88" s="28">
        <v>160000</v>
      </c>
      <c r="D88" s="29">
        <v>0.5</v>
      </c>
      <c r="E88" s="30">
        <v>0.1</v>
      </c>
      <c r="F88" s="31">
        <v>0.05</v>
      </c>
      <c r="G88" s="32">
        <v>16</v>
      </c>
      <c r="H88" s="54"/>
      <c r="I88" s="33" t="b">
        <v>1</v>
      </c>
      <c r="J88" s="34" t="b">
        <v>1</v>
      </c>
      <c r="K88" s="35" t="b">
        <v>1</v>
      </c>
      <c r="L88" s="27" t="s">
        <v>229</v>
      </c>
      <c r="M88" s="27" t="s">
        <v>34</v>
      </c>
      <c r="N88" s="33">
        <v>8</v>
      </c>
      <c r="O88" s="34">
        <v>2</v>
      </c>
      <c r="P88" s="35">
        <v>1</v>
      </c>
      <c r="Q88" s="28">
        <v>10000</v>
      </c>
      <c r="R88" s="36">
        <v>80000</v>
      </c>
      <c r="S88" s="37">
        <v>20000</v>
      </c>
      <c r="T88" s="38">
        <v>10000</v>
      </c>
      <c r="U88" s="27" t="s">
        <v>39</v>
      </c>
    </row>
    <row r="89" spans="1:21">
      <c r="A89" s="27" t="s">
        <v>100</v>
      </c>
      <c r="B89" s="50" t="s">
        <v>253</v>
      </c>
      <c r="C89" s="28">
        <v>840000</v>
      </c>
      <c r="D89" s="29">
        <v>0.5</v>
      </c>
      <c r="E89" s="30">
        <v>0.1</v>
      </c>
      <c r="F89" s="31">
        <v>0.05</v>
      </c>
      <c r="G89" s="32">
        <v>28</v>
      </c>
      <c r="H89" s="54"/>
      <c r="I89" s="33" t="b">
        <v>1</v>
      </c>
      <c r="J89" s="34" t="b">
        <v>1</v>
      </c>
      <c r="K89" s="35" t="b">
        <v>1</v>
      </c>
      <c r="L89" s="27" t="s">
        <v>229</v>
      </c>
      <c r="M89" s="27" t="s">
        <v>34</v>
      </c>
      <c r="N89" s="33">
        <v>14</v>
      </c>
      <c r="O89" s="34">
        <v>3</v>
      </c>
      <c r="P89" s="35">
        <v>1</v>
      </c>
      <c r="Q89" s="28">
        <v>30000</v>
      </c>
      <c r="R89" s="36">
        <v>420000</v>
      </c>
      <c r="S89" s="37">
        <v>90000</v>
      </c>
      <c r="T89" s="38">
        <v>30000</v>
      </c>
      <c r="U89" s="27" t="s">
        <v>39</v>
      </c>
    </row>
    <row r="90" spans="1:21">
      <c r="A90" s="27" t="s">
        <v>100</v>
      </c>
      <c r="B90" s="50" t="s">
        <v>254</v>
      </c>
      <c r="C90" s="28">
        <v>2520000</v>
      </c>
      <c r="D90" s="29">
        <v>0.5</v>
      </c>
      <c r="E90" s="30">
        <v>0.1071</v>
      </c>
      <c r="F90" s="31">
        <v>4.7600000000000003E-2</v>
      </c>
      <c r="G90" s="32">
        <v>84</v>
      </c>
      <c r="H90" s="54"/>
      <c r="I90" s="33" t="b">
        <v>1</v>
      </c>
      <c r="J90" s="34" t="b">
        <v>1</v>
      </c>
      <c r="K90" s="35" t="b">
        <v>1</v>
      </c>
      <c r="L90" s="27" t="s">
        <v>229</v>
      </c>
      <c r="M90" s="27" t="s">
        <v>34</v>
      </c>
      <c r="N90" s="33">
        <v>42</v>
      </c>
      <c r="O90" s="34">
        <v>9</v>
      </c>
      <c r="P90" s="35">
        <v>4</v>
      </c>
      <c r="Q90" s="28">
        <v>30000</v>
      </c>
      <c r="R90" s="36">
        <v>1260000</v>
      </c>
      <c r="S90" s="37">
        <v>270000</v>
      </c>
      <c r="T90" s="38">
        <v>120000</v>
      </c>
      <c r="U90" s="27" t="s">
        <v>39</v>
      </c>
    </row>
    <row r="91" spans="1:21">
      <c r="A91" s="27" t="s">
        <v>100</v>
      </c>
      <c r="B91" s="50" t="s">
        <v>255</v>
      </c>
      <c r="C91" s="28">
        <v>1000000</v>
      </c>
      <c r="D91" s="29">
        <v>0.5</v>
      </c>
      <c r="E91" s="30">
        <v>0.1</v>
      </c>
      <c r="F91" s="31">
        <v>0.05</v>
      </c>
      <c r="G91" s="32">
        <v>20</v>
      </c>
      <c r="H91" s="54"/>
      <c r="I91" s="33" t="b">
        <v>1</v>
      </c>
      <c r="J91" s="34" t="b">
        <v>1</v>
      </c>
      <c r="K91" s="35" t="b">
        <v>1</v>
      </c>
      <c r="L91" s="27" t="s">
        <v>229</v>
      </c>
      <c r="M91" s="27" t="s">
        <v>34</v>
      </c>
      <c r="N91" s="33">
        <v>10</v>
      </c>
      <c r="O91" s="34">
        <v>2</v>
      </c>
      <c r="P91" s="35">
        <v>1</v>
      </c>
      <c r="Q91" s="28">
        <v>50000</v>
      </c>
      <c r="R91" s="36">
        <v>500000</v>
      </c>
      <c r="S91" s="37">
        <v>100000</v>
      </c>
      <c r="T91" s="38">
        <v>50000</v>
      </c>
      <c r="U91" s="27" t="s">
        <v>40</v>
      </c>
    </row>
    <row r="92" spans="1:21">
      <c r="A92" s="39" t="s">
        <v>100</v>
      </c>
      <c r="B92" s="64" t="s">
        <v>256</v>
      </c>
      <c r="C92" s="40">
        <v>4300000</v>
      </c>
      <c r="D92" s="41">
        <v>0.48</v>
      </c>
      <c r="E92" s="41">
        <v>0.48</v>
      </c>
      <c r="F92" s="41">
        <v>4.6511627906976702E-2</v>
      </c>
      <c r="G92" s="42">
        <v>86</v>
      </c>
      <c r="H92" s="55" t="s">
        <v>13</v>
      </c>
      <c r="I92" s="42" t="b">
        <v>1</v>
      </c>
      <c r="J92" s="42" t="b">
        <v>1</v>
      </c>
      <c r="K92" s="42" t="b">
        <v>1</v>
      </c>
      <c r="L92" s="39" t="s">
        <v>229</v>
      </c>
      <c r="M92" s="39" t="s">
        <v>34</v>
      </c>
      <c r="N92" s="42">
        <v>41</v>
      </c>
      <c r="O92" s="42">
        <v>41</v>
      </c>
      <c r="P92" s="42">
        <v>4</v>
      </c>
      <c r="Q92" s="40">
        <v>50000</v>
      </c>
      <c r="R92" s="40">
        <v>2050000</v>
      </c>
      <c r="S92" s="40">
        <v>2050000</v>
      </c>
      <c r="T92" s="40">
        <v>200000</v>
      </c>
      <c r="U92" s="39" t="s">
        <v>40</v>
      </c>
    </row>
    <row r="93" spans="1:21">
      <c r="A93" s="27" t="s">
        <v>100</v>
      </c>
      <c r="B93" s="50" t="s">
        <v>257</v>
      </c>
      <c r="C93" s="28">
        <v>4200000</v>
      </c>
      <c r="D93" s="29">
        <v>0</v>
      </c>
      <c r="E93" s="30">
        <v>0.1132</v>
      </c>
      <c r="F93" s="31">
        <v>5.6599999999999998E-2</v>
      </c>
      <c r="G93" s="32">
        <v>53</v>
      </c>
      <c r="H93" s="54"/>
      <c r="I93" s="33" t="b">
        <v>1</v>
      </c>
      <c r="J93" s="34" t="b">
        <v>1</v>
      </c>
      <c r="K93" s="35" t="b">
        <v>1</v>
      </c>
      <c r="L93" s="27" t="s">
        <v>229</v>
      </c>
      <c r="M93" s="27" t="s">
        <v>34</v>
      </c>
      <c r="N93" s="33">
        <v>0</v>
      </c>
      <c r="O93" s="34">
        <v>6</v>
      </c>
      <c r="P93" s="35">
        <v>3</v>
      </c>
      <c r="Q93" s="28">
        <v>79245.283018867922</v>
      </c>
      <c r="R93" s="36">
        <v>0</v>
      </c>
      <c r="S93" s="37">
        <v>475471.69811320747</v>
      </c>
      <c r="T93" s="38">
        <v>237735.84905660379</v>
      </c>
      <c r="U93" s="27" t="s">
        <v>40</v>
      </c>
    </row>
    <row r="94" spans="1:21">
      <c r="A94" s="27" t="s">
        <v>55</v>
      </c>
      <c r="B94" s="50" t="s">
        <v>258</v>
      </c>
      <c r="C94" s="28">
        <v>5224089</v>
      </c>
      <c r="D94" s="29">
        <v>0.25</v>
      </c>
      <c r="E94" s="30">
        <v>0.1</v>
      </c>
      <c r="F94" s="31">
        <v>0.05</v>
      </c>
      <c r="G94" s="32">
        <v>100</v>
      </c>
      <c r="H94" s="54"/>
      <c r="I94" s="33" t="b">
        <v>1</v>
      </c>
      <c r="J94" s="34" t="b">
        <v>1</v>
      </c>
      <c r="K94" s="35" t="b">
        <v>1</v>
      </c>
      <c r="L94" s="27" t="s">
        <v>259</v>
      </c>
      <c r="M94" s="27" t="s">
        <v>33</v>
      </c>
      <c r="N94" s="33">
        <v>25</v>
      </c>
      <c r="O94" s="34">
        <v>10</v>
      </c>
      <c r="P94" s="35">
        <v>5</v>
      </c>
      <c r="Q94" s="28">
        <v>52240.89</v>
      </c>
      <c r="R94" s="36">
        <v>1306022.25</v>
      </c>
      <c r="S94" s="37">
        <v>522408.9</v>
      </c>
      <c r="T94" s="38">
        <v>261204.45</v>
      </c>
      <c r="U94" s="27" t="s">
        <v>38</v>
      </c>
    </row>
    <row r="95" spans="1:21">
      <c r="A95" s="27" t="s">
        <v>56</v>
      </c>
      <c r="B95" s="50" t="s">
        <v>260</v>
      </c>
      <c r="C95" s="28">
        <v>4060000</v>
      </c>
      <c r="D95" s="29">
        <v>0.25</v>
      </c>
      <c r="E95" s="30">
        <v>0.1</v>
      </c>
      <c r="F95" s="31">
        <v>0.05</v>
      </c>
      <c r="G95" s="32">
        <v>124</v>
      </c>
      <c r="H95" s="54"/>
      <c r="I95" s="33" t="b">
        <v>1</v>
      </c>
      <c r="J95" s="34" t="b">
        <v>1</v>
      </c>
      <c r="K95" s="35" t="b">
        <v>1</v>
      </c>
      <c r="L95" s="27" t="s">
        <v>261</v>
      </c>
      <c r="M95" s="27" t="s">
        <v>33</v>
      </c>
      <c r="N95" s="33">
        <v>31</v>
      </c>
      <c r="O95" s="34">
        <v>12</v>
      </c>
      <c r="P95" s="35">
        <v>6</v>
      </c>
      <c r="Q95" s="28">
        <v>32741.93548387097</v>
      </c>
      <c r="R95" s="36">
        <v>1015000</v>
      </c>
      <c r="S95" s="37">
        <v>392903.22580645158</v>
      </c>
      <c r="T95" s="38">
        <v>196451.61290322579</v>
      </c>
      <c r="U95" s="27" t="s">
        <v>37</v>
      </c>
    </row>
    <row r="96" spans="1:21">
      <c r="A96" s="27" t="s">
        <v>56</v>
      </c>
      <c r="B96" s="50" t="s">
        <v>262</v>
      </c>
      <c r="C96" s="28">
        <v>5990000</v>
      </c>
      <c r="D96" s="29">
        <v>0.25</v>
      </c>
      <c r="E96" s="30">
        <v>0.1</v>
      </c>
      <c r="F96" s="31">
        <v>0.05</v>
      </c>
      <c r="G96" s="32">
        <v>79</v>
      </c>
      <c r="H96" s="54"/>
      <c r="I96" s="33" t="b">
        <v>1</v>
      </c>
      <c r="J96" s="34" t="b">
        <v>1</v>
      </c>
      <c r="K96" s="35" t="b">
        <v>1</v>
      </c>
      <c r="L96" s="27" t="s">
        <v>261</v>
      </c>
      <c r="M96" s="27" t="s">
        <v>33</v>
      </c>
      <c r="N96" s="33">
        <v>20</v>
      </c>
      <c r="O96" s="34">
        <v>8</v>
      </c>
      <c r="P96" s="35">
        <v>4</v>
      </c>
      <c r="Q96" s="28">
        <v>75822.784810126584</v>
      </c>
      <c r="R96" s="36">
        <v>1516455.6962025319</v>
      </c>
      <c r="S96" s="37">
        <v>606582.27848101268</v>
      </c>
      <c r="T96" s="38">
        <v>303291.13924050628</v>
      </c>
      <c r="U96" s="27" t="s">
        <v>38</v>
      </c>
    </row>
    <row r="97" spans="1:21">
      <c r="A97" s="27" t="s">
        <v>56</v>
      </c>
      <c r="B97" s="50" t="s">
        <v>263</v>
      </c>
      <c r="C97" s="28">
        <v>5580000</v>
      </c>
      <c r="D97" s="29">
        <v>0.25</v>
      </c>
      <c r="E97" s="30">
        <v>0.1</v>
      </c>
      <c r="F97" s="31">
        <v>0.05</v>
      </c>
      <c r="G97" s="32">
        <v>219</v>
      </c>
      <c r="H97" s="54"/>
      <c r="I97" s="33" t="b">
        <v>1</v>
      </c>
      <c r="J97" s="34" t="b">
        <v>1</v>
      </c>
      <c r="K97" s="35" t="b">
        <v>1</v>
      </c>
      <c r="L97" s="27" t="s">
        <v>261</v>
      </c>
      <c r="M97" s="27" t="s">
        <v>33</v>
      </c>
      <c r="N97" s="33">
        <v>55</v>
      </c>
      <c r="O97" s="34">
        <v>22</v>
      </c>
      <c r="P97" s="35">
        <v>11</v>
      </c>
      <c r="Q97" s="28">
        <v>25479.452054794521</v>
      </c>
      <c r="R97" s="36">
        <v>1401369.863013699</v>
      </c>
      <c r="S97" s="37">
        <v>560547.94520547951</v>
      </c>
      <c r="T97" s="38">
        <v>280273.97260273981</v>
      </c>
      <c r="U97" s="27" t="s">
        <v>39</v>
      </c>
    </row>
    <row r="98" spans="1:21">
      <c r="A98" s="27" t="s">
        <v>57</v>
      </c>
      <c r="B98" s="50" t="s">
        <v>264</v>
      </c>
      <c r="C98" s="28">
        <v>450000</v>
      </c>
      <c r="D98" s="29">
        <v>0.25</v>
      </c>
      <c r="E98" s="30">
        <v>0.1</v>
      </c>
      <c r="F98" s="31">
        <v>0.05</v>
      </c>
      <c r="G98" s="32">
        <v>5</v>
      </c>
      <c r="H98" s="54"/>
      <c r="I98" s="33" t="b">
        <v>1</v>
      </c>
      <c r="J98" s="34" t="b">
        <v>1</v>
      </c>
      <c r="K98" s="35" t="b">
        <v>1</v>
      </c>
      <c r="L98" s="27" t="s">
        <v>265</v>
      </c>
      <c r="M98" s="27" t="s">
        <v>33</v>
      </c>
      <c r="N98" s="33">
        <v>1</v>
      </c>
      <c r="O98" s="34">
        <v>0</v>
      </c>
      <c r="P98" s="35">
        <v>0</v>
      </c>
      <c r="Q98" s="28">
        <v>90000</v>
      </c>
      <c r="R98" s="36">
        <v>90000</v>
      </c>
      <c r="S98" s="37">
        <v>0</v>
      </c>
      <c r="T98" s="38">
        <v>0</v>
      </c>
      <c r="U98" s="27" t="s">
        <v>37</v>
      </c>
    </row>
    <row r="99" spans="1:21">
      <c r="A99" s="27" t="s">
        <v>57</v>
      </c>
      <c r="B99" s="50" t="s">
        <v>266</v>
      </c>
      <c r="C99" s="28">
        <v>2643100</v>
      </c>
      <c r="D99" s="29">
        <v>0.25</v>
      </c>
      <c r="E99" s="30">
        <v>0.1</v>
      </c>
      <c r="F99" s="31">
        <v>0.05</v>
      </c>
      <c r="G99" s="32">
        <v>259</v>
      </c>
      <c r="H99" s="54"/>
      <c r="I99" s="33" t="b">
        <v>1</v>
      </c>
      <c r="J99" s="34" t="b">
        <v>1</v>
      </c>
      <c r="K99" s="35" t="b">
        <v>1</v>
      </c>
      <c r="L99" s="27" t="s">
        <v>265</v>
      </c>
      <c r="M99" s="27" t="s">
        <v>33</v>
      </c>
      <c r="N99" s="33">
        <v>65</v>
      </c>
      <c r="O99" s="34">
        <v>26</v>
      </c>
      <c r="P99" s="35">
        <v>13</v>
      </c>
      <c r="Q99" s="28">
        <v>10205.019305019299</v>
      </c>
      <c r="R99" s="36">
        <v>663326.25482625479</v>
      </c>
      <c r="S99" s="37">
        <v>265330.50193050189</v>
      </c>
      <c r="T99" s="38">
        <v>132665.25096525089</v>
      </c>
      <c r="U99" s="27" t="s">
        <v>38</v>
      </c>
    </row>
    <row r="100" spans="1:21">
      <c r="A100" s="27" t="s">
        <v>57</v>
      </c>
      <c r="B100" s="50" t="s">
        <v>267</v>
      </c>
      <c r="C100" s="28">
        <v>472868</v>
      </c>
      <c r="D100" s="29">
        <v>0</v>
      </c>
      <c r="E100" s="30">
        <v>0</v>
      </c>
      <c r="F100" s="31">
        <v>0</v>
      </c>
      <c r="G100" s="32">
        <v>1</v>
      </c>
      <c r="H100" s="54"/>
      <c r="I100" s="33" t="b">
        <v>1</v>
      </c>
      <c r="J100" s="34" t="b">
        <v>1</v>
      </c>
      <c r="K100" s="35" t="b">
        <v>1</v>
      </c>
      <c r="L100" s="27" t="s">
        <v>265</v>
      </c>
      <c r="M100" s="27" t="s">
        <v>33</v>
      </c>
      <c r="N100" s="33">
        <v>0</v>
      </c>
      <c r="O100" s="34">
        <v>0</v>
      </c>
      <c r="P100" s="35">
        <v>0</v>
      </c>
      <c r="Q100" s="28">
        <v>472868</v>
      </c>
      <c r="R100" s="36">
        <v>0</v>
      </c>
      <c r="S100" s="37">
        <v>0</v>
      </c>
      <c r="T100" s="38">
        <v>0</v>
      </c>
      <c r="U100" s="27" t="s">
        <v>38</v>
      </c>
    </row>
    <row r="101" spans="1:21">
      <c r="A101" s="27" t="s">
        <v>58</v>
      </c>
      <c r="B101" s="50" t="s">
        <v>268</v>
      </c>
      <c r="C101" s="28">
        <v>1197706.2</v>
      </c>
      <c r="D101" s="29">
        <v>0.25</v>
      </c>
      <c r="E101" s="30">
        <v>0.1</v>
      </c>
      <c r="F101" s="31">
        <v>0.1</v>
      </c>
      <c r="G101" s="32">
        <v>25</v>
      </c>
      <c r="H101" s="54"/>
      <c r="I101" s="33" t="b">
        <v>1</v>
      </c>
      <c r="J101" s="34" t="b">
        <v>1</v>
      </c>
      <c r="K101" s="35" t="b">
        <v>1</v>
      </c>
      <c r="L101" s="27" t="s">
        <v>269</v>
      </c>
      <c r="M101" s="27" t="s">
        <v>33</v>
      </c>
      <c r="N101" s="33">
        <v>6</v>
      </c>
      <c r="O101" s="34">
        <v>2</v>
      </c>
      <c r="P101" s="35">
        <v>2</v>
      </c>
      <c r="Q101" s="28">
        <v>47908.248</v>
      </c>
      <c r="R101" s="36">
        <v>287449.48800000001</v>
      </c>
      <c r="S101" s="37">
        <v>95816.495999999999</v>
      </c>
      <c r="T101" s="38">
        <v>95816.495999999999</v>
      </c>
      <c r="U101" s="27" t="s">
        <v>38</v>
      </c>
    </row>
    <row r="102" spans="1:21">
      <c r="A102" s="27" t="s">
        <v>58</v>
      </c>
      <c r="B102" s="50" t="s">
        <v>270</v>
      </c>
      <c r="C102" s="28">
        <v>2004628.5</v>
      </c>
      <c r="D102" s="29">
        <v>0.25</v>
      </c>
      <c r="E102" s="30">
        <v>0.1</v>
      </c>
      <c r="F102" s="31">
        <v>0.1</v>
      </c>
      <c r="G102" s="32">
        <v>50</v>
      </c>
      <c r="H102" s="54"/>
      <c r="I102" s="33" t="b">
        <v>1</v>
      </c>
      <c r="J102" s="34" t="b">
        <v>1</v>
      </c>
      <c r="K102" s="35" t="b">
        <v>1</v>
      </c>
      <c r="L102" s="27" t="s">
        <v>269</v>
      </c>
      <c r="M102" s="27" t="s">
        <v>33</v>
      </c>
      <c r="N102" s="33">
        <v>12</v>
      </c>
      <c r="O102" s="34">
        <v>5</v>
      </c>
      <c r="P102" s="35">
        <v>5</v>
      </c>
      <c r="Q102" s="28">
        <v>40092.57</v>
      </c>
      <c r="R102" s="36">
        <v>481110.84</v>
      </c>
      <c r="S102" s="37">
        <v>200462.85</v>
      </c>
      <c r="T102" s="38">
        <v>200462.85</v>
      </c>
      <c r="U102" s="27" t="s">
        <v>38</v>
      </c>
    </row>
    <row r="103" spans="1:21">
      <c r="A103" s="27" t="s">
        <v>58</v>
      </c>
      <c r="B103" s="50" t="s">
        <v>271</v>
      </c>
      <c r="C103" s="28">
        <v>1431877.6</v>
      </c>
      <c r="D103" s="29">
        <v>0.25</v>
      </c>
      <c r="E103" s="30">
        <v>0.1</v>
      </c>
      <c r="F103" s="31">
        <v>0.1</v>
      </c>
      <c r="G103" s="32">
        <v>30</v>
      </c>
      <c r="H103" s="54"/>
      <c r="I103" s="33" t="b">
        <v>1</v>
      </c>
      <c r="J103" s="34" t="b">
        <v>1</v>
      </c>
      <c r="K103" s="35" t="b">
        <v>1</v>
      </c>
      <c r="L103" s="27" t="s">
        <v>269</v>
      </c>
      <c r="M103" s="27" t="s">
        <v>33</v>
      </c>
      <c r="N103" s="33">
        <v>8</v>
      </c>
      <c r="O103" s="34">
        <v>3</v>
      </c>
      <c r="P103" s="35">
        <v>3</v>
      </c>
      <c r="Q103" s="28">
        <v>47729.253333333327</v>
      </c>
      <c r="R103" s="36">
        <v>381834.02666666667</v>
      </c>
      <c r="S103" s="37">
        <v>143187.76</v>
      </c>
      <c r="T103" s="38">
        <v>143187.76</v>
      </c>
      <c r="U103" s="27" t="s">
        <v>40</v>
      </c>
    </row>
    <row r="104" spans="1:21">
      <c r="A104" s="27" t="s">
        <v>58</v>
      </c>
      <c r="B104" s="50" t="s">
        <v>272</v>
      </c>
      <c r="C104" s="28">
        <v>2004628.5</v>
      </c>
      <c r="D104" s="29">
        <v>0.26</v>
      </c>
      <c r="E104" s="30">
        <v>0.1</v>
      </c>
      <c r="F104" s="31">
        <v>0.06</v>
      </c>
      <c r="G104" s="32">
        <v>50</v>
      </c>
      <c r="H104" s="54"/>
      <c r="I104" s="33" t="b">
        <v>1</v>
      </c>
      <c r="J104" s="34" t="b">
        <v>1</v>
      </c>
      <c r="K104" s="35" t="b">
        <v>1</v>
      </c>
      <c r="L104" s="27" t="s">
        <v>269</v>
      </c>
      <c r="M104" s="27" t="s">
        <v>33</v>
      </c>
      <c r="N104" s="33">
        <v>13</v>
      </c>
      <c r="O104" s="34">
        <v>5</v>
      </c>
      <c r="P104" s="35">
        <v>3</v>
      </c>
      <c r="Q104" s="28">
        <v>40092.57</v>
      </c>
      <c r="R104" s="36">
        <v>521203.41</v>
      </c>
      <c r="S104" s="37">
        <v>200462.85</v>
      </c>
      <c r="T104" s="38">
        <v>120277.71</v>
      </c>
      <c r="U104" s="27" t="s">
        <v>38</v>
      </c>
    </row>
    <row r="105" spans="1:21">
      <c r="A105" s="27" t="s">
        <v>101</v>
      </c>
      <c r="B105" s="50" t="s">
        <v>273</v>
      </c>
      <c r="C105" s="28">
        <v>1020000</v>
      </c>
      <c r="D105" s="29">
        <v>0.25</v>
      </c>
      <c r="E105" s="30">
        <v>0.1</v>
      </c>
      <c r="F105" s="31">
        <v>0.1</v>
      </c>
      <c r="G105" s="32">
        <v>28</v>
      </c>
      <c r="H105" s="54"/>
      <c r="I105" s="33" t="b">
        <v>1</v>
      </c>
      <c r="J105" s="34" t="b">
        <v>1</v>
      </c>
      <c r="K105" s="35" t="b">
        <v>1</v>
      </c>
      <c r="L105" s="27" t="s">
        <v>274</v>
      </c>
      <c r="M105" s="27" t="s">
        <v>34</v>
      </c>
      <c r="N105" s="33">
        <v>7</v>
      </c>
      <c r="O105" s="34">
        <v>3</v>
      </c>
      <c r="P105" s="35">
        <v>3</v>
      </c>
      <c r="Q105" s="28">
        <v>36428.571428571428</v>
      </c>
      <c r="R105" s="36">
        <v>255000</v>
      </c>
      <c r="S105" s="37">
        <v>109285.7142857143</v>
      </c>
      <c r="T105" s="38">
        <v>109285.7142857143</v>
      </c>
      <c r="U105" s="27" t="s">
        <v>37</v>
      </c>
    </row>
    <row r="106" spans="1:21">
      <c r="A106" s="27" t="s">
        <v>101</v>
      </c>
      <c r="B106" s="50" t="s">
        <v>275</v>
      </c>
      <c r="C106" s="28">
        <v>4560000</v>
      </c>
      <c r="D106" s="29">
        <v>0.25</v>
      </c>
      <c r="E106" s="30">
        <v>0.1</v>
      </c>
      <c r="F106" s="31">
        <v>0.1</v>
      </c>
      <c r="G106" s="32">
        <v>38</v>
      </c>
      <c r="H106" s="54"/>
      <c r="I106" s="33" t="b">
        <v>1</v>
      </c>
      <c r="J106" s="34" t="b">
        <v>1</v>
      </c>
      <c r="K106" s="35" t="b">
        <v>1</v>
      </c>
      <c r="L106" s="27" t="s">
        <v>274</v>
      </c>
      <c r="M106" s="27" t="s">
        <v>34</v>
      </c>
      <c r="N106" s="33">
        <v>10</v>
      </c>
      <c r="O106" s="34">
        <v>4</v>
      </c>
      <c r="P106" s="35">
        <v>4</v>
      </c>
      <c r="Q106" s="28">
        <v>120000</v>
      </c>
      <c r="R106" s="36">
        <v>1200000</v>
      </c>
      <c r="S106" s="37">
        <v>480000</v>
      </c>
      <c r="T106" s="38">
        <v>480000</v>
      </c>
      <c r="U106" s="27" t="s">
        <v>37</v>
      </c>
    </row>
    <row r="107" spans="1:21">
      <c r="A107" s="27" t="s">
        <v>101</v>
      </c>
      <c r="B107" s="50" t="s">
        <v>276</v>
      </c>
      <c r="C107" s="28">
        <v>1500000</v>
      </c>
      <c r="D107" s="29">
        <v>0.25</v>
      </c>
      <c r="E107" s="30">
        <v>0.1</v>
      </c>
      <c r="F107" s="31">
        <v>0.1</v>
      </c>
      <c r="G107" s="32">
        <v>3</v>
      </c>
      <c r="H107" s="54"/>
      <c r="I107" s="33" t="b">
        <v>1</v>
      </c>
      <c r="J107" s="34" t="b">
        <v>1</v>
      </c>
      <c r="K107" s="35" t="b">
        <v>1</v>
      </c>
      <c r="L107" s="27" t="s">
        <v>274</v>
      </c>
      <c r="M107" s="27" t="s">
        <v>34</v>
      </c>
      <c r="N107" s="33">
        <v>1</v>
      </c>
      <c r="O107" s="34">
        <v>0</v>
      </c>
      <c r="P107" s="35">
        <v>0</v>
      </c>
      <c r="Q107" s="28">
        <v>500000</v>
      </c>
      <c r="R107" s="36">
        <v>500000</v>
      </c>
      <c r="S107" s="37">
        <v>0</v>
      </c>
      <c r="T107" s="38">
        <v>0</v>
      </c>
      <c r="U107" s="27" t="s">
        <v>37</v>
      </c>
    </row>
    <row r="108" spans="1:21">
      <c r="A108" s="46" t="s">
        <v>101</v>
      </c>
      <c r="B108" s="60" t="s">
        <v>277</v>
      </c>
      <c r="C108" s="47">
        <v>1000000</v>
      </c>
      <c r="D108" s="48">
        <v>0.25</v>
      </c>
      <c r="E108" s="48">
        <v>0.1</v>
      </c>
      <c r="F108" s="48">
        <v>0.1</v>
      </c>
      <c r="G108" s="49">
        <v>20</v>
      </c>
      <c r="H108" s="56" t="s">
        <v>183</v>
      </c>
      <c r="I108" s="49" t="b">
        <v>1</v>
      </c>
      <c r="J108" s="49" t="b">
        <v>1</v>
      </c>
      <c r="K108" s="49" t="b">
        <v>1</v>
      </c>
      <c r="L108" s="46" t="s">
        <v>274</v>
      </c>
      <c r="M108" s="46" t="s">
        <v>34</v>
      </c>
      <c r="N108" s="49">
        <v>5</v>
      </c>
      <c r="O108" s="49">
        <v>2</v>
      </c>
      <c r="P108" s="49">
        <v>2</v>
      </c>
      <c r="Q108" s="47">
        <v>50000</v>
      </c>
      <c r="R108" s="47">
        <v>250000</v>
      </c>
      <c r="S108" s="47">
        <v>100000</v>
      </c>
      <c r="T108" s="47">
        <v>100000</v>
      </c>
      <c r="U108" s="46" t="s">
        <v>37</v>
      </c>
    </row>
    <row r="109" spans="1:21">
      <c r="A109" s="46" t="s">
        <v>101</v>
      </c>
      <c r="B109" s="60" t="s">
        <v>278</v>
      </c>
      <c r="C109" s="47">
        <v>2000000</v>
      </c>
      <c r="D109" s="48">
        <v>0.25</v>
      </c>
      <c r="E109" s="48">
        <v>0.1</v>
      </c>
      <c r="F109" s="48">
        <v>0.1</v>
      </c>
      <c r="G109" s="49">
        <v>20</v>
      </c>
      <c r="H109" s="55" t="s">
        <v>12</v>
      </c>
      <c r="I109" s="49" t="b">
        <v>1</v>
      </c>
      <c r="J109" s="49" t="b">
        <v>1</v>
      </c>
      <c r="K109" s="49" t="b">
        <v>1</v>
      </c>
      <c r="L109" s="46" t="s">
        <v>274</v>
      </c>
      <c r="M109" s="46" t="s">
        <v>34</v>
      </c>
      <c r="N109" s="49">
        <v>5</v>
      </c>
      <c r="O109" s="49">
        <v>2</v>
      </c>
      <c r="P109" s="49">
        <v>2</v>
      </c>
      <c r="Q109" s="47">
        <v>100000</v>
      </c>
      <c r="R109" s="47">
        <v>500000</v>
      </c>
      <c r="S109" s="47">
        <v>200000</v>
      </c>
      <c r="T109" s="47">
        <v>200000</v>
      </c>
      <c r="U109" s="46" t="s">
        <v>38</v>
      </c>
    </row>
    <row r="110" spans="1:21">
      <c r="A110" s="27" t="s">
        <v>101</v>
      </c>
      <c r="B110" s="50" t="s">
        <v>279</v>
      </c>
      <c r="C110" s="28">
        <v>15000000</v>
      </c>
      <c r="D110" s="29">
        <v>0.25</v>
      </c>
      <c r="E110" s="30">
        <v>0.1</v>
      </c>
      <c r="F110" s="31">
        <v>0.1</v>
      </c>
      <c r="G110" s="32">
        <v>410</v>
      </c>
      <c r="H110" s="54"/>
      <c r="I110" s="33" t="b">
        <v>1</v>
      </c>
      <c r="J110" s="34" t="b">
        <v>1</v>
      </c>
      <c r="K110" s="35" t="b">
        <v>1</v>
      </c>
      <c r="L110" s="27" t="s">
        <v>274</v>
      </c>
      <c r="M110" s="27" t="s">
        <v>34</v>
      </c>
      <c r="N110" s="33">
        <v>102</v>
      </c>
      <c r="O110" s="34">
        <v>41</v>
      </c>
      <c r="P110" s="35">
        <v>41</v>
      </c>
      <c r="Q110" s="28">
        <v>36585.365853658543</v>
      </c>
      <c r="R110" s="36">
        <v>3731707.317073171</v>
      </c>
      <c r="S110" s="37">
        <v>1500000</v>
      </c>
      <c r="T110" s="38">
        <v>1500000</v>
      </c>
      <c r="U110" s="27" t="s">
        <v>38</v>
      </c>
    </row>
    <row r="111" spans="1:21">
      <c r="A111" s="27" t="s">
        <v>101</v>
      </c>
      <c r="B111" s="50" t="s">
        <v>280</v>
      </c>
      <c r="C111" s="28">
        <v>15000000</v>
      </c>
      <c r="D111" s="29">
        <v>0.25</v>
      </c>
      <c r="E111" s="30">
        <v>0.1</v>
      </c>
      <c r="F111" s="31">
        <v>0.1</v>
      </c>
      <c r="G111" s="32">
        <v>13</v>
      </c>
      <c r="H111" s="54"/>
      <c r="I111" s="33" t="b">
        <v>1</v>
      </c>
      <c r="J111" s="34" t="b">
        <v>1</v>
      </c>
      <c r="K111" s="35" t="b">
        <v>1</v>
      </c>
      <c r="L111" s="27" t="s">
        <v>274</v>
      </c>
      <c r="M111" s="27" t="s">
        <v>34</v>
      </c>
      <c r="N111" s="33">
        <v>3</v>
      </c>
      <c r="O111" s="34">
        <v>1</v>
      </c>
      <c r="P111" s="35">
        <v>1</v>
      </c>
      <c r="Q111" s="28">
        <v>1153846.153846154</v>
      </c>
      <c r="R111" s="36">
        <v>3461538.461538461</v>
      </c>
      <c r="S111" s="37">
        <v>1153846.153846154</v>
      </c>
      <c r="T111" s="38">
        <v>1153846.153846154</v>
      </c>
      <c r="U111" s="27" t="s">
        <v>38</v>
      </c>
    </row>
    <row r="112" spans="1:21">
      <c r="A112" s="27" t="s">
        <v>101</v>
      </c>
      <c r="B112" s="50" t="s">
        <v>281</v>
      </c>
      <c r="C112" s="28">
        <v>15900000</v>
      </c>
      <c r="D112" s="29">
        <v>0.25</v>
      </c>
      <c r="E112" s="30">
        <v>0.1</v>
      </c>
      <c r="F112" s="31">
        <v>0.1</v>
      </c>
      <c r="G112" s="32">
        <v>114</v>
      </c>
      <c r="H112" s="54"/>
      <c r="I112" s="33" t="b">
        <v>1</v>
      </c>
      <c r="J112" s="34" t="b">
        <v>1</v>
      </c>
      <c r="K112" s="35" t="b">
        <v>1</v>
      </c>
      <c r="L112" s="27" t="s">
        <v>274</v>
      </c>
      <c r="M112" s="27" t="s">
        <v>34</v>
      </c>
      <c r="N112" s="33">
        <v>28</v>
      </c>
      <c r="O112" s="34">
        <v>11</v>
      </c>
      <c r="P112" s="35">
        <v>11</v>
      </c>
      <c r="Q112" s="28">
        <v>139473.68421052629</v>
      </c>
      <c r="R112" s="36">
        <v>3905263.1578947371</v>
      </c>
      <c r="S112" s="37">
        <v>1534210.526315789</v>
      </c>
      <c r="T112" s="38">
        <v>1534210.526315789</v>
      </c>
      <c r="U112" s="27" t="s">
        <v>38</v>
      </c>
    </row>
    <row r="113" spans="1:21">
      <c r="A113" s="27" t="s">
        <v>101</v>
      </c>
      <c r="B113" s="50" t="s">
        <v>282</v>
      </c>
      <c r="C113" s="28">
        <v>2000000</v>
      </c>
      <c r="D113" s="29">
        <v>0.25</v>
      </c>
      <c r="E113" s="30">
        <v>0.1</v>
      </c>
      <c r="F113" s="31">
        <v>0.1</v>
      </c>
      <c r="G113" s="32">
        <v>30</v>
      </c>
      <c r="H113" s="54"/>
      <c r="I113" s="33" t="b">
        <v>1</v>
      </c>
      <c r="J113" s="34" t="b">
        <v>1</v>
      </c>
      <c r="K113" s="35" t="b">
        <v>1</v>
      </c>
      <c r="L113" s="27" t="s">
        <v>274</v>
      </c>
      <c r="M113" s="27" t="s">
        <v>34</v>
      </c>
      <c r="N113" s="33">
        <v>8</v>
      </c>
      <c r="O113" s="34">
        <v>3</v>
      </c>
      <c r="P113" s="35">
        <v>3</v>
      </c>
      <c r="Q113" s="28">
        <v>66666.666666666672</v>
      </c>
      <c r="R113" s="36">
        <v>533333.33333333337</v>
      </c>
      <c r="S113" s="37">
        <v>200000</v>
      </c>
      <c r="T113" s="38">
        <v>200000</v>
      </c>
      <c r="U113" s="27" t="s">
        <v>38</v>
      </c>
    </row>
    <row r="114" spans="1:21">
      <c r="A114" s="27" t="s">
        <v>101</v>
      </c>
      <c r="B114" s="50" t="s">
        <v>283</v>
      </c>
      <c r="C114" s="28">
        <v>2691000</v>
      </c>
      <c r="D114" s="29">
        <v>0.25</v>
      </c>
      <c r="E114" s="30">
        <v>0.1</v>
      </c>
      <c r="F114" s="31">
        <v>0.1</v>
      </c>
      <c r="G114" s="32">
        <v>26</v>
      </c>
      <c r="H114" s="55" t="s">
        <v>16</v>
      </c>
      <c r="I114" s="33" t="b">
        <v>1</v>
      </c>
      <c r="J114" s="34" t="b">
        <v>1</v>
      </c>
      <c r="K114" s="35" t="b">
        <v>1</v>
      </c>
      <c r="L114" s="27" t="s">
        <v>274</v>
      </c>
      <c r="M114" s="27" t="s">
        <v>34</v>
      </c>
      <c r="N114" s="33">
        <v>6</v>
      </c>
      <c r="O114" s="34">
        <v>3</v>
      </c>
      <c r="P114" s="35">
        <v>3</v>
      </c>
      <c r="Q114" s="28">
        <v>103500</v>
      </c>
      <c r="R114" s="36">
        <v>621000</v>
      </c>
      <c r="S114" s="37">
        <v>310500</v>
      </c>
      <c r="T114" s="38">
        <v>310500</v>
      </c>
      <c r="U114" s="27" t="s">
        <v>38</v>
      </c>
    </row>
    <row r="115" spans="1:21">
      <c r="A115" s="27" t="s">
        <v>101</v>
      </c>
      <c r="B115" s="50" t="s">
        <v>284</v>
      </c>
      <c r="C115" s="28">
        <v>2400000</v>
      </c>
      <c r="D115" s="29">
        <v>0.25</v>
      </c>
      <c r="E115" s="30">
        <v>0.1</v>
      </c>
      <c r="F115" s="31">
        <v>0.1</v>
      </c>
      <c r="G115" s="32">
        <v>20</v>
      </c>
      <c r="H115" s="54"/>
      <c r="I115" s="33" t="b">
        <v>1</v>
      </c>
      <c r="J115" s="34" t="b">
        <v>1</v>
      </c>
      <c r="K115" s="35" t="b">
        <v>1</v>
      </c>
      <c r="L115" s="27" t="s">
        <v>274</v>
      </c>
      <c r="M115" s="27" t="s">
        <v>34</v>
      </c>
      <c r="N115" s="33">
        <v>5</v>
      </c>
      <c r="O115" s="34">
        <v>2</v>
      </c>
      <c r="P115" s="35">
        <v>2</v>
      </c>
      <c r="Q115" s="28">
        <v>120000</v>
      </c>
      <c r="R115" s="36">
        <v>600000</v>
      </c>
      <c r="S115" s="37">
        <v>240000</v>
      </c>
      <c r="T115" s="38">
        <v>240000</v>
      </c>
      <c r="U115" s="27" t="s">
        <v>38</v>
      </c>
    </row>
    <row r="116" spans="1:21">
      <c r="A116" s="27" t="s">
        <v>101</v>
      </c>
      <c r="B116" s="50" t="s">
        <v>285</v>
      </c>
      <c r="C116" s="28">
        <v>3000000</v>
      </c>
      <c r="D116" s="29">
        <v>0.25</v>
      </c>
      <c r="E116" s="30">
        <v>0.1</v>
      </c>
      <c r="F116" s="31">
        <v>0.1</v>
      </c>
      <c r="G116" s="32">
        <v>50</v>
      </c>
      <c r="H116" s="54"/>
      <c r="I116" s="33" t="b">
        <v>1</v>
      </c>
      <c r="J116" s="34" t="b">
        <v>1</v>
      </c>
      <c r="K116" s="35" t="b">
        <v>1</v>
      </c>
      <c r="L116" s="27" t="s">
        <v>274</v>
      </c>
      <c r="M116" s="27" t="s">
        <v>34</v>
      </c>
      <c r="N116" s="33">
        <v>12</v>
      </c>
      <c r="O116" s="34">
        <v>5</v>
      </c>
      <c r="P116" s="35">
        <v>5</v>
      </c>
      <c r="Q116" s="28">
        <v>60000</v>
      </c>
      <c r="R116" s="36">
        <v>720000</v>
      </c>
      <c r="S116" s="37">
        <v>300000</v>
      </c>
      <c r="T116" s="38">
        <v>300000</v>
      </c>
      <c r="U116" s="27" t="s">
        <v>38</v>
      </c>
    </row>
    <row r="117" spans="1:21">
      <c r="A117" s="27" t="s">
        <v>101</v>
      </c>
      <c r="B117" s="50" t="s">
        <v>286</v>
      </c>
      <c r="C117" s="28">
        <v>2500000</v>
      </c>
      <c r="D117" s="29">
        <v>0.25</v>
      </c>
      <c r="E117" s="30">
        <v>0.1</v>
      </c>
      <c r="F117" s="31">
        <v>0.1</v>
      </c>
      <c r="G117" s="32">
        <v>16</v>
      </c>
      <c r="H117" s="54"/>
      <c r="I117" s="33" t="b">
        <v>1</v>
      </c>
      <c r="J117" s="34" t="b">
        <v>1</v>
      </c>
      <c r="K117" s="35" t="b">
        <v>1</v>
      </c>
      <c r="L117" s="27" t="s">
        <v>274</v>
      </c>
      <c r="M117" s="27" t="s">
        <v>34</v>
      </c>
      <c r="N117" s="33">
        <v>4</v>
      </c>
      <c r="O117" s="34">
        <v>2</v>
      </c>
      <c r="P117" s="35">
        <v>2</v>
      </c>
      <c r="Q117" s="28">
        <v>156250</v>
      </c>
      <c r="R117" s="36">
        <v>625000</v>
      </c>
      <c r="S117" s="37">
        <v>312500</v>
      </c>
      <c r="T117" s="38">
        <v>312500</v>
      </c>
      <c r="U117" s="27" t="s">
        <v>38</v>
      </c>
    </row>
    <row r="118" spans="1:21">
      <c r="A118" s="27" t="s">
        <v>101</v>
      </c>
      <c r="B118" s="50" t="s">
        <v>287</v>
      </c>
      <c r="C118" s="28">
        <v>14988000</v>
      </c>
      <c r="D118" s="29">
        <v>0.25</v>
      </c>
      <c r="E118" s="30">
        <v>0.1</v>
      </c>
      <c r="F118" s="31">
        <v>0.1</v>
      </c>
      <c r="G118" s="32">
        <v>40</v>
      </c>
      <c r="H118" s="54"/>
      <c r="I118" s="33" t="b">
        <v>1</v>
      </c>
      <c r="J118" s="34" t="b">
        <v>1</v>
      </c>
      <c r="K118" s="35" t="b">
        <v>1</v>
      </c>
      <c r="L118" s="27" t="s">
        <v>274</v>
      </c>
      <c r="M118" s="27" t="s">
        <v>34</v>
      </c>
      <c r="N118" s="33">
        <v>10</v>
      </c>
      <c r="O118" s="34">
        <v>4</v>
      </c>
      <c r="P118" s="35">
        <v>4</v>
      </c>
      <c r="Q118" s="28">
        <v>374700</v>
      </c>
      <c r="R118" s="36">
        <v>3747000</v>
      </c>
      <c r="S118" s="37">
        <v>1498800</v>
      </c>
      <c r="T118" s="38">
        <v>1498800</v>
      </c>
      <c r="U118" s="27" t="s">
        <v>38</v>
      </c>
    </row>
    <row r="119" spans="1:21">
      <c r="A119" s="27" t="s">
        <v>101</v>
      </c>
      <c r="B119" s="50" t="s">
        <v>288</v>
      </c>
      <c r="C119" s="28">
        <v>1000000</v>
      </c>
      <c r="D119" s="29">
        <v>0.25</v>
      </c>
      <c r="E119" s="30">
        <v>0.1</v>
      </c>
      <c r="F119" s="31">
        <v>0.1</v>
      </c>
      <c r="G119" s="32">
        <v>20</v>
      </c>
      <c r="H119" s="54"/>
      <c r="I119" s="33" t="b">
        <v>1</v>
      </c>
      <c r="J119" s="34" t="b">
        <v>1</v>
      </c>
      <c r="K119" s="35" t="b">
        <v>1</v>
      </c>
      <c r="L119" s="27" t="s">
        <v>274</v>
      </c>
      <c r="M119" s="27" t="s">
        <v>34</v>
      </c>
      <c r="N119" s="33">
        <v>5</v>
      </c>
      <c r="O119" s="34">
        <v>2</v>
      </c>
      <c r="P119" s="35">
        <v>2</v>
      </c>
      <c r="Q119" s="28">
        <v>50000</v>
      </c>
      <c r="R119" s="36">
        <v>250000</v>
      </c>
      <c r="S119" s="37">
        <v>100000</v>
      </c>
      <c r="T119" s="38">
        <v>100000</v>
      </c>
      <c r="U119" s="27" t="s">
        <v>39</v>
      </c>
    </row>
    <row r="120" spans="1:21">
      <c r="A120" s="39" t="s">
        <v>101</v>
      </c>
      <c r="B120" s="64" t="s">
        <v>289</v>
      </c>
      <c r="C120" s="40">
        <v>3000000</v>
      </c>
      <c r="D120" s="41">
        <v>0.5</v>
      </c>
      <c r="E120" s="41">
        <v>0.5</v>
      </c>
      <c r="F120" s="41">
        <v>0</v>
      </c>
      <c r="G120" s="42">
        <v>98</v>
      </c>
      <c r="H120" s="55" t="s">
        <v>13</v>
      </c>
      <c r="I120" s="42" t="b">
        <v>1</v>
      </c>
      <c r="J120" s="42" t="b">
        <v>1</v>
      </c>
      <c r="K120" s="42" t="b">
        <v>0</v>
      </c>
      <c r="L120" s="39" t="s">
        <v>274</v>
      </c>
      <c r="M120" s="39" t="s">
        <v>34</v>
      </c>
      <c r="N120" s="42">
        <v>49</v>
      </c>
      <c r="O120" s="42">
        <v>49</v>
      </c>
      <c r="P120" s="42">
        <v>0</v>
      </c>
      <c r="Q120" s="40">
        <v>30612.244897959179</v>
      </c>
      <c r="R120" s="40">
        <v>1500000</v>
      </c>
      <c r="S120" s="40">
        <v>1500000</v>
      </c>
      <c r="T120" s="40">
        <v>0</v>
      </c>
      <c r="U120" s="39" t="s">
        <v>39</v>
      </c>
    </row>
    <row r="121" spans="1:21">
      <c r="A121" s="27" t="s">
        <v>59</v>
      </c>
      <c r="B121" s="50" t="s">
        <v>290</v>
      </c>
      <c r="C121" s="28">
        <v>2530000</v>
      </c>
      <c r="D121" s="29">
        <v>0.25</v>
      </c>
      <c r="E121" s="30">
        <v>0.1</v>
      </c>
      <c r="F121" s="31">
        <v>0.05</v>
      </c>
      <c r="G121" s="32">
        <v>89</v>
      </c>
      <c r="H121" s="54"/>
      <c r="I121" s="33" t="b">
        <v>1</v>
      </c>
      <c r="J121" s="34" t="b">
        <v>1</v>
      </c>
      <c r="K121" s="35" t="b">
        <v>1</v>
      </c>
      <c r="L121" s="27" t="s">
        <v>291</v>
      </c>
      <c r="M121" s="27" t="s">
        <v>33</v>
      </c>
      <c r="N121" s="33">
        <v>22</v>
      </c>
      <c r="O121" s="34">
        <v>9</v>
      </c>
      <c r="P121" s="35">
        <v>4</v>
      </c>
      <c r="Q121" s="28">
        <v>28426.966292134832</v>
      </c>
      <c r="R121" s="36">
        <v>625393.25842696626</v>
      </c>
      <c r="S121" s="37">
        <v>255842.69662921349</v>
      </c>
      <c r="T121" s="38">
        <v>113707.8651685393</v>
      </c>
      <c r="U121" s="27" t="s">
        <v>38</v>
      </c>
    </row>
    <row r="122" spans="1:21">
      <c r="A122" s="27" t="s">
        <v>59</v>
      </c>
      <c r="B122" s="50" t="s">
        <v>292</v>
      </c>
      <c r="C122" s="28">
        <v>1050000</v>
      </c>
      <c r="D122" s="29">
        <v>0.25</v>
      </c>
      <c r="E122" s="30">
        <v>0.1</v>
      </c>
      <c r="F122" s="31">
        <v>0.05</v>
      </c>
      <c r="G122" s="32">
        <v>39</v>
      </c>
      <c r="H122" s="54"/>
      <c r="I122" s="33" t="b">
        <v>1</v>
      </c>
      <c r="J122" s="34" t="b">
        <v>1</v>
      </c>
      <c r="K122" s="35" t="b">
        <v>1</v>
      </c>
      <c r="L122" s="27" t="s">
        <v>291</v>
      </c>
      <c r="M122" s="27" t="s">
        <v>33</v>
      </c>
      <c r="N122" s="33">
        <v>10</v>
      </c>
      <c r="O122" s="34">
        <v>4</v>
      </c>
      <c r="P122" s="35">
        <v>2</v>
      </c>
      <c r="Q122" s="28">
        <v>26923.076923076918</v>
      </c>
      <c r="R122" s="36">
        <v>269230.76923076919</v>
      </c>
      <c r="S122" s="37">
        <v>107692.3076923077</v>
      </c>
      <c r="T122" s="38">
        <v>53846.153846153837</v>
      </c>
      <c r="U122" s="27" t="s">
        <v>37</v>
      </c>
    </row>
    <row r="123" spans="1:21">
      <c r="A123" s="27" t="s">
        <v>59</v>
      </c>
      <c r="B123" s="50" t="s">
        <v>293</v>
      </c>
      <c r="C123" s="28">
        <v>120000</v>
      </c>
      <c r="D123" s="29">
        <v>0.25</v>
      </c>
      <c r="E123" s="30">
        <v>0.1</v>
      </c>
      <c r="F123" s="31">
        <v>0.05</v>
      </c>
      <c r="G123" s="32">
        <v>6</v>
      </c>
      <c r="H123" s="54"/>
      <c r="I123" s="33" t="b">
        <v>1</v>
      </c>
      <c r="J123" s="34" t="b">
        <v>1</v>
      </c>
      <c r="K123" s="35" t="b">
        <v>1</v>
      </c>
      <c r="L123" s="27" t="s">
        <v>291</v>
      </c>
      <c r="M123" s="27" t="s">
        <v>33</v>
      </c>
      <c r="N123" s="33">
        <v>2</v>
      </c>
      <c r="O123" s="34">
        <v>1</v>
      </c>
      <c r="P123" s="35">
        <v>0</v>
      </c>
      <c r="Q123" s="28">
        <v>20000</v>
      </c>
      <c r="R123" s="36">
        <v>40000</v>
      </c>
      <c r="S123" s="37">
        <v>20000</v>
      </c>
      <c r="T123" s="38">
        <v>0</v>
      </c>
      <c r="U123" s="27" t="s">
        <v>40</v>
      </c>
    </row>
    <row r="124" spans="1:21">
      <c r="A124" s="27" t="s">
        <v>60</v>
      </c>
      <c r="B124" s="50" t="s">
        <v>294</v>
      </c>
      <c r="C124" s="28">
        <v>2844000</v>
      </c>
      <c r="D124" s="29">
        <v>0.25</v>
      </c>
      <c r="E124" s="30">
        <v>0.1</v>
      </c>
      <c r="F124" s="31">
        <v>0.05</v>
      </c>
      <c r="G124" s="32">
        <v>94</v>
      </c>
      <c r="H124" s="54"/>
      <c r="I124" s="33" t="b">
        <v>1</v>
      </c>
      <c r="J124" s="34" t="b">
        <v>1</v>
      </c>
      <c r="K124" s="35" t="b">
        <v>1</v>
      </c>
      <c r="L124" s="27" t="s">
        <v>295</v>
      </c>
      <c r="M124" s="27" t="s">
        <v>33</v>
      </c>
      <c r="N124" s="33">
        <v>24</v>
      </c>
      <c r="O124" s="34">
        <v>9</v>
      </c>
      <c r="P124" s="35">
        <v>5</v>
      </c>
      <c r="Q124" s="28">
        <v>30255.319148936171</v>
      </c>
      <c r="R124" s="36">
        <v>726127.65957446815</v>
      </c>
      <c r="S124" s="37">
        <v>272297.87234042562</v>
      </c>
      <c r="T124" s="38">
        <v>151276.59574468079</v>
      </c>
      <c r="U124" s="27" t="s">
        <v>37</v>
      </c>
    </row>
    <row r="125" spans="1:21">
      <c r="A125" s="27" t="s">
        <v>60</v>
      </c>
      <c r="B125" s="50" t="s">
        <v>296</v>
      </c>
      <c r="C125" s="28">
        <v>1674000</v>
      </c>
      <c r="D125" s="29">
        <v>0.25</v>
      </c>
      <c r="E125" s="30">
        <v>0.1</v>
      </c>
      <c r="F125" s="31">
        <v>0.05</v>
      </c>
      <c r="G125" s="32">
        <v>55</v>
      </c>
      <c r="H125" s="54"/>
      <c r="I125" s="33" t="b">
        <v>1</v>
      </c>
      <c r="J125" s="34" t="b">
        <v>1</v>
      </c>
      <c r="K125" s="35" t="b">
        <v>1</v>
      </c>
      <c r="L125" s="27" t="s">
        <v>295</v>
      </c>
      <c r="M125" s="27" t="s">
        <v>33</v>
      </c>
      <c r="N125" s="33">
        <v>14</v>
      </c>
      <c r="O125" s="34">
        <v>6</v>
      </c>
      <c r="P125" s="35">
        <v>3</v>
      </c>
      <c r="Q125" s="28">
        <v>30436.36363636364</v>
      </c>
      <c r="R125" s="36">
        <v>426109.09090909088</v>
      </c>
      <c r="S125" s="37">
        <v>182618.18181818179</v>
      </c>
      <c r="T125" s="38">
        <v>91309.090909090912</v>
      </c>
      <c r="U125" s="27" t="s">
        <v>37</v>
      </c>
    </row>
    <row r="126" spans="1:21">
      <c r="A126" s="27" t="s">
        <v>60</v>
      </c>
      <c r="B126" s="50" t="s">
        <v>297</v>
      </c>
      <c r="C126" s="28">
        <v>7840000</v>
      </c>
      <c r="D126" s="29">
        <v>0.25</v>
      </c>
      <c r="E126" s="30">
        <v>0.1</v>
      </c>
      <c r="F126" s="31">
        <v>0.05</v>
      </c>
      <c r="G126" s="32">
        <v>225</v>
      </c>
      <c r="H126" s="54"/>
      <c r="I126" s="33" t="b">
        <v>1</v>
      </c>
      <c r="J126" s="34" t="b">
        <v>1</v>
      </c>
      <c r="K126" s="35" t="b">
        <v>1</v>
      </c>
      <c r="L126" s="27" t="s">
        <v>295</v>
      </c>
      <c r="M126" s="27" t="s">
        <v>33</v>
      </c>
      <c r="N126" s="33">
        <v>56</v>
      </c>
      <c r="O126" s="34">
        <v>22</v>
      </c>
      <c r="P126" s="35">
        <v>11</v>
      </c>
      <c r="Q126" s="28">
        <v>34844.444444444453</v>
      </c>
      <c r="R126" s="36">
        <v>1951288.888888889</v>
      </c>
      <c r="S126" s="37">
        <v>766577.77777777775</v>
      </c>
      <c r="T126" s="38">
        <v>383288.88888888888</v>
      </c>
      <c r="U126" s="27" t="s">
        <v>38</v>
      </c>
    </row>
    <row r="127" spans="1:21">
      <c r="A127" s="27" t="s">
        <v>102</v>
      </c>
      <c r="B127" s="50" t="s">
        <v>298</v>
      </c>
      <c r="C127" s="28">
        <v>2000000</v>
      </c>
      <c r="D127" s="29">
        <v>0.25</v>
      </c>
      <c r="E127" s="30">
        <v>0.1</v>
      </c>
      <c r="F127" s="31">
        <v>0.05</v>
      </c>
      <c r="G127" s="32">
        <v>20</v>
      </c>
      <c r="H127" s="54"/>
      <c r="I127" s="33" t="b">
        <v>1</v>
      </c>
      <c r="J127" s="34" t="b">
        <v>1</v>
      </c>
      <c r="K127" s="35" t="b">
        <v>1</v>
      </c>
      <c r="L127" s="27" t="s">
        <v>299</v>
      </c>
      <c r="M127" s="27" t="s">
        <v>34</v>
      </c>
      <c r="N127" s="33">
        <v>5</v>
      </c>
      <c r="O127" s="34">
        <v>2</v>
      </c>
      <c r="P127" s="35">
        <v>1</v>
      </c>
      <c r="Q127" s="28">
        <v>100000</v>
      </c>
      <c r="R127" s="36">
        <v>500000</v>
      </c>
      <c r="S127" s="37">
        <v>200000</v>
      </c>
      <c r="T127" s="38">
        <v>100000</v>
      </c>
      <c r="U127" s="27" t="s">
        <v>37</v>
      </c>
    </row>
    <row r="128" spans="1:21">
      <c r="A128" s="27" t="s">
        <v>102</v>
      </c>
      <c r="B128" s="50" t="s">
        <v>300</v>
      </c>
      <c r="C128" s="28">
        <v>900000</v>
      </c>
      <c r="D128" s="29">
        <v>0.25</v>
      </c>
      <c r="E128" s="30">
        <v>0.1</v>
      </c>
      <c r="F128" s="31">
        <v>0.05</v>
      </c>
      <c r="G128" s="32">
        <v>3</v>
      </c>
      <c r="H128" s="54"/>
      <c r="I128" s="33" t="b">
        <v>1</v>
      </c>
      <c r="J128" s="34" t="b">
        <v>1</v>
      </c>
      <c r="K128" s="35" t="b">
        <v>1</v>
      </c>
      <c r="L128" s="27" t="s">
        <v>299</v>
      </c>
      <c r="M128" s="27" t="s">
        <v>34</v>
      </c>
      <c r="N128" s="33">
        <v>1</v>
      </c>
      <c r="O128" s="34">
        <v>0</v>
      </c>
      <c r="P128" s="35">
        <v>0</v>
      </c>
      <c r="Q128" s="28">
        <v>300000</v>
      </c>
      <c r="R128" s="36">
        <v>300000</v>
      </c>
      <c r="S128" s="37">
        <v>0</v>
      </c>
      <c r="T128" s="38">
        <v>0</v>
      </c>
      <c r="U128" s="27" t="s">
        <v>37</v>
      </c>
    </row>
    <row r="129" spans="1:21">
      <c r="A129" s="27" t="s">
        <v>102</v>
      </c>
      <c r="B129" s="50" t="s">
        <v>301</v>
      </c>
      <c r="C129" s="28">
        <v>3150000</v>
      </c>
      <c r="D129" s="29">
        <v>0.26829999999999998</v>
      </c>
      <c r="E129" s="30">
        <v>9.7599999999999992E-2</v>
      </c>
      <c r="F129" s="31">
        <v>4.8800000000000003E-2</v>
      </c>
      <c r="G129" s="32">
        <v>82</v>
      </c>
      <c r="H129" s="54"/>
      <c r="I129" s="33" t="b">
        <v>1</v>
      </c>
      <c r="J129" s="34" t="b">
        <v>1</v>
      </c>
      <c r="K129" s="35" t="b">
        <v>1</v>
      </c>
      <c r="L129" s="27" t="s">
        <v>299</v>
      </c>
      <c r="M129" s="27" t="s">
        <v>34</v>
      </c>
      <c r="N129" s="33">
        <v>22</v>
      </c>
      <c r="O129" s="34">
        <v>8</v>
      </c>
      <c r="P129" s="35">
        <v>4</v>
      </c>
      <c r="Q129" s="28">
        <v>38414.634146341457</v>
      </c>
      <c r="R129" s="36">
        <v>845121.95121951227</v>
      </c>
      <c r="S129" s="37">
        <v>307317.07317073172</v>
      </c>
      <c r="T129" s="38">
        <v>153658.53658536589</v>
      </c>
      <c r="U129" s="27" t="s">
        <v>37</v>
      </c>
    </row>
    <row r="130" spans="1:21">
      <c r="A130" s="27" t="s">
        <v>102</v>
      </c>
      <c r="B130" s="50" t="s">
        <v>302</v>
      </c>
      <c r="C130" s="28">
        <v>24456206.84</v>
      </c>
      <c r="D130" s="29">
        <v>0.24660000000000001</v>
      </c>
      <c r="E130" s="30">
        <v>0.1507</v>
      </c>
      <c r="F130" s="31">
        <v>0.16439999999999999</v>
      </c>
      <c r="G130" s="32">
        <v>73</v>
      </c>
      <c r="H130" s="54"/>
      <c r="I130" s="33" t="b">
        <v>1</v>
      </c>
      <c r="J130" s="34" t="b">
        <v>1</v>
      </c>
      <c r="K130" s="35" t="b">
        <v>1</v>
      </c>
      <c r="L130" s="27" t="s">
        <v>299</v>
      </c>
      <c r="M130" s="27" t="s">
        <v>34</v>
      </c>
      <c r="N130" s="33">
        <v>18</v>
      </c>
      <c r="O130" s="34">
        <v>11</v>
      </c>
      <c r="P130" s="35">
        <v>12</v>
      </c>
      <c r="Q130" s="28">
        <v>335016.53205479449</v>
      </c>
      <c r="R130" s="36">
        <v>6030297.5769863017</v>
      </c>
      <c r="S130" s="37">
        <v>3685181.8526027398</v>
      </c>
      <c r="T130" s="38">
        <v>4020198.3846575348</v>
      </c>
      <c r="U130" s="27" t="s">
        <v>38</v>
      </c>
    </row>
    <row r="131" spans="1:21">
      <c r="A131" s="39" t="s">
        <v>103</v>
      </c>
      <c r="B131" s="64" t="s">
        <v>303</v>
      </c>
      <c r="C131" s="40">
        <v>2100000</v>
      </c>
      <c r="D131" s="41">
        <v>0.25</v>
      </c>
      <c r="E131" s="41">
        <v>0.1</v>
      </c>
      <c r="F131" s="41">
        <v>0.05</v>
      </c>
      <c r="G131" s="42">
        <v>50</v>
      </c>
      <c r="H131" s="55" t="s">
        <v>13</v>
      </c>
      <c r="I131" s="42" t="b">
        <v>1</v>
      </c>
      <c r="J131" s="42" t="b">
        <v>1</v>
      </c>
      <c r="K131" s="42" t="b">
        <v>1</v>
      </c>
      <c r="L131" s="39" t="s">
        <v>304</v>
      </c>
      <c r="M131" s="39" t="s">
        <v>34</v>
      </c>
      <c r="N131" s="42">
        <v>12</v>
      </c>
      <c r="O131" s="42">
        <v>5</v>
      </c>
      <c r="P131" s="42">
        <v>2</v>
      </c>
      <c r="Q131" s="40">
        <v>42000</v>
      </c>
      <c r="R131" s="40">
        <v>504000</v>
      </c>
      <c r="S131" s="40">
        <v>210000</v>
      </c>
      <c r="T131" s="40">
        <v>84000</v>
      </c>
      <c r="U131" s="39" t="s">
        <v>37</v>
      </c>
    </row>
    <row r="132" spans="1:21">
      <c r="A132" s="27" t="s">
        <v>103</v>
      </c>
      <c r="B132" s="50" t="s">
        <v>305</v>
      </c>
      <c r="C132" s="28">
        <v>1200000</v>
      </c>
      <c r="D132" s="29">
        <v>0.25</v>
      </c>
      <c r="E132" s="30">
        <v>0.25</v>
      </c>
      <c r="F132" s="31">
        <v>0</v>
      </c>
      <c r="G132" s="32">
        <v>4</v>
      </c>
      <c r="H132" s="54"/>
      <c r="I132" s="33" t="b">
        <v>1</v>
      </c>
      <c r="J132" s="34" t="b">
        <v>1</v>
      </c>
      <c r="K132" s="35" t="b">
        <v>1</v>
      </c>
      <c r="L132" s="27" t="s">
        <v>304</v>
      </c>
      <c r="M132" s="27" t="s">
        <v>34</v>
      </c>
      <c r="N132" s="33">
        <v>1</v>
      </c>
      <c r="O132" s="34">
        <v>1</v>
      </c>
      <c r="P132" s="35">
        <v>0</v>
      </c>
      <c r="Q132" s="28">
        <v>300000</v>
      </c>
      <c r="R132" s="36">
        <v>300000</v>
      </c>
      <c r="S132" s="37">
        <v>300000</v>
      </c>
      <c r="T132" s="38">
        <v>0</v>
      </c>
      <c r="U132" s="27" t="s">
        <v>37</v>
      </c>
    </row>
    <row r="133" spans="1:21">
      <c r="A133" s="27" t="s">
        <v>103</v>
      </c>
      <c r="B133" s="50" t="s">
        <v>306</v>
      </c>
      <c r="C133" s="28">
        <v>480000</v>
      </c>
      <c r="D133" s="29">
        <v>0.25</v>
      </c>
      <c r="E133" s="30">
        <v>0.1</v>
      </c>
      <c r="F133" s="31">
        <v>0</v>
      </c>
      <c r="G133" s="32">
        <v>4</v>
      </c>
      <c r="H133" s="54"/>
      <c r="I133" s="33" t="b">
        <v>1</v>
      </c>
      <c r="J133" s="34" t="b">
        <v>1</v>
      </c>
      <c r="K133" s="35" t="b">
        <v>1</v>
      </c>
      <c r="L133" s="27" t="s">
        <v>304</v>
      </c>
      <c r="M133" s="27" t="s">
        <v>34</v>
      </c>
      <c r="N133" s="33">
        <v>1</v>
      </c>
      <c r="O133" s="34">
        <v>0</v>
      </c>
      <c r="P133" s="35">
        <v>0</v>
      </c>
      <c r="Q133" s="28">
        <v>120000</v>
      </c>
      <c r="R133" s="36">
        <v>120000</v>
      </c>
      <c r="S133" s="37">
        <v>0</v>
      </c>
      <c r="T133" s="38">
        <v>0</v>
      </c>
      <c r="U133" s="27" t="s">
        <v>37</v>
      </c>
    </row>
    <row r="134" spans="1:21">
      <c r="A134" s="27" t="s">
        <v>103</v>
      </c>
      <c r="B134" s="50" t="s">
        <v>307</v>
      </c>
      <c r="C134" s="28">
        <v>800000</v>
      </c>
      <c r="D134" s="29">
        <v>0.25</v>
      </c>
      <c r="E134" s="30">
        <v>0.1</v>
      </c>
      <c r="F134" s="31">
        <v>0.05</v>
      </c>
      <c r="G134" s="32">
        <v>20</v>
      </c>
      <c r="H134" s="54"/>
      <c r="I134" s="33" t="b">
        <v>1</v>
      </c>
      <c r="J134" s="34" t="b">
        <v>1</v>
      </c>
      <c r="K134" s="35" t="b">
        <v>1</v>
      </c>
      <c r="L134" s="27" t="s">
        <v>304</v>
      </c>
      <c r="M134" s="27" t="s">
        <v>34</v>
      </c>
      <c r="N134" s="33">
        <v>5</v>
      </c>
      <c r="O134" s="34">
        <v>2</v>
      </c>
      <c r="P134" s="35">
        <v>1</v>
      </c>
      <c r="Q134" s="28">
        <v>40000</v>
      </c>
      <c r="R134" s="36">
        <v>200000</v>
      </c>
      <c r="S134" s="37">
        <v>80000</v>
      </c>
      <c r="T134" s="38">
        <v>40000</v>
      </c>
      <c r="U134" s="27" t="s">
        <v>38</v>
      </c>
    </row>
    <row r="135" spans="1:21">
      <c r="A135" s="27" t="s">
        <v>103</v>
      </c>
      <c r="B135" s="50" t="s">
        <v>308</v>
      </c>
      <c r="C135" s="28">
        <v>1120000</v>
      </c>
      <c r="D135" s="29">
        <v>0.25</v>
      </c>
      <c r="E135" s="30">
        <v>0.1</v>
      </c>
      <c r="F135" s="31">
        <v>0.05</v>
      </c>
      <c r="G135" s="32">
        <v>56</v>
      </c>
      <c r="H135" s="54"/>
      <c r="I135" s="33" t="b">
        <v>1</v>
      </c>
      <c r="J135" s="34" t="b">
        <v>1</v>
      </c>
      <c r="K135" s="35" t="b">
        <v>1</v>
      </c>
      <c r="L135" s="27" t="s">
        <v>304</v>
      </c>
      <c r="M135" s="27" t="s">
        <v>34</v>
      </c>
      <c r="N135" s="33">
        <v>14</v>
      </c>
      <c r="O135" s="34">
        <v>6</v>
      </c>
      <c r="P135" s="35">
        <v>3</v>
      </c>
      <c r="Q135" s="28">
        <v>20000</v>
      </c>
      <c r="R135" s="36">
        <v>280000</v>
      </c>
      <c r="S135" s="37">
        <v>120000</v>
      </c>
      <c r="T135" s="38">
        <v>60000</v>
      </c>
      <c r="U135" s="27" t="s">
        <v>38</v>
      </c>
    </row>
    <row r="136" spans="1:21">
      <c r="A136" s="39" t="s">
        <v>103</v>
      </c>
      <c r="B136" s="46" t="s">
        <v>309</v>
      </c>
      <c r="C136" s="40">
        <v>2100000</v>
      </c>
      <c r="D136" s="41">
        <v>0.25</v>
      </c>
      <c r="E136" s="41">
        <v>0.1</v>
      </c>
      <c r="F136" s="41">
        <v>0.05</v>
      </c>
      <c r="G136" s="42">
        <v>50</v>
      </c>
      <c r="H136" s="55" t="s">
        <v>12</v>
      </c>
      <c r="I136" s="42" t="b">
        <v>1</v>
      </c>
      <c r="J136" s="42" t="b">
        <v>1</v>
      </c>
      <c r="K136" s="42" t="b">
        <v>1</v>
      </c>
      <c r="L136" s="39" t="s">
        <v>304</v>
      </c>
      <c r="M136" s="39" t="s">
        <v>34</v>
      </c>
      <c r="N136" s="42">
        <v>12</v>
      </c>
      <c r="O136" s="42">
        <v>5</v>
      </c>
      <c r="P136" s="42">
        <v>2</v>
      </c>
      <c r="Q136" s="40">
        <v>42000</v>
      </c>
      <c r="R136" s="40">
        <v>504000</v>
      </c>
      <c r="S136" s="40">
        <v>210000</v>
      </c>
      <c r="T136" s="40">
        <v>84000</v>
      </c>
      <c r="U136" s="39" t="s">
        <v>38</v>
      </c>
    </row>
    <row r="137" spans="1:21">
      <c r="A137" s="27" t="s">
        <v>103</v>
      </c>
      <c r="B137" s="50" t="s">
        <v>310</v>
      </c>
      <c r="C137" s="28">
        <v>3200000</v>
      </c>
      <c r="D137" s="29">
        <v>0.25</v>
      </c>
      <c r="E137" s="30">
        <v>0.1</v>
      </c>
      <c r="F137" s="31">
        <v>0.05</v>
      </c>
      <c r="G137" s="32">
        <v>10</v>
      </c>
      <c r="H137" s="54"/>
      <c r="I137" s="33" t="b">
        <v>1</v>
      </c>
      <c r="J137" s="34" t="b">
        <v>1</v>
      </c>
      <c r="K137" s="35" t="b">
        <v>1</v>
      </c>
      <c r="L137" s="27" t="s">
        <v>304</v>
      </c>
      <c r="M137" s="27" t="s">
        <v>34</v>
      </c>
      <c r="N137" s="33">
        <v>2</v>
      </c>
      <c r="O137" s="34">
        <v>1</v>
      </c>
      <c r="P137" s="35">
        <v>0</v>
      </c>
      <c r="Q137" s="28">
        <v>320000</v>
      </c>
      <c r="R137" s="36">
        <v>640000</v>
      </c>
      <c r="S137" s="37">
        <v>320000</v>
      </c>
      <c r="T137" s="38">
        <v>0</v>
      </c>
      <c r="U137" s="27" t="s">
        <v>38</v>
      </c>
    </row>
    <row r="138" spans="1:21">
      <c r="A138" s="27" t="s">
        <v>103</v>
      </c>
      <c r="B138" s="50" t="s">
        <v>311</v>
      </c>
      <c r="C138" s="28">
        <v>2500000</v>
      </c>
      <c r="D138" s="29">
        <v>0.25</v>
      </c>
      <c r="E138" s="30">
        <v>0.1</v>
      </c>
      <c r="F138" s="31">
        <v>0.05</v>
      </c>
      <c r="G138" s="32">
        <v>50</v>
      </c>
      <c r="H138" s="54"/>
      <c r="I138" s="33" t="b">
        <v>1</v>
      </c>
      <c r="J138" s="34" t="b">
        <v>1</v>
      </c>
      <c r="K138" s="35" t="b">
        <v>1</v>
      </c>
      <c r="L138" s="27" t="s">
        <v>304</v>
      </c>
      <c r="M138" s="27" t="s">
        <v>34</v>
      </c>
      <c r="N138" s="33">
        <v>12</v>
      </c>
      <c r="O138" s="34">
        <v>5</v>
      </c>
      <c r="P138" s="35">
        <v>2</v>
      </c>
      <c r="Q138" s="28">
        <v>50000</v>
      </c>
      <c r="R138" s="36">
        <v>600000</v>
      </c>
      <c r="S138" s="37">
        <v>250000</v>
      </c>
      <c r="T138" s="38">
        <v>100000</v>
      </c>
      <c r="U138" s="27" t="s">
        <v>38</v>
      </c>
    </row>
    <row r="139" spans="1:21">
      <c r="A139" s="27" t="s">
        <v>103</v>
      </c>
      <c r="B139" s="50" t="s">
        <v>312</v>
      </c>
      <c r="C139" s="28">
        <v>560000</v>
      </c>
      <c r="D139" s="29">
        <v>0.25</v>
      </c>
      <c r="E139" s="30">
        <v>0.1</v>
      </c>
      <c r="F139" s="31">
        <v>0.05</v>
      </c>
      <c r="G139" s="32">
        <v>14</v>
      </c>
      <c r="H139" s="54"/>
      <c r="I139" s="33" t="b">
        <v>1</v>
      </c>
      <c r="J139" s="34" t="b">
        <v>1</v>
      </c>
      <c r="K139" s="35" t="b">
        <v>1</v>
      </c>
      <c r="L139" s="27" t="s">
        <v>304</v>
      </c>
      <c r="M139" s="27" t="s">
        <v>34</v>
      </c>
      <c r="N139" s="33">
        <v>4</v>
      </c>
      <c r="O139" s="34">
        <v>1</v>
      </c>
      <c r="P139" s="35">
        <v>1</v>
      </c>
      <c r="Q139" s="28">
        <v>40000</v>
      </c>
      <c r="R139" s="36">
        <v>160000</v>
      </c>
      <c r="S139" s="37">
        <v>40000</v>
      </c>
      <c r="T139" s="38">
        <v>40000</v>
      </c>
      <c r="U139" s="27" t="s">
        <v>38</v>
      </c>
    </row>
    <row r="140" spans="1:21">
      <c r="A140" s="27" t="s">
        <v>103</v>
      </c>
      <c r="B140" s="50" t="s">
        <v>313</v>
      </c>
      <c r="C140" s="28">
        <v>1700000</v>
      </c>
      <c r="D140" s="29">
        <v>0.25</v>
      </c>
      <c r="E140" s="30">
        <v>0.1</v>
      </c>
      <c r="F140" s="31">
        <v>0.05</v>
      </c>
      <c r="G140" s="32">
        <v>33</v>
      </c>
      <c r="H140" s="54"/>
      <c r="I140" s="33" t="b">
        <v>1</v>
      </c>
      <c r="J140" s="34" t="b">
        <v>1</v>
      </c>
      <c r="K140" s="35" t="b">
        <v>1</v>
      </c>
      <c r="L140" s="27" t="s">
        <v>304</v>
      </c>
      <c r="M140" s="27" t="s">
        <v>34</v>
      </c>
      <c r="N140" s="33">
        <v>8</v>
      </c>
      <c r="O140" s="34">
        <v>3</v>
      </c>
      <c r="P140" s="35">
        <v>2</v>
      </c>
      <c r="Q140" s="28">
        <v>51515.151515151512</v>
      </c>
      <c r="R140" s="36">
        <v>412121.2121212121</v>
      </c>
      <c r="S140" s="37">
        <v>154545.4545454545</v>
      </c>
      <c r="T140" s="38">
        <v>103030.303030303</v>
      </c>
      <c r="U140" s="27" t="s">
        <v>38</v>
      </c>
    </row>
    <row r="141" spans="1:21">
      <c r="A141" s="27" t="s">
        <v>103</v>
      </c>
      <c r="B141" s="50" t="s">
        <v>314</v>
      </c>
      <c r="C141" s="28">
        <v>1870000</v>
      </c>
      <c r="D141" s="29">
        <v>0.25</v>
      </c>
      <c r="E141" s="30">
        <v>0.1</v>
      </c>
      <c r="F141" s="31">
        <v>0.05</v>
      </c>
      <c r="G141" s="32">
        <v>26</v>
      </c>
      <c r="H141" s="54"/>
      <c r="I141" s="33" t="b">
        <v>1</v>
      </c>
      <c r="J141" s="34" t="b">
        <v>1</v>
      </c>
      <c r="K141" s="35" t="b">
        <v>1</v>
      </c>
      <c r="L141" s="27" t="s">
        <v>304</v>
      </c>
      <c r="M141" s="27" t="s">
        <v>34</v>
      </c>
      <c r="N141" s="33">
        <v>6</v>
      </c>
      <c r="O141" s="34">
        <v>3</v>
      </c>
      <c r="P141" s="35">
        <v>1</v>
      </c>
      <c r="Q141" s="28">
        <v>71923.076923076922</v>
      </c>
      <c r="R141" s="36">
        <v>431538.4615384615</v>
      </c>
      <c r="S141" s="37">
        <v>215769.23076923081</v>
      </c>
      <c r="T141" s="38">
        <v>71923.076923076922</v>
      </c>
      <c r="U141" s="27" t="s">
        <v>38</v>
      </c>
    </row>
    <row r="142" spans="1:21">
      <c r="A142" s="27" t="s">
        <v>103</v>
      </c>
      <c r="B142" s="50" t="s">
        <v>315</v>
      </c>
      <c r="C142" s="28">
        <v>3870000</v>
      </c>
      <c r="D142" s="29">
        <v>0.25</v>
      </c>
      <c r="E142" s="30">
        <v>0.1</v>
      </c>
      <c r="F142" s="31">
        <v>0.05</v>
      </c>
      <c r="G142" s="32">
        <v>57</v>
      </c>
      <c r="H142" s="54"/>
      <c r="I142" s="33" t="b">
        <v>1</v>
      </c>
      <c r="J142" s="34" t="b">
        <v>1</v>
      </c>
      <c r="K142" s="35" t="b">
        <v>1</v>
      </c>
      <c r="L142" s="27" t="s">
        <v>304</v>
      </c>
      <c r="M142" s="27" t="s">
        <v>34</v>
      </c>
      <c r="N142" s="33">
        <v>14</v>
      </c>
      <c r="O142" s="34">
        <v>6</v>
      </c>
      <c r="P142" s="35">
        <v>3</v>
      </c>
      <c r="Q142" s="28">
        <v>67894.736842105267</v>
      </c>
      <c r="R142" s="36">
        <v>950526.31578947371</v>
      </c>
      <c r="S142" s="37">
        <v>407368.42105263157</v>
      </c>
      <c r="T142" s="38">
        <v>203684.21052631579</v>
      </c>
      <c r="U142" s="27" t="s">
        <v>38</v>
      </c>
    </row>
    <row r="143" spans="1:21">
      <c r="A143" s="27" t="s">
        <v>103</v>
      </c>
      <c r="B143" s="50" t="s">
        <v>316</v>
      </c>
      <c r="C143" s="28">
        <v>1700000</v>
      </c>
      <c r="D143" s="29">
        <v>0.25</v>
      </c>
      <c r="E143" s="30">
        <v>0.1</v>
      </c>
      <c r="F143" s="31">
        <v>0.05</v>
      </c>
      <c r="G143" s="32">
        <v>47</v>
      </c>
      <c r="H143" s="54"/>
      <c r="I143" s="33" t="b">
        <v>1</v>
      </c>
      <c r="J143" s="34" t="b">
        <v>1</v>
      </c>
      <c r="K143" s="35" t="b">
        <v>1</v>
      </c>
      <c r="L143" s="27" t="s">
        <v>304</v>
      </c>
      <c r="M143" s="27" t="s">
        <v>34</v>
      </c>
      <c r="N143" s="33">
        <v>12</v>
      </c>
      <c r="O143" s="34">
        <v>5</v>
      </c>
      <c r="P143" s="35">
        <v>2</v>
      </c>
      <c r="Q143" s="28">
        <v>36170.212765957447</v>
      </c>
      <c r="R143" s="36">
        <v>434042.55319148942</v>
      </c>
      <c r="S143" s="37">
        <v>180851.06382978731</v>
      </c>
      <c r="T143" s="38">
        <v>72340.425531914894</v>
      </c>
      <c r="U143" s="27" t="s">
        <v>38</v>
      </c>
    </row>
    <row r="144" spans="1:21">
      <c r="A144" s="27" t="s">
        <v>103</v>
      </c>
      <c r="B144" s="50" t="s">
        <v>317</v>
      </c>
      <c r="C144" s="28">
        <v>1050000</v>
      </c>
      <c r="D144" s="29">
        <v>0.25</v>
      </c>
      <c r="E144" s="30">
        <v>0.1</v>
      </c>
      <c r="F144" s="31">
        <v>0.05</v>
      </c>
      <c r="G144" s="32">
        <v>25</v>
      </c>
      <c r="H144" s="54"/>
      <c r="I144" s="33" t="b">
        <v>1</v>
      </c>
      <c r="J144" s="34" t="b">
        <v>1</v>
      </c>
      <c r="K144" s="35" t="b">
        <v>1</v>
      </c>
      <c r="L144" s="27" t="s">
        <v>304</v>
      </c>
      <c r="M144" s="27" t="s">
        <v>34</v>
      </c>
      <c r="N144" s="33">
        <v>6</v>
      </c>
      <c r="O144" s="34">
        <v>2</v>
      </c>
      <c r="P144" s="35">
        <v>1</v>
      </c>
      <c r="Q144" s="28">
        <v>42000</v>
      </c>
      <c r="R144" s="36">
        <v>252000</v>
      </c>
      <c r="S144" s="37">
        <v>84000</v>
      </c>
      <c r="T144" s="38">
        <v>42000</v>
      </c>
      <c r="U144" s="27" t="s">
        <v>38</v>
      </c>
    </row>
    <row r="145" spans="1:21">
      <c r="A145" s="27" t="s">
        <v>103</v>
      </c>
      <c r="B145" s="50" t="s">
        <v>318</v>
      </c>
      <c r="C145" s="28">
        <v>880000</v>
      </c>
      <c r="D145" s="29">
        <v>0.25</v>
      </c>
      <c r="E145" s="30">
        <v>0.1</v>
      </c>
      <c r="F145" s="31">
        <v>0.05</v>
      </c>
      <c r="G145" s="32">
        <v>20</v>
      </c>
      <c r="H145" s="54"/>
      <c r="I145" s="33" t="b">
        <v>1</v>
      </c>
      <c r="J145" s="34" t="b">
        <v>1</v>
      </c>
      <c r="K145" s="35" t="b">
        <v>1</v>
      </c>
      <c r="L145" s="27" t="s">
        <v>304</v>
      </c>
      <c r="M145" s="27" t="s">
        <v>34</v>
      </c>
      <c r="N145" s="33">
        <v>5</v>
      </c>
      <c r="O145" s="34">
        <v>2</v>
      </c>
      <c r="P145" s="35">
        <v>1</v>
      </c>
      <c r="Q145" s="28">
        <v>44000</v>
      </c>
      <c r="R145" s="36">
        <v>220000</v>
      </c>
      <c r="S145" s="37">
        <v>88000</v>
      </c>
      <c r="T145" s="38">
        <v>44000</v>
      </c>
      <c r="U145" s="27" t="s">
        <v>38</v>
      </c>
    </row>
    <row r="146" spans="1:21">
      <c r="A146" s="27" t="s">
        <v>103</v>
      </c>
      <c r="B146" s="50" t="s">
        <v>319</v>
      </c>
      <c r="C146" s="28">
        <v>5600000</v>
      </c>
      <c r="D146" s="29">
        <v>0.25</v>
      </c>
      <c r="E146" s="30">
        <v>0.1</v>
      </c>
      <c r="F146" s="31">
        <v>0.05</v>
      </c>
      <c r="G146" s="32">
        <v>18</v>
      </c>
      <c r="H146" s="54"/>
      <c r="I146" s="33" t="b">
        <v>1</v>
      </c>
      <c r="J146" s="34" t="b">
        <v>1</v>
      </c>
      <c r="K146" s="35" t="b">
        <v>1</v>
      </c>
      <c r="L146" s="27" t="s">
        <v>304</v>
      </c>
      <c r="M146" s="27" t="s">
        <v>34</v>
      </c>
      <c r="N146" s="33">
        <v>4</v>
      </c>
      <c r="O146" s="34">
        <v>2</v>
      </c>
      <c r="P146" s="35">
        <v>1</v>
      </c>
      <c r="Q146" s="28">
        <v>311111.11111111112</v>
      </c>
      <c r="R146" s="36">
        <v>1244444.444444444</v>
      </c>
      <c r="S146" s="37">
        <v>622222.22222222225</v>
      </c>
      <c r="T146" s="38">
        <v>311111.11111111112</v>
      </c>
      <c r="U146" s="27" t="s">
        <v>38</v>
      </c>
    </row>
    <row r="147" spans="1:21">
      <c r="A147" s="27" t="s">
        <v>103</v>
      </c>
      <c r="B147" s="50" t="s">
        <v>320</v>
      </c>
      <c r="C147" s="28">
        <v>1300000</v>
      </c>
      <c r="D147" s="29">
        <v>0.25</v>
      </c>
      <c r="E147" s="30">
        <v>0.1</v>
      </c>
      <c r="F147" s="31">
        <v>0.05</v>
      </c>
      <c r="G147" s="32">
        <v>30</v>
      </c>
      <c r="H147" s="54"/>
      <c r="I147" s="33" t="b">
        <v>1</v>
      </c>
      <c r="J147" s="34" t="b">
        <v>1</v>
      </c>
      <c r="K147" s="35" t="b">
        <v>1</v>
      </c>
      <c r="L147" s="27" t="s">
        <v>304</v>
      </c>
      <c r="M147" s="27" t="s">
        <v>34</v>
      </c>
      <c r="N147" s="33">
        <v>8</v>
      </c>
      <c r="O147" s="34">
        <v>3</v>
      </c>
      <c r="P147" s="35">
        <v>2</v>
      </c>
      <c r="Q147" s="28">
        <v>43333.333333333343</v>
      </c>
      <c r="R147" s="36">
        <v>346666.66666666669</v>
      </c>
      <c r="S147" s="37">
        <v>130000</v>
      </c>
      <c r="T147" s="38">
        <v>86666.666666666672</v>
      </c>
      <c r="U147" s="27" t="s">
        <v>38</v>
      </c>
    </row>
    <row r="148" spans="1:21">
      <c r="A148" s="27" t="s">
        <v>103</v>
      </c>
      <c r="B148" s="50" t="s">
        <v>321</v>
      </c>
      <c r="C148" s="28">
        <v>1000000</v>
      </c>
      <c r="D148" s="29">
        <v>0</v>
      </c>
      <c r="E148" s="30">
        <v>0</v>
      </c>
      <c r="F148" s="31">
        <v>0</v>
      </c>
      <c r="G148" s="32">
        <v>10</v>
      </c>
      <c r="H148" s="54"/>
      <c r="I148" s="33" t="b">
        <v>0</v>
      </c>
      <c r="J148" s="34" t="b">
        <v>0</v>
      </c>
      <c r="K148" s="35" t="b">
        <v>0</v>
      </c>
      <c r="L148" s="27" t="s">
        <v>304</v>
      </c>
      <c r="M148" s="27" t="s">
        <v>34</v>
      </c>
      <c r="N148" s="33">
        <v>0</v>
      </c>
      <c r="O148" s="34">
        <v>0</v>
      </c>
      <c r="P148" s="35">
        <v>0</v>
      </c>
      <c r="Q148" s="28">
        <v>100000</v>
      </c>
      <c r="R148" s="36">
        <v>0</v>
      </c>
      <c r="S148" s="37">
        <v>0</v>
      </c>
      <c r="T148" s="38">
        <v>0</v>
      </c>
      <c r="U148" s="27" t="s">
        <v>38</v>
      </c>
    </row>
    <row r="149" spans="1:21">
      <c r="A149" s="27" t="s">
        <v>103</v>
      </c>
      <c r="B149" s="50" t="s">
        <v>322</v>
      </c>
      <c r="C149" s="28">
        <v>400000</v>
      </c>
      <c r="D149" s="29">
        <v>0.25</v>
      </c>
      <c r="E149" s="30">
        <v>0.1</v>
      </c>
      <c r="F149" s="31">
        <v>0.05</v>
      </c>
      <c r="G149" s="32">
        <v>5</v>
      </c>
      <c r="H149" s="54"/>
      <c r="I149" s="33" t="b">
        <v>1</v>
      </c>
      <c r="J149" s="34" t="b">
        <v>1</v>
      </c>
      <c r="K149" s="35" t="b">
        <v>1</v>
      </c>
      <c r="L149" s="27" t="s">
        <v>304</v>
      </c>
      <c r="M149" s="27" t="s">
        <v>34</v>
      </c>
      <c r="N149" s="33">
        <v>1</v>
      </c>
      <c r="O149" s="34">
        <v>0</v>
      </c>
      <c r="P149" s="35">
        <v>0</v>
      </c>
      <c r="Q149" s="28">
        <v>80000</v>
      </c>
      <c r="R149" s="36">
        <v>80000</v>
      </c>
      <c r="S149" s="37">
        <v>0</v>
      </c>
      <c r="T149" s="38">
        <v>0</v>
      </c>
      <c r="U149" s="27" t="s">
        <v>38</v>
      </c>
    </row>
    <row r="150" spans="1:21">
      <c r="A150" s="27" t="s">
        <v>103</v>
      </c>
      <c r="B150" s="50" t="s">
        <v>323</v>
      </c>
      <c r="C150" s="28">
        <v>900000</v>
      </c>
      <c r="D150" s="29">
        <v>0.25</v>
      </c>
      <c r="E150" s="30">
        <v>0.1</v>
      </c>
      <c r="F150" s="31">
        <v>0.05</v>
      </c>
      <c r="G150" s="32">
        <v>20</v>
      </c>
      <c r="H150" s="55" t="s">
        <v>16</v>
      </c>
      <c r="I150" s="33" t="b">
        <v>1</v>
      </c>
      <c r="J150" s="34" t="b">
        <v>1</v>
      </c>
      <c r="K150" s="35" t="b">
        <v>1</v>
      </c>
      <c r="L150" s="27" t="s">
        <v>304</v>
      </c>
      <c r="M150" s="27" t="s">
        <v>34</v>
      </c>
      <c r="N150" s="33">
        <v>5</v>
      </c>
      <c r="O150" s="34">
        <v>2</v>
      </c>
      <c r="P150" s="35">
        <v>1</v>
      </c>
      <c r="Q150" s="28">
        <v>45000</v>
      </c>
      <c r="R150" s="36">
        <v>225000</v>
      </c>
      <c r="S150" s="37">
        <v>90000</v>
      </c>
      <c r="T150" s="38">
        <v>45000</v>
      </c>
      <c r="U150" s="27" t="s">
        <v>38</v>
      </c>
    </row>
    <row r="151" spans="1:21">
      <c r="A151" s="27" t="s">
        <v>103</v>
      </c>
      <c r="B151" s="50" t="s">
        <v>324</v>
      </c>
      <c r="C151" s="28">
        <v>800000</v>
      </c>
      <c r="D151" s="29">
        <v>0</v>
      </c>
      <c r="E151" s="30">
        <v>0</v>
      </c>
      <c r="F151" s="31">
        <v>0</v>
      </c>
      <c r="G151" s="32">
        <v>10</v>
      </c>
      <c r="H151" s="54"/>
      <c r="I151" s="33" t="b">
        <v>1</v>
      </c>
      <c r="J151" s="34" t="b">
        <v>1</v>
      </c>
      <c r="K151" s="35" t="b">
        <v>0</v>
      </c>
      <c r="L151" s="27" t="s">
        <v>304</v>
      </c>
      <c r="M151" s="27" t="s">
        <v>34</v>
      </c>
      <c r="N151" s="33">
        <v>0</v>
      </c>
      <c r="O151" s="34">
        <v>0</v>
      </c>
      <c r="P151" s="35">
        <v>0</v>
      </c>
      <c r="Q151" s="28">
        <v>80000</v>
      </c>
      <c r="R151" s="36">
        <v>0</v>
      </c>
      <c r="S151" s="37">
        <v>0</v>
      </c>
      <c r="T151" s="38">
        <v>0</v>
      </c>
      <c r="U151" s="27" t="s">
        <v>39</v>
      </c>
    </row>
    <row r="152" spans="1:21">
      <c r="A152" s="39" t="s">
        <v>103</v>
      </c>
      <c r="B152" s="46" t="s">
        <v>325</v>
      </c>
      <c r="C152" s="40">
        <v>400000</v>
      </c>
      <c r="D152" s="41">
        <v>0</v>
      </c>
      <c r="E152" s="41">
        <v>0</v>
      </c>
      <c r="F152" s="41">
        <v>0</v>
      </c>
      <c r="G152" s="42">
        <v>20</v>
      </c>
      <c r="H152" s="55" t="s">
        <v>6</v>
      </c>
      <c r="I152" s="42" t="b">
        <v>1</v>
      </c>
      <c r="J152" s="42" t="b">
        <v>1</v>
      </c>
      <c r="K152" s="42" t="b">
        <v>0</v>
      </c>
      <c r="L152" s="39" t="s">
        <v>304</v>
      </c>
      <c r="M152" s="39" t="s">
        <v>34</v>
      </c>
      <c r="N152" s="42">
        <v>0</v>
      </c>
      <c r="O152" s="42">
        <v>0</v>
      </c>
      <c r="P152" s="42">
        <v>0</v>
      </c>
      <c r="Q152" s="40">
        <v>20000</v>
      </c>
      <c r="R152" s="40">
        <v>0</v>
      </c>
      <c r="S152" s="40">
        <v>0</v>
      </c>
      <c r="T152" s="40">
        <v>0</v>
      </c>
      <c r="U152" s="39" t="s">
        <v>39</v>
      </c>
    </row>
    <row r="153" spans="1:21">
      <c r="A153" s="27" t="s">
        <v>103</v>
      </c>
      <c r="B153" s="50" t="s">
        <v>326</v>
      </c>
      <c r="C153" s="28">
        <v>6000000</v>
      </c>
      <c r="D153" s="29">
        <v>0.25</v>
      </c>
      <c r="E153" s="30">
        <v>0.1</v>
      </c>
      <c r="F153" s="31">
        <v>0.05</v>
      </c>
      <c r="G153" s="32">
        <v>30</v>
      </c>
      <c r="H153" s="54"/>
      <c r="I153" s="33" t="b">
        <v>1</v>
      </c>
      <c r="J153" s="34" t="b">
        <v>1</v>
      </c>
      <c r="K153" s="35" t="b">
        <v>1</v>
      </c>
      <c r="L153" s="27" t="s">
        <v>304</v>
      </c>
      <c r="M153" s="27" t="s">
        <v>34</v>
      </c>
      <c r="N153" s="33">
        <v>8</v>
      </c>
      <c r="O153" s="34">
        <v>3</v>
      </c>
      <c r="P153" s="35">
        <v>2</v>
      </c>
      <c r="Q153" s="28">
        <v>200000</v>
      </c>
      <c r="R153" s="36">
        <v>1600000</v>
      </c>
      <c r="S153" s="37">
        <v>600000</v>
      </c>
      <c r="T153" s="38">
        <v>400000</v>
      </c>
      <c r="U153" s="27" t="s">
        <v>40</v>
      </c>
    </row>
    <row r="154" spans="1:21">
      <c r="A154" s="27" t="s">
        <v>61</v>
      </c>
      <c r="B154" s="50" t="s">
        <v>327</v>
      </c>
      <c r="C154" s="28">
        <v>900000</v>
      </c>
      <c r="D154" s="29">
        <v>0.25</v>
      </c>
      <c r="E154" s="30">
        <v>8.3299999999999999E-2</v>
      </c>
      <c r="F154" s="31">
        <v>5.5599999999999997E-2</v>
      </c>
      <c r="G154" s="32">
        <v>36</v>
      </c>
      <c r="H154" s="54"/>
      <c r="I154" s="33" t="b">
        <v>1</v>
      </c>
      <c r="J154" s="34" t="b">
        <v>1</v>
      </c>
      <c r="K154" s="35" t="b">
        <v>1</v>
      </c>
      <c r="L154" s="27" t="s">
        <v>328</v>
      </c>
      <c r="M154" s="27" t="s">
        <v>33</v>
      </c>
      <c r="N154" s="33">
        <v>9</v>
      </c>
      <c r="O154" s="34">
        <v>3</v>
      </c>
      <c r="P154" s="35">
        <v>2</v>
      </c>
      <c r="Q154" s="28">
        <v>25000</v>
      </c>
      <c r="R154" s="36">
        <v>225000</v>
      </c>
      <c r="S154" s="37">
        <v>75000</v>
      </c>
      <c r="T154" s="38">
        <v>50000</v>
      </c>
      <c r="U154" s="27" t="s">
        <v>38</v>
      </c>
    </row>
    <row r="155" spans="1:21">
      <c r="A155" s="27" t="s">
        <v>61</v>
      </c>
      <c r="B155" s="50" t="s">
        <v>329</v>
      </c>
      <c r="C155" s="28">
        <v>250000</v>
      </c>
      <c r="D155" s="29">
        <v>0.2</v>
      </c>
      <c r="E155" s="30">
        <v>0.2</v>
      </c>
      <c r="F155" s="31">
        <v>0.2</v>
      </c>
      <c r="G155" s="32">
        <v>5</v>
      </c>
      <c r="H155" s="54"/>
      <c r="I155" s="33" t="b">
        <v>1</v>
      </c>
      <c r="J155" s="34" t="b">
        <v>1</v>
      </c>
      <c r="K155" s="35" t="b">
        <v>1</v>
      </c>
      <c r="L155" s="27" t="s">
        <v>328</v>
      </c>
      <c r="M155" s="27" t="s">
        <v>33</v>
      </c>
      <c r="N155" s="33">
        <v>1</v>
      </c>
      <c r="O155" s="34">
        <v>1</v>
      </c>
      <c r="P155" s="35">
        <v>1</v>
      </c>
      <c r="Q155" s="28">
        <v>50000</v>
      </c>
      <c r="R155" s="36">
        <v>50000</v>
      </c>
      <c r="S155" s="37">
        <v>50000</v>
      </c>
      <c r="T155" s="38">
        <v>50000</v>
      </c>
      <c r="U155" s="27" t="s">
        <v>38</v>
      </c>
    </row>
    <row r="156" spans="1:21">
      <c r="A156" s="39" t="s">
        <v>61</v>
      </c>
      <c r="B156" s="46" t="s">
        <v>330</v>
      </c>
      <c r="C156" s="40">
        <v>290000</v>
      </c>
      <c r="D156" s="41">
        <v>0.24</v>
      </c>
      <c r="E156" s="41">
        <v>0.1</v>
      </c>
      <c r="F156" s="41">
        <v>0.04</v>
      </c>
      <c r="G156" s="42">
        <v>29</v>
      </c>
      <c r="H156" s="55" t="s">
        <v>6</v>
      </c>
      <c r="I156" s="42" t="b">
        <v>1</v>
      </c>
      <c r="J156" s="42" t="b">
        <v>1</v>
      </c>
      <c r="K156" s="42" t="b">
        <v>1</v>
      </c>
      <c r="L156" s="39" t="s">
        <v>328</v>
      </c>
      <c r="M156" s="39" t="s">
        <v>33</v>
      </c>
      <c r="N156" s="42">
        <v>7</v>
      </c>
      <c r="O156" s="42">
        <v>3</v>
      </c>
      <c r="P156" s="42">
        <v>1</v>
      </c>
      <c r="Q156" s="40">
        <v>10000</v>
      </c>
      <c r="R156" s="40">
        <v>70000</v>
      </c>
      <c r="S156" s="40">
        <v>30000</v>
      </c>
      <c r="T156" s="40">
        <v>10000</v>
      </c>
      <c r="U156" s="39" t="s">
        <v>39</v>
      </c>
    </row>
    <row r="157" spans="1:21">
      <c r="A157" s="27" t="s">
        <v>61</v>
      </c>
      <c r="B157" s="50" t="s">
        <v>331</v>
      </c>
      <c r="C157" s="28">
        <v>1015000</v>
      </c>
      <c r="D157" s="29">
        <v>0.24</v>
      </c>
      <c r="E157" s="30">
        <v>0.1</v>
      </c>
      <c r="F157" s="31">
        <v>0.04</v>
      </c>
      <c r="G157" s="32">
        <v>29</v>
      </c>
      <c r="H157" s="54"/>
      <c r="I157" s="33" t="b">
        <v>1</v>
      </c>
      <c r="J157" s="34" t="b">
        <v>1</v>
      </c>
      <c r="K157" s="35" t="b">
        <v>1</v>
      </c>
      <c r="L157" s="27" t="s">
        <v>328</v>
      </c>
      <c r="M157" s="27" t="s">
        <v>33</v>
      </c>
      <c r="N157" s="33">
        <v>7</v>
      </c>
      <c r="O157" s="34">
        <v>3</v>
      </c>
      <c r="P157" s="35">
        <v>1</v>
      </c>
      <c r="Q157" s="28">
        <v>35000</v>
      </c>
      <c r="R157" s="36">
        <v>245000</v>
      </c>
      <c r="S157" s="37">
        <v>105000</v>
      </c>
      <c r="T157" s="38">
        <v>35000</v>
      </c>
      <c r="U157" s="27" t="s">
        <v>38</v>
      </c>
    </row>
    <row r="158" spans="1:21">
      <c r="A158" s="27" t="s">
        <v>61</v>
      </c>
      <c r="B158" s="50" t="s">
        <v>332</v>
      </c>
      <c r="C158" s="28">
        <v>900000</v>
      </c>
      <c r="D158" s="29">
        <v>0.25</v>
      </c>
      <c r="E158" s="30">
        <v>0.1</v>
      </c>
      <c r="F158" s="31">
        <v>0.05</v>
      </c>
      <c r="G158" s="32">
        <v>45</v>
      </c>
      <c r="H158" s="54"/>
      <c r="I158" s="33" t="b">
        <v>1</v>
      </c>
      <c r="J158" s="34" t="b">
        <v>1</v>
      </c>
      <c r="K158" s="35" t="b">
        <v>1</v>
      </c>
      <c r="L158" s="27" t="s">
        <v>328</v>
      </c>
      <c r="M158" s="27" t="s">
        <v>33</v>
      </c>
      <c r="N158" s="33">
        <v>11</v>
      </c>
      <c r="O158" s="34">
        <v>4</v>
      </c>
      <c r="P158" s="35">
        <v>2</v>
      </c>
      <c r="Q158" s="28">
        <v>20000</v>
      </c>
      <c r="R158" s="36">
        <v>220000</v>
      </c>
      <c r="S158" s="37">
        <v>80000</v>
      </c>
      <c r="T158" s="38">
        <v>40000</v>
      </c>
      <c r="U158" s="27" t="s">
        <v>37</v>
      </c>
    </row>
    <row r="159" spans="1:21">
      <c r="A159" s="27" t="s">
        <v>62</v>
      </c>
      <c r="B159" s="50" t="s">
        <v>333</v>
      </c>
      <c r="C159" s="28">
        <v>500000</v>
      </c>
      <c r="D159" s="29">
        <v>0.25</v>
      </c>
      <c r="E159" s="30">
        <v>0.1</v>
      </c>
      <c r="F159" s="31">
        <v>0.1</v>
      </c>
      <c r="G159" s="32">
        <v>20</v>
      </c>
      <c r="H159" s="54"/>
      <c r="I159" s="33" t="b">
        <v>1</v>
      </c>
      <c r="J159" s="34" t="b">
        <v>1</v>
      </c>
      <c r="K159" s="35" t="b">
        <v>1</v>
      </c>
      <c r="L159" s="27" t="s">
        <v>334</v>
      </c>
      <c r="M159" s="27" t="s">
        <v>33</v>
      </c>
      <c r="N159" s="33">
        <v>5</v>
      </c>
      <c r="O159" s="34">
        <v>2</v>
      </c>
      <c r="P159" s="35">
        <v>2</v>
      </c>
      <c r="Q159" s="28">
        <v>25000</v>
      </c>
      <c r="R159" s="36">
        <v>125000</v>
      </c>
      <c r="S159" s="37">
        <v>50000</v>
      </c>
      <c r="T159" s="38">
        <v>50000</v>
      </c>
      <c r="U159" s="27" t="s">
        <v>38</v>
      </c>
    </row>
    <row r="160" spans="1:21">
      <c r="A160" s="27" t="s">
        <v>62</v>
      </c>
      <c r="B160" s="50" t="s">
        <v>335</v>
      </c>
      <c r="C160" s="28">
        <v>480000</v>
      </c>
      <c r="D160" s="29">
        <v>0.25</v>
      </c>
      <c r="E160" s="30">
        <v>0.1</v>
      </c>
      <c r="F160" s="31">
        <v>0.1</v>
      </c>
      <c r="G160" s="32">
        <v>24</v>
      </c>
      <c r="H160" s="54"/>
      <c r="I160" s="33" t="b">
        <v>1</v>
      </c>
      <c r="J160" s="34" t="b">
        <v>1</v>
      </c>
      <c r="K160" s="35" t="b">
        <v>1</v>
      </c>
      <c r="L160" s="27" t="s">
        <v>334</v>
      </c>
      <c r="M160" s="27" t="s">
        <v>33</v>
      </c>
      <c r="N160" s="33">
        <v>6</v>
      </c>
      <c r="O160" s="34">
        <v>2</v>
      </c>
      <c r="P160" s="35">
        <v>2</v>
      </c>
      <c r="Q160" s="28">
        <v>20000</v>
      </c>
      <c r="R160" s="36">
        <v>120000</v>
      </c>
      <c r="S160" s="37">
        <v>40000</v>
      </c>
      <c r="T160" s="38">
        <v>40000</v>
      </c>
      <c r="U160" s="27" t="s">
        <v>38</v>
      </c>
    </row>
    <row r="161" spans="1:21">
      <c r="A161" s="27" t="s">
        <v>62</v>
      </c>
      <c r="B161" s="50" t="s">
        <v>336</v>
      </c>
      <c r="C161" s="28">
        <v>480000</v>
      </c>
      <c r="D161" s="29">
        <v>0.25</v>
      </c>
      <c r="E161" s="30">
        <v>0.1</v>
      </c>
      <c r="F161" s="31">
        <v>0.1</v>
      </c>
      <c r="G161" s="32">
        <v>36</v>
      </c>
      <c r="H161" s="54"/>
      <c r="I161" s="33" t="b">
        <v>1</v>
      </c>
      <c r="J161" s="34" t="b">
        <v>1</v>
      </c>
      <c r="K161" s="35" t="b">
        <v>1</v>
      </c>
      <c r="L161" s="27" t="s">
        <v>334</v>
      </c>
      <c r="M161" s="27" t="s">
        <v>33</v>
      </c>
      <c r="N161" s="33">
        <v>9</v>
      </c>
      <c r="O161" s="34">
        <v>4</v>
      </c>
      <c r="P161" s="35">
        <v>4</v>
      </c>
      <c r="Q161" s="28">
        <v>13333.33333333333</v>
      </c>
      <c r="R161" s="36">
        <v>120000</v>
      </c>
      <c r="S161" s="37">
        <v>53333.333333333343</v>
      </c>
      <c r="T161" s="38">
        <v>53333.333333333343</v>
      </c>
      <c r="U161" s="27" t="s">
        <v>38</v>
      </c>
    </row>
    <row r="162" spans="1:21">
      <c r="A162" s="27" t="s">
        <v>62</v>
      </c>
      <c r="B162" s="50" t="s">
        <v>337</v>
      </c>
      <c r="C162" s="28">
        <v>150000</v>
      </c>
      <c r="D162" s="29">
        <v>0.25</v>
      </c>
      <c r="E162" s="30">
        <v>0.1</v>
      </c>
      <c r="F162" s="31">
        <v>0.1</v>
      </c>
      <c r="G162" s="32">
        <v>6</v>
      </c>
      <c r="H162" s="54"/>
      <c r="I162" s="33" t="b">
        <v>1</v>
      </c>
      <c r="J162" s="34" t="b">
        <v>1</v>
      </c>
      <c r="K162" s="35" t="b">
        <v>1</v>
      </c>
      <c r="L162" s="27" t="s">
        <v>334</v>
      </c>
      <c r="M162" s="27" t="s">
        <v>33</v>
      </c>
      <c r="N162" s="33">
        <v>2</v>
      </c>
      <c r="O162" s="34">
        <v>1</v>
      </c>
      <c r="P162" s="35">
        <v>1</v>
      </c>
      <c r="Q162" s="28">
        <v>25000</v>
      </c>
      <c r="R162" s="36">
        <v>50000</v>
      </c>
      <c r="S162" s="37">
        <v>25000</v>
      </c>
      <c r="T162" s="38">
        <v>25000</v>
      </c>
      <c r="U162" s="27" t="s">
        <v>38</v>
      </c>
    </row>
    <row r="163" spans="1:21">
      <c r="A163" s="39" t="s">
        <v>62</v>
      </c>
      <c r="B163" s="46" t="s">
        <v>338</v>
      </c>
      <c r="C163" s="40">
        <v>480000</v>
      </c>
      <c r="D163" s="41">
        <v>0.25</v>
      </c>
      <c r="E163" s="41">
        <v>0.1</v>
      </c>
      <c r="F163" s="41">
        <v>0.1</v>
      </c>
      <c r="G163" s="42">
        <v>20</v>
      </c>
      <c r="H163" s="63" t="s">
        <v>183</v>
      </c>
      <c r="I163" s="42" t="b">
        <v>1</v>
      </c>
      <c r="J163" s="42" t="b">
        <v>1</v>
      </c>
      <c r="K163" s="42" t="b">
        <v>1</v>
      </c>
      <c r="L163" s="39" t="s">
        <v>334</v>
      </c>
      <c r="M163" s="39" t="s">
        <v>33</v>
      </c>
      <c r="N163" s="42">
        <v>5</v>
      </c>
      <c r="O163" s="42">
        <v>2</v>
      </c>
      <c r="P163" s="42">
        <v>2</v>
      </c>
      <c r="Q163" s="40">
        <v>24000</v>
      </c>
      <c r="R163" s="40">
        <v>120000</v>
      </c>
      <c r="S163" s="40">
        <v>48000</v>
      </c>
      <c r="T163" s="40">
        <v>48000</v>
      </c>
      <c r="U163" s="39" t="s">
        <v>38</v>
      </c>
    </row>
    <row r="164" spans="1:21">
      <c r="A164" s="27" t="s">
        <v>62</v>
      </c>
      <c r="B164" s="50" t="s">
        <v>339</v>
      </c>
      <c r="C164" s="28">
        <v>577489.37</v>
      </c>
      <c r="D164" s="29">
        <v>0.25</v>
      </c>
      <c r="E164" s="30">
        <v>0.1</v>
      </c>
      <c r="F164" s="31">
        <v>0.1</v>
      </c>
      <c r="G164" s="32">
        <v>12</v>
      </c>
      <c r="H164" s="54"/>
      <c r="I164" s="33" t="b">
        <v>1</v>
      </c>
      <c r="J164" s="34" t="b">
        <v>1</v>
      </c>
      <c r="K164" s="35" t="b">
        <v>1</v>
      </c>
      <c r="L164" s="27" t="s">
        <v>334</v>
      </c>
      <c r="M164" s="27" t="s">
        <v>33</v>
      </c>
      <c r="N164" s="33">
        <v>3</v>
      </c>
      <c r="O164" s="34">
        <v>1</v>
      </c>
      <c r="P164" s="35">
        <v>1</v>
      </c>
      <c r="Q164" s="28">
        <v>48124.114166666674</v>
      </c>
      <c r="R164" s="36">
        <v>144372.3425</v>
      </c>
      <c r="S164" s="37">
        <v>48124.114166666674</v>
      </c>
      <c r="T164" s="38">
        <v>48124.114166666674</v>
      </c>
      <c r="U164" s="27" t="s">
        <v>38</v>
      </c>
    </row>
    <row r="165" spans="1:21">
      <c r="A165" s="27" t="s">
        <v>62</v>
      </c>
      <c r="B165" s="50" t="s">
        <v>340</v>
      </c>
      <c r="C165" s="28">
        <v>2000000</v>
      </c>
      <c r="D165" s="29">
        <v>0.25</v>
      </c>
      <c r="E165" s="30">
        <v>0</v>
      </c>
      <c r="F165" s="31">
        <v>0.1</v>
      </c>
      <c r="G165" s="32">
        <v>30</v>
      </c>
      <c r="H165" s="54"/>
      <c r="I165" s="33" t="b">
        <v>1</v>
      </c>
      <c r="J165" s="34" t="b">
        <v>0</v>
      </c>
      <c r="K165" s="35" t="b">
        <v>1</v>
      </c>
      <c r="L165" s="27" t="s">
        <v>334</v>
      </c>
      <c r="M165" s="27" t="s">
        <v>33</v>
      </c>
      <c r="N165" s="33">
        <v>8</v>
      </c>
      <c r="O165" s="34">
        <v>0</v>
      </c>
      <c r="P165" s="35">
        <v>3</v>
      </c>
      <c r="Q165" s="28">
        <v>66666.666666666672</v>
      </c>
      <c r="R165" s="36">
        <v>533333.33333333337</v>
      </c>
      <c r="S165" s="37">
        <v>0</v>
      </c>
      <c r="T165" s="38">
        <v>200000</v>
      </c>
      <c r="U165" s="27" t="s">
        <v>39</v>
      </c>
    </row>
    <row r="166" spans="1:21">
      <c r="A166" s="27" t="s">
        <v>62</v>
      </c>
      <c r="B166" s="50" t="s">
        <v>341</v>
      </c>
      <c r="C166" s="28">
        <v>288000</v>
      </c>
      <c r="D166" s="29">
        <v>0.25</v>
      </c>
      <c r="E166" s="30">
        <v>0.1</v>
      </c>
      <c r="F166" s="31">
        <v>0.1</v>
      </c>
      <c r="G166" s="32">
        <v>16</v>
      </c>
      <c r="H166" s="54"/>
      <c r="I166" s="33" t="b">
        <v>1</v>
      </c>
      <c r="J166" s="34" t="b">
        <v>1</v>
      </c>
      <c r="K166" s="35" t="b">
        <v>1</v>
      </c>
      <c r="L166" s="27" t="s">
        <v>334</v>
      </c>
      <c r="M166" s="27" t="s">
        <v>33</v>
      </c>
      <c r="N166" s="33">
        <v>4</v>
      </c>
      <c r="O166" s="34">
        <v>2</v>
      </c>
      <c r="P166" s="35">
        <v>2</v>
      </c>
      <c r="Q166" s="28">
        <v>18000</v>
      </c>
      <c r="R166" s="36">
        <v>72000</v>
      </c>
      <c r="S166" s="37">
        <v>36000</v>
      </c>
      <c r="T166" s="38">
        <v>36000</v>
      </c>
      <c r="U166" s="27" t="s">
        <v>39</v>
      </c>
    </row>
    <row r="167" spans="1:21">
      <c r="A167" s="27" t="s">
        <v>62</v>
      </c>
      <c r="B167" s="50" t="s">
        <v>342</v>
      </c>
      <c r="C167" s="28">
        <v>1600000</v>
      </c>
      <c r="D167" s="29">
        <v>0</v>
      </c>
      <c r="E167" s="30">
        <v>0</v>
      </c>
      <c r="F167" s="31">
        <v>0</v>
      </c>
      <c r="G167" s="32">
        <v>3</v>
      </c>
      <c r="H167" s="54"/>
      <c r="I167" s="33" t="b">
        <v>1</v>
      </c>
      <c r="J167" s="34" t="b">
        <v>1</v>
      </c>
      <c r="K167" s="35" t="b">
        <v>1</v>
      </c>
      <c r="L167" s="27" t="s">
        <v>334</v>
      </c>
      <c r="M167" s="27" t="s">
        <v>33</v>
      </c>
      <c r="N167" s="33">
        <v>0</v>
      </c>
      <c r="O167" s="34">
        <v>0</v>
      </c>
      <c r="P167" s="35">
        <v>0</v>
      </c>
      <c r="Q167" s="28">
        <v>533333.33333333337</v>
      </c>
      <c r="R167" s="36">
        <v>0</v>
      </c>
      <c r="S167" s="37">
        <v>0</v>
      </c>
      <c r="T167" s="38">
        <v>0</v>
      </c>
      <c r="U167" s="27" t="s">
        <v>38</v>
      </c>
    </row>
    <row r="168" spans="1:21">
      <c r="A168" s="39" t="s">
        <v>62</v>
      </c>
      <c r="B168" s="64" t="s">
        <v>343</v>
      </c>
      <c r="C168" s="40">
        <v>1622228.16</v>
      </c>
      <c r="D168" s="41">
        <v>0</v>
      </c>
      <c r="E168" s="41">
        <v>0</v>
      </c>
      <c r="F168" s="41">
        <v>0</v>
      </c>
      <c r="G168" s="42">
        <v>48</v>
      </c>
      <c r="H168" s="55" t="s">
        <v>13</v>
      </c>
      <c r="I168" s="42" t="b">
        <v>1</v>
      </c>
      <c r="J168" s="42" t="b">
        <v>1</v>
      </c>
      <c r="K168" s="42" t="b">
        <v>0</v>
      </c>
      <c r="L168" s="39" t="s">
        <v>334</v>
      </c>
      <c r="M168" s="39" t="s">
        <v>33</v>
      </c>
      <c r="N168" s="42">
        <v>0</v>
      </c>
      <c r="O168" s="42">
        <v>0</v>
      </c>
      <c r="P168" s="42">
        <v>0</v>
      </c>
      <c r="Q168" s="40">
        <v>33796.42</v>
      </c>
      <c r="R168" s="40">
        <v>0</v>
      </c>
      <c r="S168" s="40">
        <v>0</v>
      </c>
      <c r="T168" s="40">
        <v>0</v>
      </c>
      <c r="U168" s="39" t="s">
        <v>39</v>
      </c>
    </row>
    <row r="169" spans="1:21">
      <c r="A169" s="39" t="s">
        <v>62</v>
      </c>
      <c r="B169" s="46" t="s">
        <v>344</v>
      </c>
      <c r="C169" s="40">
        <v>350272</v>
      </c>
      <c r="D169" s="41">
        <v>0</v>
      </c>
      <c r="E169" s="41">
        <v>0</v>
      </c>
      <c r="F169" s="41">
        <v>1</v>
      </c>
      <c r="G169" s="42">
        <v>26</v>
      </c>
      <c r="H169" s="55" t="s">
        <v>345</v>
      </c>
      <c r="I169" s="42" t="b">
        <v>1</v>
      </c>
      <c r="J169" s="42" t="b">
        <v>1</v>
      </c>
      <c r="K169" s="42" t="b">
        <v>1</v>
      </c>
      <c r="L169" s="39" t="s">
        <v>334</v>
      </c>
      <c r="M169" s="39" t="s">
        <v>33</v>
      </c>
      <c r="N169" s="42">
        <v>0</v>
      </c>
      <c r="O169" s="42">
        <v>0</v>
      </c>
      <c r="P169" s="42">
        <v>26</v>
      </c>
      <c r="Q169" s="40">
        <v>13472</v>
      </c>
      <c r="R169" s="40">
        <v>0</v>
      </c>
      <c r="S169" s="40">
        <v>0</v>
      </c>
      <c r="T169" s="40">
        <v>350272</v>
      </c>
      <c r="U169" s="39" t="s">
        <v>38</v>
      </c>
    </row>
    <row r="170" spans="1:21">
      <c r="A170" s="39" t="s">
        <v>62</v>
      </c>
      <c r="B170" s="64" t="s">
        <v>346</v>
      </c>
      <c r="C170" s="40">
        <v>523104.55</v>
      </c>
      <c r="D170" s="41">
        <v>0</v>
      </c>
      <c r="E170" s="41">
        <v>0</v>
      </c>
      <c r="F170" s="41">
        <v>0</v>
      </c>
      <c r="G170" s="42">
        <v>12</v>
      </c>
      <c r="H170" s="55" t="s">
        <v>13</v>
      </c>
      <c r="I170" s="42" t="b">
        <v>1</v>
      </c>
      <c r="J170" s="42" t="b">
        <v>1</v>
      </c>
      <c r="K170" s="42" t="b">
        <v>0</v>
      </c>
      <c r="L170" s="39" t="s">
        <v>334</v>
      </c>
      <c r="M170" s="39" t="s">
        <v>33</v>
      </c>
      <c r="N170" s="42">
        <v>0</v>
      </c>
      <c r="O170" s="42">
        <v>0</v>
      </c>
      <c r="P170" s="42">
        <v>0</v>
      </c>
      <c r="Q170" s="40">
        <v>43592.04583333333</v>
      </c>
      <c r="R170" s="40">
        <v>0</v>
      </c>
      <c r="S170" s="40">
        <v>0</v>
      </c>
      <c r="T170" s="40">
        <v>0</v>
      </c>
      <c r="U170" s="39" t="s">
        <v>38</v>
      </c>
    </row>
    <row r="171" spans="1:21">
      <c r="A171" s="39" t="s">
        <v>62</v>
      </c>
      <c r="B171" s="46" t="s">
        <v>347</v>
      </c>
      <c r="C171" s="40">
        <v>350000</v>
      </c>
      <c r="D171" s="41">
        <v>0.25</v>
      </c>
      <c r="E171" s="41">
        <v>0.1</v>
      </c>
      <c r="F171" s="41">
        <v>0.1</v>
      </c>
      <c r="G171" s="42">
        <v>30</v>
      </c>
      <c r="H171" s="55" t="s">
        <v>348</v>
      </c>
      <c r="I171" s="42" t="b">
        <v>1</v>
      </c>
      <c r="J171" s="42" t="b">
        <v>1</v>
      </c>
      <c r="K171" s="42" t="b">
        <v>1</v>
      </c>
      <c r="L171" s="39" t="s">
        <v>334</v>
      </c>
      <c r="M171" s="39" t="s">
        <v>33</v>
      </c>
      <c r="N171" s="42">
        <v>8</v>
      </c>
      <c r="O171" s="42">
        <v>3</v>
      </c>
      <c r="P171" s="42">
        <v>3</v>
      </c>
      <c r="Q171" s="40">
        <v>11666.66666666667</v>
      </c>
      <c r="R171" s="40">
        <v>93333.333333333328</v>
      </c>
      <c r="S171" s="40">
        <v>35000</v>
      </c>
      <c r="T171" s="40">
        <v>35000</v>
      </c>
      <c r="U171" s="39" t="s">
        <v>38</v>
      </c>
    </row>
    <row r="172" spans="1:21">
      <c r="A172" s="27" t="s">
        <v>63</v>
      </c>
      <c r="B172" s="50" t="s">
        <v>349</v>
      </c>
      <c r="C172" s="28">
        <v>3910000</v>
      </c>
      <c r="D172" s="29">
        <v>0.25</v>
      </c>
      <c r="E172" s="30">
        <v>0.1</v>
      </c>
      <c r="F172" s="31">
        <v>0.05</v>
      </c>
      <c r="G172" s="32">
        <v>57</v>
      </c>
      <c r="H172" s="54"/>
      <c r="I172" s="33" t="b">
        <v>1</v>
      </c>
      <c r="J172" s="34" t="b">
        <v>1</v>
      </c>
      <c r="K172" s="35" t="b">
        <v>1</v>
      </c>
      <c r="L172" s="27" t="s">
        <v>350</v>
      </c>
      <c r="M172" s="27" t="s">
        <v>33</v>
      </c>
      <c r="N172" s="33">
        <v>14</v>
      </c>
      <c r="O172" s="34">
        <v>6</v>
      </c>
      <c r="P172" s="35">
        <v>3</v>
      </c>
      <c r="Q172" s="28">
        <v>68596.491228070168</v>
      </c>
      <c r="R172" s="36">
        <v>960350.87719298236</v>
      </c>
      <c r="S172" s="37">
        <v>411578.94736842101</v>
      </c>
      <c r="T172" s="38">
        <v>205789.4736842105</v>
      </c>
      <c r="U172" s="27" t="s">
        <v>38</v>
      </c>
    </row>
    <row r="173" spans="1:21">
      <c r="A173" s="27" t="s">
        <v>63</v>
      </c>
      <c r="B173" s="50" t="s">
        <v>351</v>
      </c>
      <c r="C173" s="28">
        <v>421392.11</v>
      </c>
      <c r="D173" s="29">
        <v>0.25</v>
      </c>
      <c r="E173" s="30">
        <v>0.1</v>
      </c>
      <c r="F173" s="31">
        <v>0.05</v>
      </c>
      <c r="G173" s="32">
        <v>42</v>
      </c>
      <c r="H173" s="54"/>
      <c r="I173" s="33" t="b">
        <v>1</v>
      </c>
      <c r="J173" s="34" t="b">
        <v>1</v>
      </c>
      <c r="K173" s="35" t="b">
        <v>1</v>
      </c>
      <c r="L173" s="27" t="s">
        <v>350</v>
      </c>
      <c r="M173" s="27" t="s">
        <v>33</v>
      </c>
      <c r="N173" s="33">
        <v>10</v>
      </c>
      <c r="O173" s="34">
        <v>4</v>
      </c>
      <c r="P173" s="35">
        <v>2</v>
      </c>
      <c r="Q173" s="28">
        <v>10033.145476190481</v>
      </c>
      <c r="R173" s="36">
        <v>100331.4547619048</v>
      </c>
      <c r="S173" s="37">
        <v>40132.581904761901</v>
      </c>
      <c r="T173" s="38">
        <v>20066.29095238095</v>
      </c>
      <c r="U173" s="27" t="s">
        <v>38</v>
      </c>
    </row>
    <row r="174" spans="1:21">
      <c r="A174" s="27" t="s">
        <v>63</v>
      </c>
      <c r="B174" s="50" t="s">
        <v>352</v>
      </c>
      <c r="C174" s="28">
        <v>485313.39</v>
      </c>
      <c r="D174" s="29">
        <v>0.25</v>
      </c>
      <c r="E174" s="30">
        <v>0.1</v>
      </c>
      <c r="F174" s="31">
        <v>0.05</v>
      </c>
      <c r="G174" s="32">
        <v>29</v>
      </c>
      <c r="H174" s="54"/>
      <c r="I174" s="33" t="b">
        <v>1</v>
      </c>
      <c r="J174" s="34" t="b">
        <v>1</v>
      </c>
      <c r="K174" s="35" t="b">
        <v>1</v>
      </c>
      <c r="L174" s="27" t="s">
        <v>350</v>
      </c>
      <c r="M174" s="27" t="s">
        <v>33</v>
      </c>
      <c r="N174" s="33">
        <v>7</v>
      </c>
      <c r="O174" s="34">
        <v>3</v>
      </c>
      <c r="P174" s="35">
        <v>1</v>
      </c>
      <c r="Q174" s="28">
        <v>16734.944482758619</v>
      </c>
      <c r="R174" s="36">
        <v>117144.6113793103</v>
      </c>
      <c r="S174" s="37">
        <v>50204.833448275858</v>
      </c>
      <c r="T174" s="38">
        <v>16734.944482758619</v>
      </c>
      <c r="U174" s="27" t="s">
        <v>38</v>
      </c>
    </row>
    <row r="175" spans="1:21">
      <c r="A175" s="27" t="s">
        <v>63</v>
      </c>
      <c r="B175" s="50" t="s">
        <v>353</v>
      </c>
      <c r="C175" s="28">
        <v>960784.25</v>
      </c>
      <c r="D175" s="29">
        <v>0.25</v>
      </c>
      <c r="E175" s="30">
        <v>0.1</v>
      </c>
      <c r="F175" s="31">
        <v>0.05</v>
      </c>
      <c r="G175" s="32">
        <v>3</v>
      </c>
      <c r="H175" s="54"/>
      <c r="I175" s="33" t="b">
        <v>1</v>
      </c>
      <c r="J175" s="34" t="b">
        <v>1</v>
      </c>
      <c r="K175" s="35" t="b">
        <v>1</v>
      </c>
      <c r="L175" s="27" t="s">
        <v>350</v>
      </c>
      <c r="M175" s="27" t="s">
        <v>33</v>
      </c>
      <c r="N175" s="33">
        <v>1</v>
      </c>
      <c r="O175" s="34">
        <v>0</v>
      </c>
      <c r="P175" s="35">
        <v>0</v>
      </c>
      <c r="Q175" s="28">
        <v>320261.41666666669</v>
      </c>
      <c r="R175" s="36">
        <v>320261.41666666669</v>
      </c>
      <c r="S175" s="37">
        <v>0</v>
      </c>
      <c r="T175" s="38">
        <v>0</v>
      </c>
      <c r="U175" s="27" t="s">
        <v>38</v>
      </c>
    </row>
    <row r="176" spans="1:21">
      <c r="A176" s="27" t="s">
        <v>63</v>
      </c>
      <c r="B176" s="50" t="s">
        <v>354</v>
      </c>
      <c r="C176" s="28">
        <v>2401960.5</v>
      </c>
      <c r="D176" s="29">
        <v>0.25</v>
      </c>
      <c r="E176" s="30">
        <v>0.1</v>
      </c>
      <c r="F176" s="31">
        <v>0.05</v>
      </c>
      <c r="G176" s="32">
        <v>40</v>
      </c>
      <c r="H176" s="54"/>
      <c r="I176" s="33" t="b">
        <v>1</v>
      </c>
      <c r="J176" s="34" t="b">
        <v>1</v>
      </c>
      <c r="K176" s="35" t="b">
        <v>1</v>
      </c>
      <c r="L176" s="27" t="s">
        <v>350</v>
      </c>
      <c r="M176" s="27" t="s">
        <v>33</v>
      </c>
      <c r="N176" s="33">
        <v>10</v>
      </c>
      <c r="O176" s="34">
        <v>4</v>
      </c>
      <c r="P176" s="35">
        <v>2</v>
      </c>
      <c r="Q176" s="28">
        <v>60049.012499999997</v>
      </c>
      <c r="R176" s="36">
        <v>600490.125</v>
      </c>
      <c r="S176" s="37">
        <v>240196.05</v>
      </c>
      <c r="T176" s="38">
        <v>120098.02499999999</v>
      </c>
      <c r="U176" s="27" t="s">
        <v>37</v>
      </c>
    </row>
    <row r="177" spans="1:21">
      <c r="A177" s="27" t="s">
        <v>63</v>
      </c>
      <c r="B177" s="50" t="s">
        <v>355</v>
      </c>
      <c r="C177" s="28">
        <v>948000</v>
      </c>
      <c r="D177" s="29">
        <v>0.25</v>
      </c>
      <c r="E177" s="30">
        <v>0.1</v>
      </c>
      <c r="F177" s="31">
        <v>0.05</v>
      </c>
      <c r="G177" s="32">
        <v>57</v>
      </c>
      <c r="H177" s="54"/>
      <c r="I177" s="33" t="b">
        <v>1</v>
      </c>
      <c r="J177" s="34" t="b">
        <v>1</v>
      </c>
      <c r="K177" s="35" t="b">
        <v>1</v>
      </c>
      <c r="L177" s="27" t="s">
        <v>350</v>
      </c>
      <c r="M177" s="27" t="s">
        <v>33</v>
      </c>
      <c r="N177" s="33">
        <v>14</v>
      </c>
      <c r="O177" s="34">
        <v>6</v>
      </c>
      <c r="P177" s="35">
        <v>3</v>
      </c>
      <c r="Q177" s="28">
        <v>16631.57894736842</v>
      </c>
      <c r="R177" s="36">
        <v>232842.10526315789</v>
      </c>
      <c r="S177" s="37">
        <v>99789.473684210519</v>
      </c>
      <c r="T177" s="38">
        <v>49894.73684210526</v>
      </c>
      <c r="U177" s="27" t="s">
        <v>40</v>
      </c>
    </row>
    <row r="178" spans="1:21">
      <c r="A178" s="27" t="s">
        <v>104</v>
      </c>
      <c r="B178" s="50" t="s">
        <v>356</v>
      </c>
      <c r="C178" s="28">
        <v>1957000</v>
      </c>
      <c r="D178" s="29">
        <v>0.3</v>
      </c>
      <c r="E178" s="30">
        <v>0.1</v>
      </c>
      <c r="F178" s="31">
        <v>0.1</v>
      </c>
      <c r="G178" s="32">
        <v>50</v>
      </c>
      <c r="H178" s="54"/>
      <c r="I178" s="33" t="b">
        <v>1</v>
      </c>
      <c r="J178" s="34" t="b">
        <v>1</v>
      </c>
      <c r="K178" s="35" t="b">
        <v>1</v>
      </c>
      <c r="L178" s="27" t="s">
        <v>357</v>
      </c>
      <c r="M178" s="27" t="s">
        <v>34</v>
      </c>
      <c r="N178" s="33">
        <v>15</v>
      </c>
      <c r="O178" s="34">
        <v>5</v>
      </c>
      <c r="P178" s="35">
        <v>5</v>
      </c>
      <c r="Q178" s="28">
        <v>39140</v>
      </c>
      <c r="R178" s="36">
        <v>587100</v>
      </c>
      <c r="S178" s="37">
        <v>195700</v>
      </c>
      <c r="T178" s="38">
        <v>195700</v>
      </c>
      <c r="U178" s="27" t="s">
        <v>37</v>
      </c>
    </row>
    <row r="179" spans="1:21">
      <c r="A179" s="27" t="s">
        <v>104</v>
      </c>
      <c r="B179" s="50" t="s">
        <v>358</v>
      </c>
      <c r="C179" s="28">
        <v>5400000</v>
      </c>
      <c r="D179" s="29">
        <v>0.25</v>
      </c>
      <c r="E179" s="30">
        <v>0.1</v>
      </c>
      <c r="F179" s="31">
        <v>0.1</v>
      </c>
      <c r="G179" s="32">
        <v>40</v>
      </c>
      <c r="H179" s="54"/>
      <c r="I179" s="33" t="b">
        <v>1</v>
      </c>
      <c r="J179" s="34" t="b">
        <v>1</v>
      </c>
      <c r="K179" s="35" t="b">
        <v>1</v>
      </c>
      <c r="L179" s="27" t="s">
        <v>357</v>
      </c>
      <c r="M179" s="27" t="s">
        <v>34</v>
      </c>
      <c r="N179" s="33">
        <v>10</v>
      </c>
      <c r="O179" s="34">
        <v>4</v>
      </c>
      <c r="P179" s="35">
        <v>4</v>
      </c>
      <c r="Q179" s="28">
        <v>135000</v>
      </c>
      <c r="R179" s="36">
        <v>1350000</v>
      </c>
      <c r="S179" s="37">
        <v>540000</v>
      </c>
      <c r="T179" s="38">
        <v>540000</v>
      </c>
      <c r="U179" s="27" t="s">
        <v>37</v>
      </c>
    </row>
    <row r="180" spans="1:21">
      <c r="A180" s="27" t="s">
        <v>104</v>
      </c>
      <c r="B180" s="50" t="s">
        <v>359</v>
      </c>
      <c r="C180" s="28">
        <v>907000</v>
      </c>
      <c r="D180" s="29">
        <v>0.25</v>
      </c>
      <c r="E180" s="30">
        <v>0.1</v>
      </c>
      <c r="F180" s="31">
        <v>0.1</v>
      </c>
      <c r="G180" s="32">
        <v>2</v>
      </c>
      <c r="H180" s="54"/>
      <c r="I180" s="33" t="b">
        <v>1</v>
      </c>
      <c r="J180" s="34" t="b">
        <v>1</v>
      </c>
      <c r="K180" s="35" t="b">
        <v>1</v>
      </c>
      <c r="L180" s="27" t="s">
        <v>357</v>
      </c>
      <c r="M180" s="27" t="s">
        <v>34</v>
      </c>
      <c r="N180" s="33">
        <v>0</v>
      </c>
      <c r="O180" s="34">
        <v>0</v>
      </c>
      <c r="P180" s="35">
        <v>0</v>
      </c>
      <c r="Q180" s="28">
        <v>453500</v>
      </c>
      <c r="R180" s="36">
        <v>0</v>
      </c>
      <c r="S180" s="37">
        <v>0</v>
      </c>
      <c r="T180" s="38">
        <v>0</v>
      </c>
      <c r="U180" s="27" t="s">
        <v>37</v>
      </c>
    </row>
    <row r="181" spans="1:21">
      <c r="A181" s="27" t="s">
        <v>104</v>
      </c>
      <c r="B181" s="50" t="s">
        <v>360</v>
      </c>
      <c r="C181" s="28">
        <v>1000000</v>
      </c>
      <c r="D181" s="29">
        <v>0.25</v>
      </c>
      <c r="E181" s="30">
        <v>0.1</v>
      </c>
      <c r="F181" s="31">
        <v>0.1</v>
      </c>
      <c r="G181" s="32">
        <v>15</v>
      </c>
      <c r="H181" s="55" t="s">
        <v>16</v>
      </c>
      <c r="I181" s="33" t="b">
        <v>1</v>
      </c>
      <c r="J181" s="34" t="b">
        <v>1</v>
      </c>
      <c r="K181" s="35" t="b">
        <v>1</v>
      </c>
      <c r="L181" s="27" t="s">
        <v>357</v>
      </c>
      <c r="M181" s="27" t="s">
        <v>34</v>
      </c>
      <c r="N181" s="33">
        <v>4</v>
      </c>
      <c r="O181" s="34">
        <v>2</v>
      </c>
      <c r="P181" s="35">
        <v>2</v>
      </c>
      <c r="Q181" s="28">
        <v>66666.666666666672</v>
      </c>
      <c r="R181" s="36">
        <v>266666.66666666669</v>
      </c>
      <c r="S181" s="37">
        <v>133333.33333333331</v>
      </c>
      <c r="T181" s="38">
        <v>133333.33333333331</v>
      </c>
      <c r="U181" s="27" t="s">
        <v>38</v>
      </c>
    </row>
    <row r="182" spans="1:21">
      <c r="A182" s="27" t="s">
        <v>104</v>
      </c>
      <c r="B182" s="50" t="s">
        <v>361</v>
      </c>
      <c r="C182" s="28">
        <v>2500000</v>
      </c>
      <c r="D182" s="29">
        <v>0.25</v>
      </c>
      <c r="E182" s="30">
        <v>0.1</v>
      </c>
      <c r="F182" s="31">
        <v>0.1</v>
      </c>
      <c r="G182" s="32">
        <v>20</v>
      </c>
      <c r="H182" s="54"/>
      <c r="I182" s="33" t="b">
        <v>1</v>
      </c>
      <c r="J182" s="34" t="b">
        <v>1</v>
      </c>
      <c r="K182" s="35" t="b">
        <v>1</v>
      </c>
      <c r="L182" s="27" t="s">
        <v>357</v>
      </c>
      <c r="M182" s="27" t="s">
        <v>34</v>
      </c>
      <c r="N182" s="33">
        <v>5</v>
      </c>
      <c r="O182" s="34">
        <v>2</v>
      </c>
      <c r="P182" s="35">
        <v>2</v>
      </c>
      <c r="Q182" s="28">
        <v>125000</v>
      </c>
      <c r="R182" s="36">
        <v>625000</v>
      </c>
      <c r="S182" s="37">
        <v>250000</v>
      </c>
      <c r="T182" s="38">
        <v>250000</v>
      </c>
      <c r="U182" s="27" t="s">
        <v>38</v>
      </c>
    </row>
    <row r="183" spans="1:21">
      <c r="A183" s="27" t="s">
        <v>104</v>
      </c>
      <c r="B183" s="50" t="s">
        <v>362</v>
      </c>
      <c r="C183" s="28">
        <v>2500000</v>
      </c>
      <c r="D183" s="29">
        <v>0.25</v>
      </c>
      <c r="E183" s="30">
        <v>0.1</v>
      </c>
      <c r="F183" s="31">
        <v>0.1</v>
      </c>
      <c r="G183" s="32">
        <v>36</v>
      </c>
      <c r="H183" s="54"/>
      <c r="I183" s="33" t="b">
        <v>1</v>
      </c>
      <c r="J183" s="34" t="b">
        <v>1</v>
      </c>
      <c r="K183" s="35" t="b">
        <v>1</v>
      </c>
      <c r="L183" s="27" t="s">
        <v>357</v>
      </c>
      <c r="M183" s="27" t="s">
        <v>34</v>
      </c>
      <c r="N183" s="33">
        <v>9</v>
      </c>
      <c r="O183" s="34">
        <v>4</v>
      </c>
      <c r="P183" s="35">
        <v>4</v>
      </c>
      <c r="Q183" s="28">
        <v>69444.444444444438</v>
      </c>
      <c r="R183" s="36">
        <v>625000</v>
      </c>
      <c r="S183" s="37">
        <v>277777.77777777781</v>
      </c>
      <c r="T183" s="38">
        <v>277777.77777777781</v>
      </c>
      <c r="U183" s="27" t="s">
        <v>38</v>
      </c>
    </row>
    <row r="184" spans="1:21">
      <c r="A184" s="27" t="s">
        <v>104</v>
      </c>
      <c r="B184" s="50" t="s">
        <v>363</v>
      </c>
      <c r="C184" s="28">
        <v>1000000</v>
      </c>
      <c r="D184" s="29">
        <v>0.25</v>
      </c>
      <c r="E184" s="30">
        <v>0.1</v>
      </c>
      <c r="F184" s="31">
        <v>0.1</v>
      </c>
      <c r="G184" s="32">
        <v>39</v>
      </c>
      <c r="H184" s="54"/>
      <c r="I184" s="33" t="b">
        <v>1</v>
      </c>
      <c r="J184" s="34" t="b">
        <v>1</v>
      </c>
      <c r="K184" s="35" t="b">
        <v>1</v>
      </c>
      <c r="L184" s="27" t="s">
        <v>357</v>
      </c>
      <c r="M184" s="27" t="s">
        <v>34</v>
      </c>
      <c r="N184" s="33">
        <v>10</v>
      </c>
      <c r="O184" s="34">
        <v>4</v>
      </c>
      <c r="P184" s="35">
        <v>4</v>
      </c>
      <c r="Q184" s="28">
        <v>25641.025641025641</v>
      </c>
      <c r="R184" s="36">
        <v>256410.25641025641</v>
      </c>
      <c r="S184" s="37">
        <v>102564.10256410261</v>
      </c>
      <c r="T184" s="38">
        <v>102564.10256410261</v>
      </c>
      <c r="U184" s="27" t="s">
        <v>38</v>
      </c>
    </row>
    <row r="185" spans="1:21">
      <c r="A185" s="27" t="s">
        <v>104</v>
      </c>
      <c r="B185" s="50" t="s">
        <v>364</v>
      </c>
      <c r="C185" s="28">
        <v>2000000</v>
      </c>
      <c r="D185" s="29">
        <v>0.25</v>
      </c>
      <c r="E185" s="30">
        <v>0.1</v>
      </c>
      <c r="F185" s="31">
        <v>0.1</v>
      </c>
      <c r="G185" s="32">
        <v>20</v>
      </c>
      <c r="H185" s="54"/>
      <c r="I185" s="33" t="b">
        <v>1</v>
      </c>
      <c r="J185" s="34" t="b">
        <v>1</v>
      </c>
      <c r="K185" s="35" t="b">
        <v>1</v>
      </c>
      <c r="L185" s="27" t="s">
        <v>357</v>
      </c>
      <c r="M185" s="27" t="s">
        <v>34</v>
      </c>
      <c r="N185" s="33">
        <v>5</v>
      </c>
      <c r="O185" s="34">
        <v>2</v>
      </c>
      <c r="P185" s="35">
        <v>2</v>
      </c>
      <c r="Q185" s="28">
        <v>100000</v>
      </c>
      <c r="R185" s="36">
        <v>500000</v>
      </c>
      <c r="S185" s="37">
        <v>200000</v>
      </c>
      <c r="T185" s="38">
        <v>200000</v>
      </c>
      <c r="U185" s="27" t="s">
        <v>38</v>
      </c>
    </row>
    <row r="186" spans="1:21">
      <c r="A186" s="27" t="s">
        <v>104</v>
      </c>
      <c r="B186" s="50" t="s">
        <v>365</v>
      </c>
      <c r="C186" s="28">
        <v>1000000</v>
      </c>
      <c r="D186" s="29">
        <v>0.25</v>
      </c>
      <c r="E186" s="30">
        <v>0.1</v>
      </c>
      <c r="F186" s="31">
        <v>0.1</v>
      </c>
      <c r="G186" s="32">
        <v>13</v>
      </c>
      <c r="H186" s="54"/>
      <c r="I186" s="33" t="b">
        <v>1</v>
      </c>
      <c r="J186" s="34" t="b">
        <v>1</v>
      </c>
      <c r="K186" s="35" t="b">
        <v>1</v>
      </c>
      <c r="L186" s="27" t="s">
        <v>357</v>
      </c>
      <c r="M186" s="27" t="s">
        <v>34</v>
      </c>
      <c r="N186" s="33">
        <v>3</v>
      </c>
      <c r="O186" s="34">
        <v>1</v>
      </c>
      <c r="P186" s="35">
        <v>1</v>
      </c>
      <c r="Q186" s="28">
        <v>76923.076923076922</v>
      </c>
      <c r="R186" s="36">
        <v>230769.23076923081</v>
      </c>
      <c r="S186" s="37">
        <v>76923.076923076922</v>
      </c>
      <c r="T186" s="38">
        <v>76923.076923076922</v>
      </c>
      <c r="U186" s="27" t="s">
        <v>38</v>
      </c>
    </row>
    <row r="187" spans="1:21">
      <c r="A187" s="27" t="s">
        <v>104</v>
      </c>
      <c r="B187" s="50" t="s">
        <v>366</v>
      </c>
      <c r="C187" s="28">
        <v>1000000</v>
      </c>
      <c r="D187" s="29">
        <v>0.25</v>
      </c>
      <c r="E187" s="30">
        <v>0.1</v>
      </c>
      <c r="F187" s="31">
        <v>0.1</v>
      </c>
      <c r="G187" s="32">
        <v>18</v>
      </c>
      <c r="H187" s="54"/>
      <c r="I187" s="33" t="b">
        <v>1</v>
      </c>
      <c r="J187" s="34" t="b">
        <v>1</v>
      </c>
      <c r="K187" s="35" t="b">
        <v>1</v>
      </c>
      <c r="L187" s="27" t="s">
        <v>357</v>
      </c>
      <c r="M187" s="27" t="s">
        <v>34</v>
      </c>
      <c r="N187" s="33">
        <v>4</v>
      </c>
      <c r="O187" s="34">
        <v>2</v>
      </c>
      <c r="P187" s="35">
        <v>2</v>
      </c>
      <c r="Q187" s="28">
        <v>55555.555555555547</v>
      </c>
      <c r="R187" s="36">
        <v>222222.22222222219</v>
      </c>
      <c r="S187" s="37">
        <v>111111.11111111109</v>
      </c>
      <c r="T187" s="38">
        <v>111111.11111111109</v>
      </c>
      <c r="U187" s="27" t="s">
        <v>38</v>
      </c>
    </row>
    <row r="188" spans="1:21">
      <c r="A188" s="27" t="s">
        <v>104</v>
      </c>
      <c r="B188" s="50" t="s">
        <v>367</v>
      </c>
      <c r="C188" s="28">
        <v>2000000</v>
      </c>
      <c r="D188" s="29">
        <v>0.25</v>
      </c>
      <c r="E188" s="30">
        <v>0.1</v>
      </c>
      <c r="F188" s="31">
        <v>0.1</v>
      </c>
      <c r="G188" s="32">
        <v>22</v>
      </c>
      <c r="H188" s="54"/>
      <c r="I188" s="33" t="b">
        <v>1</v>
      </c>
      <c r="J188" s="34" t="b">
        <v>1</v>
      </c>
      <c r="K188" s="35" t="b">
        <v>1</v>
      </c>
      <c r="L188" s="27" t="s">
        <v>357</v>
      </c>
      <c r="M188" s="27" t="s">
        <v>34</v>
      </c>
      <c r="N188" s="33">
        <v>6</v>
      </c>
      <c r="O188" s="34">
        <v>2</v>
      </c>
      <c r="P188" s="35">
        <v>2</v>
      </c>
      <c r="Q188" s="28">
        <v>90909.090909090912</v>
      </c>
      <c r="R188" s="36">
        <v>545454.54545454541</v>
      </c>
      <c r="S188" s="37">
        <v>181818.18181818179</v>
      </c>
      <c r="T188" s="38">
        <v>181818.18181818179</v>
      </c>
      <c r="U188" s="27" t="s">
        <v>38</v>
      </c>
    </row>
    <row r="189" spans="1:21">
      <c r="A189" s="27" t="s">
        <v>104</v>
      </c>
      <c r="B189" s="50" t="s">
        <v>368</v>
      </c>
      <c r="C189" s="28">
        <v>2000000</v>
      </c>
      <c r="D189" s="29">
        <v>0.25</v>
      </c>
      <c r="E189" s="30">
        <v>0.1</v>
      </c>
      <c r="F189" s="31">
        <v>0.1</v>
      </c>
      <c r="G189" s="32">
        <v>62</v>
      </c>
      <c r="H189" s="54"/>
      <c r="I189" s="33" t="b">
        <v>1</v>
      </c>
      <c r="J189" s="34" t="b">
        <v>1</v>
      </c>
      <c r="K189" s="35" t="b">
        <v>1</v>
      </c>
      <c r="L189" s="27" t="s">
        <v>357</v>
      </c>
      <c r="M189" s="27" t="s">
        <v>34</v>
      </c>
      <c r="N189" s="33">
        <v>16</v>
      </c>
      <c r="O189" s="34">
        <v>6</v>
      </c>
      <c r="P189" s="35">
        <v>6</v>
      </c>
      <c r="Q189" s="28">
        <v>32258.06451612903</v>
      </c>
      <c r="R189" s="36">
        <v>516129.03225806449</v>
      </c>
      <c r="S189" s="37">
        <v>193548.38709677421</v>
      </c>
      <c r="T189" s="38">
        <v>193548.38709677421</v>
      </c>
      <c r="U189" s="27" t="s">
        <v>38</v>
      </c>
    </row>
    <row r="190" spans="1:21">
      <c r="A190" s="27" t="s">
        <v>104</v>
      </c>
      <c r="B190" s="50" t="s">
        <v>369</v>
      </c>
      <c r="C190" s="28">
        <v>4000000</v>
      </c>
      <c r="D190" s="29">
        <v>0.25</v>
      </c>
      <c r="E190" s="30">
        <v>0.1</v>
      </c>
      <c r="F190" s="31">
        <v>0.1</v>
      </c>
      <c r="G190" s="32">
        <v>73</v>
      </c>
      <c r="H190" s="54"/>
      <c r="I190" s="33" t="b">
        <v>1</v>
      </c>
      <c r="J190" s="34" t="b">
        <v>1</v>
      </c>
      <c r="K190" s="35" t="b">
        <v>1</v>
      </c>
      <c r="L190" s="27" t="s">
        <v>357</v>
      </c>
      <c r="M190" s="27" t="s">
        <v>34</v>
      </c>
      <c r="N190" s="33">
        <v>18</v>
      </c>
      <c r="O190" s="34">
        <v>7</v>
      </c>
      <c r="P190" s="35">
        <v>7</v>
      </c>
      <c r="Q190" s="28">
        <v>54794.520547945212</v>
      </c>
      <c r="R190" s="36">
        <v>986301.36986301374</v>
      </c>
      <c r="S190" s="37">
        <v>383561.64383561641</v>
      </c>
      <c r="T190" s="38">
        <v>383561.64383561641</v>
      </c>
      <c r="U190" s="27" t="s">
        <v>38</v>
      </c>
    </row>
    <row r="191" spans="1:21">
      <c r="A191" s="27" t="s">
        <v>104</v>
      </c>
      <c r="B191" s="50" t="s">
        <v>370</v>
      </c>
      <c r="C191" s="28">
        <v>2000000</v>
      </c>
      <c r="D191" s="29">
        <v>0.25</v>
      </c>
      <c r="E191" s="30">
        <v>0.1</v>
      </c>
      <c r="F191" s="31">
        <v>0.1</v>
      </c>
      <c r="G191" s="32">
        <v>22</v>
      </c>
      <c r="H191" s="54"/>
      <c r="I191" s="33" t="b">
        <v>1</v>
      </c>
      <c r="J191" s="34" t="b">
        <v>1</v>
      </c>
      <c r="K191" s="35" t="b">
        <v>1</v>
      </c>
      <c r="L191" s="27" t="s">
        <v>357</v>
      </c>
      <c r="M191" s="27" t="s">
        <v>34</v>
      </c>
      <c r="N191" s="33">
        <v>6</v>
      </c>
      <c r="O191" s="34">
        <v>2</v>
      </c>
      <c r="P191" s="35">
        <v>2</v>
      </c>
      <c r="Q191" s="28">
        <v>90909.090909090912</v>
      </c>
      <c r="R191" s="36">
        <v>545454.54545454541</v>
      </c>
      <c r="S191" s="37">
        <v>181818.18181818179</v>
      </c>
      <c r="T191" s="38">
        <v>181818.18181818179</v>
      </c>
      <c r="U191" s="27" t="s">
        <v>38</v>
      </c>
    </row>
    <row r="192" spans="1:21">
      <c r="A192" s="27" t="s">
        <v>104</v>
      </c>
      <c r="B192" s="50" t="s">
        <v>371</v>
      </c>
      <c r="C192" s="28">
        <v>1500000</v>
      </c>
      <c r="D192" s="29">
        <v>0.25</v>
      </c>
      <c r="E192" s="30">
        <v>0.1</v>
      </c>
      <c r="F192" s="31">
        <v>0.1</v>
      </c>
      <c r="G192" s="32">
        <v>12</v>
      </c>
      <c r="H192" s="54"/>
      <c r="I192" s="33" t="b">
        <v>1</v>
      </c>
      <c r="J192" s="34" t="b">
        <v>1</v>
      </c>
      <c r="K192" s="35" t="b">
        <v>1</v>
      </c>
      <c r="L192" s="27" t="s">
        <v>357</v>
      </c>
      <c r="M192" s="27" t="s">
        <v>34</v>
      </c>
      <c r="N192" s="33">
        <v>3</v>
      </c>
      <c r="O192" s="34">
        <v>1</v>
      </c>
      <c r="P192" s="35">
        <v>1</v>
      </c>
      <c r="Q192" s="28">
        <v>125000</v>
      </c>
      <c r="R192" s="36">
        <v>375000</v>
      </c>
      <c r="S192" s="37">
        <v>125000</v>
      </c>
      <c r="T192" s="38">
        <v>125000</v>
      </c>
      <c r="U192" s="27" t="s">
        <v>38</v>
      </c>
    </row>
    <row r="193" spans="1:21">
      <c r="A193" s="27" t="s">
        <v>104</v>
      </c>
      <c r="B193" s="50" t="s">
        <v>372</v>
      </c>
      <c r="C193" s="28">
        <v>1000000</v>
      </c>
      <c r="D193" s="29">
        <v>0.25</v>
      </c>
      <c r="E193" s="30">
        <v>0.1</v>
      </c>
      <c r="F193" s="31">
        <v>0.1</v>
      </c>
      <c r="G193" s="32">
        <v>25</v>
      </c>
      <c r="H193" s="54"/>
      <c r="I193" s="33" t="b">
        <v>1</v>
      </c>
      <c r="J193" s="34" t="b">
        <v>1</v>
      </c>
      <c r="K193" s="35" t="b">
        <v>1</v>
      </c>
      <c r="L193" s="27" t="s">
        <v>357</v>
      </c>
      <c r="M193" s="27" t="s">
        <v>34</v>
      </c>
      <c r="N193" s="33">
        <v>6</v>
      </c>
      <c r="O193" s="34">
        <v>2</v>
      </c>
      <c r="P193" s="35">
        <v>2</v>
      </c>
      <c r="Q193" s="28">
        <v>40000</v>
      </c>
      <c r="R193" s="36">
        <v>240000</v>
      </c>
      <c r="S193" s="37">
        <v>80000</v>
      </c>
      <c r="T193" s="38">
        <v>80000</v>
      </c>
      <c r="U193" s="27" t="s">
        <v>38</v>
      </c>
    </row>
    <row r="194" spans="1:21">
      <c r="A194" s="27" t="s">
        <v>104</v>
      </c>
      <c r="B194" s="50" t="s">
        <v>373</v>
      </c>
      <c r="C194" s="28">
        <v>3500000</v>
      </c>
      <c r="D194" s="29">
        <v>0.25</v>
      </c>
      <c r="E194" s="30">
        <v>0.1</v>
      </c>
      <c r="F194" s="31">
        <v>0.1</v>
      </c>
      <c r="G194" s="32">
        <v>27</v>
      </c>
      <c r="H194" s="54"/>
      <c r="I194" s="33" t="b">
        <v>1</v>
      </c>
      <c r="J194" s="34" t="b">
        <v>1</v>
      </c>
      <c r="K194" s="35" t="b">
        <v>1</v>
      </c>
      <c r="L194" s="27" t="s">
        <v>357</v>
      </c>
      <c r="M194" s="27" t="s">
        <v>34</v>
      </c>
      <c r="N194" s="33">
        <v>7</v>
      </c>
      <c r="O194" s="34">
        <v>3</v>
      </c>
      <c r="P194" s="35">
        <v>3</v>
      </c>
      <c r="Q194" s="28">
        <v>129629.62962962961</v>
      </c>
      <c r="R194" s="36">
        <v>907407.40740740742</v>
      </c>
      <c r="S194" s="37">
        <v>388888.88888888888</v>
      </c>
      <c r="T194" s="38">
        <v>388888.88888888888</v>
      </c>
      <c r="U194" s="27" t="s">
        <v>38</v>
      </c>
    </row>
    <row r="195" spans="1:21">
      <c r="A195" s="27" t="s">
        <v>104</v>
      </c>
      <c r="B195" s="50" t="s">
        <v>374</v>
      </c>
      <c r="C195" s="28">
        <v>6050000</v>
      </c>
      <c r="D195" s="29">
        <v>0.25</v>
      </c>
      <c r="E195" s="30">
        <v>0.1</v>
      </c>
      <c r="F195" s="31">
        <v>0.1</v>
      </c>
      <c r="G195" s="32">
        <v>32</v>
      </c>
      <c r="H195" s="54"/>
      <c r="I195" s="33" t="b">
        <v>1</v>
      </c>
      <c r="J195" s="34" t="b">
        <v>1</v>
      </c>
      <c r="K195" s="35" t="b">
        <v>1</v>
      </c>
      <c r="L195" s="27" t="s">
        <v>357</v>
      </c>
      <c r="M195" s="27" t="s">
        <v>34</v>
      </c>
      <c r="N195" s="33">
        <v>8</v>
      </c>
      <c r="O195" s="34">
        <v>3</v>
      </c>
      <c r="P195" s="35">
        <v>3</v>
      </c>
      <c r="Q195" s="28">
        <v>189062.5</v>
      </c>
      <c r="R195" s="36">
        <v>1512500</v>
      </c>
      <c r="S195" s="37">
        <v>567187.5</v>
      </c>
      <c r="T195" s="38">
        <v>567187.5</v>
      </c>
      <c r="U195" s="27" t="s">
        <v>38</v>
      </c>
    </row>
    <row r="196" spans="1:21">
      <c r="A196" s="27" t="s">
        <v>104</v>
      </c>
      <c r="B196" s="50" t="s">
        <v>375</v>
      </c>
      <c r="C196" s="28">
        <v>1000000</v>
      </c>
      <c r="D196" s="29">
        <v>0.25</v>
      </c>
      <c r="E196" s="30">
        <v>0.1</v>
      </c>
      <c r="F196" s="31">
        <v>0.1</v>
      </c>
      <c r="G196" s="32">
        <v>10</v>
      </c>
      <c r="H196" s="54"/>
      <c r="I196" s="33" t="b">
        <v>1</v>
      </c>
      <c r="J196" s="34" t="b">
        <v>1</v>
      </c>
      <c r="K196" s="35" t="b">
        <v>1</v>
      </c>
      <c r="L196" s="27" t="s">
        <v>357</v>
      </c>
      <c r="M196" s="27" t="s">
        <v>34</v>
      </c>
      <c r="N196" s="33">
        <v>2</v>
      </c>
      <c r="O196" s="34">
        <v>1</v>
      </c>
      <c r="P196" s="35">
        <v>1</v>
      </c>
      <c r="Q196" s="28">
        <v>100000</v>
      </c>
      <c r="R196" s="36">
        <v>200000</v>
      </c>
      <c r="S196" s="37">
        <v>100000</v>
      </c>
      <c r="T196" s="38">
        <v>100000</v>
      </c>
      <c r="U196" s="27" t="s">
        <v>38</v>
      </c>
    </row>
    <row r="197" spans="1:21">
      <c r="A197" s="27" t="s">
        <v>104</v>
      </c>
      <c r="B197" s="50" t="s">
        <v>376</v>
      </c>
      <c r="C197" s="28">
        <v>4950000</v>
      </c>
      <c r="D197" s="29">
        <v>0.23680000000000001</v>
      </c>
      <c r="E197" s="30">
        <v>7.8899999999999998E-2</v>
      </c>
      <c r="F197" s="31">
        <v>7.8899999999999998E-2</v>
      </c>
      <c r="G197" s="32">
        <v>38</v>
      </c>
      <c r="H197" s="54"/>
      <c r="I197" s="33" t="b">
        <v>1</v>
      </c>
      <c r="J197" s="34" t="b">
        <v>0</v>
      </c>
      <c r="K197" s="35" t="b">
        <v>1</v>
      </c>
      <c r="L197" s="27" t="s">
        <v>357</v>
      </c>
      <c r="M197" s="27" t="s">
        <v>34</v>
      </c>
      <c r="N197" s="33">
        <v>9</v>
      </c>
      <c r="O197" s="34">
        <v>3</v>
      </c>
      <c r="P197" s="35">
        <v>3</v>
      </c>
      <c r="Q197" s="28">
        <v>130263.1578947368</v>
      </c>
      <c r="R197" s="36">
        <v>1172368.421052631</v>
      </c>
      <c r="S197" s="37">
        <v>390789.4736842105</v>
      </c>
      <c r="T197" s="38">
        <v>390789.4736842105</v>
      </c>
      <c r="U197" s="27" t="s">
        <v>40</v>
      </c>
    </row>
    <row r="198" spans="1:21">
      <c r="A198" s="27" t="s">
        <v>64</v>
      </c>
      <c r="B198" s="50" t="s">
        <v>377</v>
      </c>
      <c r="C198" s="28">
        <v>420000</v>
      </c>
      <c r="D198" s="29">
        <v>0.25</v>
      </c>
      <c r="E198" s="30">
        <v>0.1</v>
      </c>
      <c r="F198" s="31">
        <v>0.05</v>
      </c>
      <c r="G198" s="32">
        <v>14</v>
      </c>
      <c r="H198" s="54"/>
      <c r="I198" s="33" t="b">
        <v>1</v>
      </c>
      <c r="J198" s="34" t="b">
        <v>1</v>
      </c>
      <c r="K198" s="35" t="b">
        <v>1</v>
      </c>
      <c r="L198" s="27" t="s">
        <v>378</v>
      </c>
      <c r="M198" s="27" t="s">
        <v>33</v>
      </c>
      <c r="N198" s="33">
        <v>4</v>
      </c>
      <c r="O198" s="34">
        <v>1</v>
      </c>
      <c r="P198" s="35">
        <v>1</v>
      </c>
      <c r="Q198" s="28">
        <v>30000</v>
      </c>
      <c r="R198" s="36">
        <v>120000</v>
      </c>
      <c r="S198" s="37">
        <v>30000</v>
      </c>
      <c r="T198" s="38">
        <v>30000</v>
      </c>
      <c r="U198" s="27" t="s">
        <v>37</v>
      </c>
    </row>
    <row r="199" spans="1:21">
      <c r="A199" s="27" t="s">
        <v>64</v>
      </c>
      <c r="B199" s="50" t="s">
        <v>379</v>
      </c>
      <c r="C199" s="28">
        <v>1200000</v>
      </c>
      <c r="D199" s="29">
        <v>0.25</v>
      </c>
      <c r="E199" s="30">
        <v>0.1</v>
      </c>
      <c r="F199" s="31">
        <v>0.05</v>
      </c>
      <c r="G199" s="32">
        <v>10</v>
      </c>
      <c r="H199" s="54"/>
      <c r="I199" s="33" t="b">
        <v>1</v>
      </c>
      <c r="J199" s="34" t="b">
        <v>1</v>
      </c>
      <c r="K199" s="35" t="b">
        <v>1</v>
      </c>
      <c r="L199" s="27" t="s">
        <v>378</v>
      </c>
      <c r="M199" s="27" t="s">
        <v>33</v>
      </c>
      <c r="N199" s="33">
        <v>2</v>
      </c>
      <c r="O199" s="34">
        <v>1</v>
      </c>
      <c r="P199" s="35">
        <v>0</v>
      </c>
      <c r="Q199" s="28">
        <v>120000</v>
      </c>
      <c r="R199" s="36">
        <v>240000</v>
      </c>
      <c r="S199" s="37">
        <v>120000</v>
      </c>
      <c r="T199" s="38">
        <v>0</v>
      </c>
      <c r="U199" s="27" t="s">
        <v>37</v>
      </c>
    </row>
    <row r="200" spans="1:21">
      <c r="A200" s="39" t="s">
        <v>64</v>
      </c>
      <c r="B200" s="46" t="s">
        <v>380</v>
      </c>
      <c r="C200" s="40">
        <v>240000</v>
      </c>
      <c r="D200" s="41">
        <v>1</v>
      </c>
      <c r="E200" s="41">
        <v>0.1</v>
      </c>
      <c r="F200" s="41">
        <v>7.0000000000000007E-2</v>
      </c>
      <c r="G200" s="42">
        <v>30</v>
      </c>
      <c r="H200" s="55" t="s">
        <v>213</v>
      </c>
      <c r="I200" s="42" t="b">
        <v>1</v>
      </c>
      <c r="J200" s="42" t="b">
        <v>1</v>
      </c>
      <c r="K200" s="42" t="b">
        <v>1</v>
      </c>
      <c r="L200" s="39" t="s">
        <v>378</v>
      </c>
      <c r="M200" s="39" t="s">
        <v>33</v>
      </c>
      <c r="N200" s="42">
        <v>30</v>
      </c>
      <c r="O200" s="42">
        <v>3</v>
      </c>
      <c r="P200" s="42">
        <v>2</v>
      </c>
      <c r="Q200" s="40">
        <v>8000</v>
      </c>
      <c r="R200" s="40">
        <v>240000</v>
      </c>
      <c r="S200" s="40">
        <v>24000</v>
      </c>
      <c r="T200" s="40">
        <v>16000</v>
      </c>
      <c r="U200" s="39" t="s">
        <v>39</v>
      </c>
    </row>
    <row r="201" spans="1:21">
      <c r="A201" s="27" t="s">
        <v>64</v>
      </c>
      <c r="B201" s="50" t="s">
        <v>381</v>
      </c>
      <c r="C201" s="28">
        <v>800000</v>
      </c>
      <c r="D201" s="29">
        <v>0.25</v>
      </c>
      <c r="E201" s="30">
        <v>0.1</v>
      </c>
      <c r="F201" s="31">
        <v>0.05</v>
      </c>
      <c r="G201" s="32">
        <v>20</v>
      </c>
      <c r="H201" s="54"/>
      <c r="I201" s="33" t="b">
        <v>1</v>
      </c>
      <c r="J201" s="34" t="b">
        <v>1</v>
      </c>
      <c r="K201" s="35" t="b">
        <v>1</v>
      </c>
      <c r="L201" s="27" t="s">
        <v>378</v>
      </c>
      <c r="M201" s="27" t="s">
        <v>33</v>
      </c>
      <c r="N201" s="33">
        <v>5</v>
      </c>
      <c r="O201" s="34">
        <v>2</v>
      </c>
      <c r="P201" s="35">
        <v>1</v>
      </c>
      <c r="Q201" s="28">
        <v>40000</v>
      </c>
      <c r="R201" s="36">
        <v>200000</v>
      </c>
      <c r="S201" s="37">
        <v>80000</v>
      </c>
      <c r="T201" s="38">
        <v>40000</v>
      </c>
      <c r="U201" s="27" t="s">
        <v>40</v>
      </c>
    </row>
    <row r="202" spans="1:21">
      <c r="A202" s="27" t="s">
        <v>64</v>
      </c>
      <c r="B202" s="50" t="s">
        <v>382</v>
      </c>
      <c r="C202" s="28">
        <v>240000</v>
      </c>
      <c r="D202" s="29">
        <v>0.26</v>
      </c>
      <c r="E202" s="30">
        <v>0.1</v>
      </c>
      <c r="F202" s="31">
        <v>0.06</v>
      </c>
      <c r="G202" s="32">
        <v>30</v>
      </c>
      <c r="H202" s="54"/>
      <c r="I202" s="33" t="b">
        <v>1</v>
      </c>
      <c r="J202" s="34" t="b">
        <v>1</v>
      </c>
      <c r="K202" s="35" t="b">
        <v>1</v>
      </c>
      <c r="L202" s="27" t="s">
        <v>378</v>
      </c>
      <c r="M202" s="27" t="s">
        <v>33</v>
      </c>
      <c r="N202" s="33">
        <v>8</v>
      </c>
      <c r="O202" s="34">
        <v>3</v>
      </c>
      <c r="P202" s="35">
        <v>2</v>
      </c>
      <c r="Q202" s="28">
        <v>8000</v>
      </c>
      <c r="R202" s="36">
        <v>64000</v>
      </c>
      <c r="S202" s="37">
        <v>24000</v>
      </c>
      <c r="T202" s="38">
        <v>16000</v>
      </c>
      <c r="U202" s="27" t="s">
        <v>39</v>
      </c>
    </row>
    <row r="203" spans="1:21">
      <c r="A203" s="27" t="s">
        <v>64</v>
      </c>
      <c r="B203" s="50" t="s">
        <v>383</v>
      </c>
      <c r="C203" s="28">
        <v>500000</v>
      </c>
      <c r="D203" s="29">
        <v>0.23</v>
      </c>
      <c r="E203" s="30">
        <v>0.12</v>
      </c>
      <c r="F203" s="31">
        <v>0.06</v>
      </c>
      <c r="G203" s="32">
        <v>17</v>
      </c>
      <c r="H203" s="54"/>
      <c r="I203" s="33" t="b">
        <v>1</v>
      </c>
      <c r="J203" s="34" t="b">
        <v>1</v>
      </c>
      <c r="K203" s="35" t="b">
        <v>1</v>
      </c>
      <c r="L203" s="27" t="s">
        <v>378</v>
      </c>
      <c r="M203" s="27" t="s">
        <v>33</v>
      </c>
      <c r="N203" s="33">
        <v>4</v>
      </c>
      <c r="O203" s="34">
        <v>2</v>
      </c>
      <c r="P203" s="35">
        <v>1</v>
      </c>
      <c r="Q203" s="28">
        <v>29411.76470588235</v>
      </c>
      <c r="R203" s="36">
        <v>117647.0588235294</v>
      </c>
      <c r="S203" s="37">
        <v>58823.529411764714</v>
      </c>
      <c r="T203" s="38">
        <v>29411.76470588235</v>
      </c>
      <c r="U203" s="27" t="s">
        <v>40</v>
      </c>
    </row>
    <row r="204" spans="1:21">
      <c r="A204" s="27" t="s">
        <v>64</v>
      </c>
      <c r="B204" s="50" t="s">
        <v>384</v>
      </c>
      <c r="C204" s="28">
        <v>370000</v>
      </c>
      <c r="D204" s="29">
        <v>0.23</v>
      </c>
      <c r="E204" s="30">
        <v>0.15</v>
      </c>
      <c r="F204" s="31">
        <v>0.15</v>
      </c>
      <c r="G204" s="32">
        <v>13</v>
      </c>
      <c r="H204" s="54"/>
      <c r="I204" s="33" t="b">
        <v>1</v>
      </c>
      <c r="J204" s="34" t="b">
        <v>1</v>
      </c>
      <c r="K204" s="35" t="b">
        <v>1</v>
      </c>
      <c r="L204" s="27" t="s">
        <v>378</v>
      </c>
      <c r="M204" s="27" t="s">
        <v>33</v>
      </c>
      <c r="N204" s="33">
        <v>3</v>
      </c>
      <c r="O204" s="34">
        <v>2</v>
      </c>
      <c r="P204" s="35">
        <v>2</v>
      </c>
      <c r="Q204" s="28">
        <v>28461.538461538461</v>
      </c>
      <c r="R204" s="36">
        <v>85384.615384615376</v>
      </c>
      <c r="S204" s="37">
        <v>56923.076923076922</v>
      </c>
      <c r="T204" s="38">
        <v>56923.076923076922</v>
      </c>
      <c r="U204" s="27" t="s">
        <v>38</v>
      </c>
    </row>
    <row r="205" spans="1:21">
      <c r="A205" s="27" t="s">
        <v>64</v>
      </c>
      <c r="B205" s="50" t="s">
        <v>385</v>
      </c>
      <c r="C205" s="28">
        <v>200000</v>
      </c>
      <c r="D205" s="29">
        <v>0.26</v>
      </c>
      <c r="E205" s="30">
        <v>0.13</v>
      </c>
      <c r="F205" s="31">
        <v>0.06</v>
      </c>
      <c r="G205" s="32">
        <v>15</v>
      </c>
      <c r="H205" s="54"/>
      <c r="I205" s="33" t="b">
        <v>1</v>
      </c>
      <c r="J205" s="34" t="b">
        <v>1</v>
      </c>
      <c r="K205" s="35" t="b">
        <v>1</v>
      </c>
      <c r="L205" s="27" t="s">
        <v>378</v>
      </c>
      <c r="M205" s="27" t="s">
        <v>33</v>
      </c>
      <c r="N205" s="33">
        <v>4</v>
      </c>
      <c r="O205" s="34">
        <v>2</v>
      </c>
      <c r="P205" s="35">
        <v>1</v>
      </c>
      <c r="Q205" s="28">
        <v>13333.33333333333</v>
      </c>
      <c r="R205" s="36">
        <v>53333.333333333343</v>
      </c>
      <c r="S205" s="37">
        <v>26666.666666666672</v>
      </c>
      <c r="T205" s="38">
        <v>13333.33333333333</v>
      </c>
      <c r="U205" s="27" t="s">
        <v>36</v>
      </c>
    </row>
    <row r="206" spans="1:21">
      <c r="A206" s="27" t="s">
        <v>64</v>
      </c>
      <c r="B206" s="50" t="s">
        <v>386</v>
      </c>
      <c r="C206" s="28">
        <v>1320000</v>
      </c>
      <c r="D206" s="29">
        <v>0.24</v>
      </c>
      <c r="E206" s="30">
        <v>0.09</v>
      </c>
      <c r="F206" s="31">
        <v>0.06</v>
      </c>
      <c r="G206" s="32">
        <v>75</v>
      </c>
      <c r="H206" s="54"/>
      <c r="I206" s="33" t="b">
        <v>0</v>
      </c>
      <c r="J206" s="34" t="b">
        <v>1</v>
      </c>
      <c r="K206" s="35" t="b">
        <v>1</v>
      </c>
      <c r="L206" s="27" t="s">
        <v>378</v>
      </c>
      <c r="M206" s="27" t="s">
        <v>33</v>
      </c>
      <c r="N206" s="33">
        <v>18</v>
      </c>
      <c r="O206" s="34">
        <v>7</v>
      </c>
      <c r="P206" s="35">
        <v>4</v>
      </c>
      <c r="Q206" s="28">
        <v>17600</v>
      </c>
      <c r="R206" s="36">
        <v>316800</v>
      </c>
      <c r="S206" s="37">
        <v>123200</v>
      </c>
      <c r="T206" s="38">
        <v>70400</v>
      </c>
      <c r="U206" s="27" t="s">
        <v>38</v>
      </c>
    </row>
    <row r="207" spans="1:21">
      <c r="A207" s="27" t="s">
        <v>65</v>
      </c>
      <c r="B207" s="50" t="s">
        <v>387</v>
      </c>
      <c r="C207" s="28">
        <v>868254.06</v>
      </c>
      <c r="D207" s="29">
        <v>0.25</v>
      </c>
      <c r="E207" s="30">
        <v>0.1</v>
      </c>
      <c r="F207" s="31">
        <v>0.05</v>
      </c>
      <c r="G207" s="32">
        <v>48</v>
      </c>
      <c r="H207" s="54"/>
      <c r="I207" s="33" t="b">
        <v>1</v>
      </c>
      <c r="J207" s="34" t="b">
        <v>1</v>
      </c>
      <c r="K207" s="35" t="b">
        <v>1</v>
      </c>
      <c r="L207" s="27" t="s">
        <v>388</v>
      </c>
      <c r="M207" s="27" t="s">
        <v>33</v>
      </c>
      <c r="N207" s="33">
        <v>12</v>
      </c>
      <c r="O207" s="34">
        <v>5</v>
      </c>
      <c r="P207" s="35">
        <v>2</v>
      </c>
      <c r="Q207" s="28">
        <v>18088.626250000001</v>
      </c>
      <c r="R207" s="36">
        <v>217063.51500000001</v>
      </c>
      <c r="S207" s="37">
        <v>90443.131250000006</v>
      </c>
      <c r="T207" s="38">
        <v>36177.252500000002</v>
      </c>
      <c r="U207" s="27" t="s">
        <v>37</v>
      </c>
    </row>
    <row r="208" spans="1:21">
      <c r="A208" s="27" t="s">
        <v>65</v>
      </c>
      <c r="B208" s="50" t="s">
        <v>389</v>
      </c>
      <c r="C208" s="28">
        <v>1070000</v>
      </c>
      <c r="D208" s="29">
        <v>0.25</v>
      </c>
      <c r="E208" s="30">
        <v>0.1</v>
      </c>
      <c r="F208" s="31">
        <v>0.05</v>
      </c>
      <c r="G208" s="32">
        <v>38</v>
      </c>
      <c r="H208" s="54"/>
      <c r="I208" s="33" t="b">
        <v>1</v>
      </c>
      <c r="J208" s="34" t="b">
        <v>1</v>
      </c>
      <c r="K208" s="35" t="b">
        <v>1</v>
      </c>
      <c r="L208" s="27" t="s">
        <v>388</v>
      </c>
      <c r="M208" s="27" t="s">
        <v>33</v>
      </c>
      <c r="N208" s="33">
        <v>10</v>
      </c>
      <c r="O208" s="34">
        <v>4</v>
      </c>
      <c r="P208" s="35">
        <v>2</v>
      </c>
      <c r="Q208" s="28">
        <v>28157.89473684211</v>
      </c>
      <c r="R208" s="36">
        <v>281578.94736842113</v>
      </c>
      <c r="S208" s="37">
        <v>112631.5789473684</v>
      </c>
      <c r="T208" s="38">
        <v>56315.789473684214</v>
      </c>
      <c r="U208" s="27" t="s">
        <v>38</v>
      </c>
    </row>
    <row r="209" spans="1:21">
      <c r="A209" s="27" t="s">
        <v>65</v>
      </c>
      <c r="B209" s="50" t="s">
        <v>390</v>
      </c>
      <c r="C209" s="28">
        <v>600000</v>
      </c>
      <c r="D209" s="29">
        <v>0.25</v>
      </c>
      <c r="E209" s="30">
        <v>0.1</v>
      </c>
      <c r="F209" s="31">
        <v>0.05</v>
      </c>
      <c r="G209" s="32">
        <v>65</v>
      </c>
      <c r="H209" s="54"/>
      <c r="I209" s="33" t="b">
        <v>1</v>
      </c>
      <c r="J209" s="34" t="b">
        <v>1</v>
      </c>
      <c r="K209" s="35" t="b">
        <v>1</v>
      </c>
      <c r="L209" s="27" t="s">
        <v>388</v>
      </c>
      <c r="M209" s="27" t="s">
        <v>33</v>
      </c>
      <c r="N209" s="33">
        <v>16</v>
      </c>
      <c r="O209" s="34">
        <v>6</v>
      </c>
      <c r="P209" s="35">
        <v>3</v>
      </c>
      <c r="Q209" s="28">
        <v>9230.7692307692305</v>
      </c>
      <c r="R209" s="36">
        <v>147692.30769230769</v>
      </c>
      <c r="S209" s="37">
        <v>55384.615384615383</v>
      </c>
      <c r="T209" s="38">
        <v>27692.307692307691</v>
      </c>
      <c r="U209" s="27" t="s">
        <v>39</v>
      </c>
    </row>
    <row r="210" spans="1:21">
      <c r="A210" s="27" t="s">
        <v>66</v>
      </c>
      <c r="B210" s="50" t="s">
        <v>391</v>
      </c>
      <c r="C210" s="28">
        <v>745000</v>
      </c>
      <c r="D210" s="29">
        <v>0.26</v>
      </c>
      <c r="E210" s="30">
        <v>0.1</v>
      </c>
      <c r="F210" s="31">
        <v>0.08</v>
      </c>
      <c r="G210" s="32">
        <v>51</v>
      </c>
      <c r="H210" s="54"/>
      <c r="I210" s="33" t="b">
        <v>1</v>
      </c>
      <c r="J210" s="34" t="b">
        <v>1</v>
      </c>
      <c r="K210" s="35" t="b">
        <v>1</v>
      </c>
      <c r="L210" s="27" t="s">
        <v>392</v>
      </c>
      <c r="M210" s="27" t="s">
        <v>33</v>
      </c>
      <c r="N210" s="33">
        <v>13</v>
      </c>
      <c r="O210" s="34">
        <v>5</v>
      </c>
      <c r="P210" s="35">
        <v>4</v>
      </c>
      <c r="Q210" s="28">
        <v>14607.8431372549</v>
      </c>
      <c r="R210" s="36">
        <v>189901.96078431371</v>
      </c>
      <c r="S210" s="37">
        <v>73039.215686274518</v>
      </c>
      <c r="T210" s="38">
        <v>58431.372549019608</v>
      </c>
      <c r="U210" s="27" t="s">
        <v>38</v>
      </c>
    </row>
    <row r="211" spans="1:21">
      <c r="A211" s="27" t="s">
        <v>66</v>
      </c>
      <c r="B211" s="50" t="s">
        <v>393</v>
      </c>
      <c r="C211" s="28">
        <v>733500</v>
      </c>
      <c r="D211" s="29">
        <v>0.28000000000000003</v>
      </c>
      <c r="E211" s="30">
        <v>0.1</v>
      </c>
      <c r="F211" s="31">
        <v>0.09</v>
      </c>
      <c r="G211" s="32">
        <v>46</v>
      </c>
      <c r="H211" s="54"/>
      <c r="I211" s="33" t="b">
        <v>1</v>
      </c>
      <c r="J211" s="34" t="b">
        <v>1</v>
      </c>
      <c r="K211" s="35" t="b">
        <v>1</v>
      </c>
      <c r="L211" s="27" t="s">
        <v>392</v>
      </c>
      <c r="M211" s="27" t="s">
        <v>33</v>
      </c>
      <c r="N211" s="33">
        <v>13</v>
      </c>
      <c r="O211" s="34">
        <v>5</v>
      </c>
      <c r="P211" s="35">
        <v>4</v>
      </c>
      <c r="Q211" s="28">
        <v>15945.65217391304</v>
      </c>
      <c r="R211" s="36">
        <v>207293.4782608696</v>
      </c>
      <c r="S211" s="37">
        <v>79728.260869565216</v>
      </c>
      <c r="T211" s="38">
        <v>63782.608695652183</v>
      </c>
      <c r="U211" s="27" t="s">
        <v>38</v>
      </c>
    </row>
    <row r="212" spans="1:21">
      <c r="A212" s="27" t="s">
        <v>66</v>
      </c>
      <c r="B212" s="50" t="s">
        <v>394</v>
      </c>
      <c r="C212" s="28">
        <v>462000</v>
      </c>
      <c r="D212" s="29">
        <v>0.3</v>
      </c>
      <c r="E212" s="30">
        <v>0.1</v>
      </c>
      <c r="F212" s="31">
        <v>0.1</v>
      </c>
      <c r="G212" s="32">
        <v>20</v>
      </c>
      <c r="H212" s="54"/>
      <c r="I212" s="33" t="b">
        <v>1</v>
      </c>
      <c r="J212" s="34" t="b">
        <v>1</v>
      </c>
      <c r="K212" s="35" t="b">
        <v>1</v>
      </c>
      <c r="L212" s="27" t="s">
        <v>392</v>
      </c>
      <c r="M212" s="27" t="s">
        <v>33</v>
      </c>
      <c r="N212" s="33">
        <v>6</v>
      </c>
      <c r="O212" s="34">
        <v>2</v>
      </c>
      <c r="P212" s="35">
        <v>2</v>
      </c>
      <c r="Q212" s="28">
        <v>23100</v>
      </c>
      <c r="R212" s="36">
        <v>138600</v>
      </c>
      <c r="S212" s="37">
        <v>46200</v>
      </c>
      <c r="T212" s="38">
        <v>46200</v>
      </c>
      <c r="U212" s="27" t="s">
        <v>38</v>
      </c>
    </row>
    <row r="213" spans="1:21">
      <c r="A213" s="27" t="s">
        <v>66</v>
      </c>
      <c r="B213" s="50" t="s">
        <v>395</v>
      </c>
      <c r="C213" s="28">
        <v>861000</v>
      </c>
      <c r="D213" s="29">
        <v>0.25</v>
      </c>
      <c r="E213" s="30">
        <v>0.09</v>
      </c>
      <c r="F213" s="31">
        <v>7.0000000000000007E-2</v>
      </c>
      <c r="G213" s="32">
        <v>58</v>
      </c>
      <c r="H213" s="54"/>
      <c r="I213" s="33" t="b">
        <v>1</v>
      </c>
      <c r="J213" s="34" t="b">
        <v>0</v>
      </c>
      <c r="K213" s="35" t="b">
        <v>1</v>
      </c>
      <c r="L213" s="27" t="s">
        <v>392</v>
      </c>
      <c r="M213" s="27" t="s">
        <v>33</v>
      </c>
      <c r="N213" s="33">
        <v>14</v>
      </c>
      <c r="O213" s="34">
        <v>5</v>
      </c>
      <c r="P213" s="35">
        <v>4</v>
      </c>
      <c r="Q213" s="28">
        <v>14844.8275862069</v>
      </c>
      <c r="R213" s="36">
        <v>207827.58620689661</v>
      </c>
      <c r="S213" s="37">
        <v>74224.137931034478</v>
      </c>
      <c r="T213" s="38">
        <v>59379.310344827587</v>
      </c>
      <c r="U213" s="27" t="s">
        <v>38</v>
      </c>
    </row>
    <row r="214" spans="1:21">
      <c r="A214" s="27" t="s">
        <v>66</v>
      </c>
      <c r="B214" s="50" t="s">
        <v>396</v>
      </c>
      <c r="C214" s="28">
        <v>839000</v>
      </c>
      <c r="D214" s="29">
        <v>0.25</v>
      </c>
      <c r="E214" s="30">
        <v>0.1</v>
      </c>
      <c r="F214" s="31">
        <v>0.06</v>
      </c>
      <c r="G214" s="32">
        <v>83</v>
      </c>
      <c r="H214" s="54"/>
      <c r="I214" s="33" t="b">
        <v>1</v>
      </c>
      <c r="J214" s="34" t="b">
        <v>1</v>
      </c>
      <c r="K214" s="35" t="b">
        <v>1</v>
      </c>
      <c r="L214" s="27" t="s">
        <v>392</v>
      </c>
      <c r="M214" s="27" t="s">
        <v>33</v>
      </c>
      <c r="N214" s="33">
        <v>21</v>
      </c>
      <c r="O214" s="34">
        <v>8</v>
      </c>
      <c r="P214" s="35">
        <v>5</v>
      </c>
      <c r="Q214" s="28">
        <v>10108.433734939759</v>
      </c>
      <c r="R214" s="36">
        <v>212277.10843373489</v>
      </c>
      <c r="S214" s="37">
        <v>80867.469879518074</v>
      </c>
      <c r="T214" s="38">
        <v>50542.168674698798</v>
      </c>
      <c r="U214" s="27" t="s">
        <v>38</v>
      </c>
    </row>
    <row r="215" spans="1:21">
      <c r="A215" s="27" t="s">
        <v>66</v>
      </c>
      <c r="B215" s="50" t="s">
        <v>397</v>
      </c>
      <c r="C215" s="28">
        <v>1748733.4</v>
      </c>
      <c r="D215" s="29">
        <v>0.25</v>
      </c>
      <c r="E215" s="30">
        <v>0.1</v>
      </c>
      <c r="F215" s="31">
        <v>0.05</v>
      </c>
      <c r="G215" s="32">
        <v>10</v>
      </c>
      <c r="H215" s="54"/>
      <c r="I215" s="33" t="b">
        <v>1</v>
      </c>
      <c r="J215" s="34" t="b">
        <v>1</v>
      </c>
      <c r="K215" s="35" t="b">
        <v>1</v>
      </c>
      <c r="L215" s="27" t="s">
        <v>392</v>
      </c>
      <c r="M215" s="27" t="s">
        <v>33</v>
      </c>
      <c r="N215" s="33">
        <v>2</v>
      </c>
      <c r="O215" s="34">
        <v>1</v>
      </c>
      <c r="P215" s="35">
        <v>0</v>
      </c>
      <c r="Q215" s="28">
        <v>174873.34</v>
      </c>
      <c r="R215" s="36">
        <v>349746.68</v>
      </c>
      <c r="S215" s="37">
        <v>174873.34</v>
      </c>
      <c r="T215" s="38">
        <v>0</v>
      </c>
      <c r="U215" s="27" t="s">
        <v>37</v>
      </c>
    </row>
    <row r="216" spans="1:21">
      <c r="A216" s="27" t="s">
        <v>66</v>
      </c>
      <c r="B216" s="50" t="s">
        <v>398</v>
      </c>
      <c r="C216" s="28">
        <v>630000</v>
      </c>
      <c r="D216" s="29">
        <v>0.25</v>
      </c>
      <c r="E216" s="30">
        <v>0.1</v>
      </c>
      <c r="F216" s="31">
        <v>0.05</v>
      </c>
      <c r="G216" s="32">
        <v>119</v>
      </c>
      <c r="H216" s="54"/>
      <c r="I216" s="33" t="b">
        <v>1</v>
      </c>
      <c r="J216" s="34" t="b">
        <v>1</v>
      </c>
      <c r="K216" s="35" t="b">
        <v>1</v>
      </c>
      <c r="L216" s="27" t="s">
        <v>392</v>
      </c>
      <c r="M216" s="27" t="s">
        <v>33</v>
      </c>
      <c r="N216" s="33">
        <v>30</v>
      </c>
      <c r="O216" s="34">
        <v>12</v>
      </c>
      <c r="P216" s="35">
        <v>6</v>
      </c>
      <c r="Q216" s="28">
        <v>5294.1176470588234</v>
      </c>
      <c r="R216" s="36">
        <v>158823.5294117647</v>
      </c>
      <c r="S216" s="37">
        <v>63529.411764705881</v>
      </c>
      <c r="T216" s="38">
        <v>31764.705882352941</v>
      </c>
      <c r="U216" s="27" t="s">
        <v>39</v>
      </c>
    </row>
    <row r="217" spans="1:21">
      <c r="A217" s="27" t="s">
        <v>66</v>
      </c>
      <c r="B217" s="50" t="s">
        <v>399</v>
      </c>
      <c r="C217" s="28">
        <v>600000</v>
      </c>
      <c r="D217" s="29">
        <v>0.25</v>
      </c>
      <c r="E217" s="30">
        <v>0.1</v>
      </c>
      <c r="F217" s="31">
        <v>0.05</v>
      </c>
      <c r="G217" s="32">
        <v>15</v>
      </c>
      <c r="H217" s="54"/>
      <c r="I217" s="33" t="b">
        <v>1</v>
      </c>
      <c r="J217" s="34" t="b">
        <v>1</v>
      </c>
      <c r="K217" s="35" t="b">
        <v>1</v>
      </c>
      <c r="L217" s="27" t="s">
        <v>392</v>
      </c>
      <c r="M217" s="27" t="s">
        <v>33</v>
      </c>
      <c r="N217" s="33">
        <v>4</v>
      </c>
      <c r="O217" s="34">
        <v>2</v>
      </c>
      <c r="P217" s="35">
        <v>1</v>
      </c>
      <c r="Q217" s="28">
        <v>40000</v>
      </c>
      <c r="R217" s="36">
        <v>160000</v>
      </c>
      <c r="S217" s="37">
        <v>80000</v>
      </c>
      <c r="T217" s="38">
        <v>40000</v>
      </c>
      <c r="U217" s="27" t="s">
        <v>37</v>
      </c>
    </row>
    <row r="218" spans="1:21">
      <c r="A218" s="27" t="s">
        <v>67</v>
      </c>
      <c r="B218" s="50" t="s">
        <v>400</v>
      </c>
      <c r="C218" s="28">
        <v>4789485.7</v>
      </c>
      <c r="D218" s="29">
        <v>0.2</v>
      </c>
      <c r="E218" s="30">
        <v>0.2</v>
      </c>
      <c r="F218" s="31">
        <v>0.06</v>
      </c>
      <c r="G218" s="32">
        <v>188</v>
      </c>
      <c r="H218" s="54"/>
      <c r="I218" s="33" t="b">
        <v>0</v>
      </c>
      <c r="J218" s="34" t="b">
        <v>1</v>
      </c>
      <c r="K218" s="35" t="b">
        <v>1</v>
      </c>
      <c r="L218" s="27" t="s">
        <v>401</v>
      </c>
      <c r="M218" s="27" t="s">
        <v>33</v>
      </c>
      <c r="N218" s="33">
        <v>38</v>
      </c>
      <c r="O218" s="34">
        <v>38</v>
      </c>
      <c r="P218" s="35">
        <v>11</v>
      </c>
      <c r="Q218" s="28">
        <v>25475.987765957449</v>
      </c>
      <c r="R218" s="36">
        <v>968087.53510638303</v>
      </c>
      <c r="S218" s="37">
        <v>968087.53510638303</v>
      </c>
      <c r="T218" s="38">
        <v>280235.86542553193</v>
      </c>
      <c r="U218" s="27" t="s">
        <v>38</v>
      </c>
    </row>
    <row r="219" spans="1:21">
      <c r="A219" s="39" t="s">
        <v>67</v>
      </c>
      <c r="B219" s="46" t="s">
        <v>402</v>
      </c>
      <c r="C219" s="40">
        <v>300000</v>
      </c>
      <c r="D219" s="41">
        <v>0.25</v>
      </c>
      <c r="E219" s="41">
        <v>0.25</v>
      </c>
      <c r="F219" s="41">
        <v>0.05</v>
      </c>
      <c r="G219" s="42">
        <v>30</v>
      </c>
      <c r="H219" s="55" t="s">
        <v>5</v>
      </c>
      <c r="I219" s="42" t="b">
        <v>1</v>
      </c>
      <c r="J219" s="42" t="b">
        <v>1</v>
      </c>
      <c r="K219" s="42" t="b">
        <v>1</v>
      </c>
      <c r="L219" s="39" t="s">
        <v>401</v>
      </c>
      <c r="M219" s="39" t="s">
        <v>33</v>
      </c>
      <c r="N219" s="42">
        <v>8</v>
      </c>
      <c r="O219" s="42">
        <v>8</v>
      </c>
      <c r="P219" s="42">
        <v>2</v>
      </c>
      <c r="Q219" s="40">
        <v>10000</v>
      </c>
      <c r="R219" s="40">
        <v>80000</v>
      </c>
      <c r="S219" s="40">
        <v>80000</v>
      </c>
      <c r="T219" s="40">
        <v>20000</v>
      </c>
      <c r="U219" s="39" t="s">
        <v>39</v>
      </c>
    </row>
    <row r="220" spans="1:21">
      <c r="A220" s="39" t="s">
        <v>67</v>
      </c>
      <c r="B220" s="64" t="s">
        <v>403</v>
      </c>
      <c r="C220" s="40">
        <v>500000</v>
      </c>
      <c r="D220" s="41">
        <v>0.25</v>
      </c>
      <c r="E220" s="41">
        <v>0.25</v>
      </c>
      <c r="F220" s="41">
        <v>0.05</v>
      </c>
      <c r="G220" s="42">
        <v>10</v>
      </c>
      <c r="H220" s="55" t="s">
        <v>13</v>
      </c>
      <c r="I220" s="42" t="b">
        <v>1</v>
      </c>
      <c r="J220" s="42" t="b">
        <v>1</v>
      </c>
      <c r="K220" s="42" t="b">
        <v>1</v>
      </c>
      <c r="L220" s="39" t="s">
        <v>401</v>
      </c>
      <c r="M220" s="39" t="s">
        <v>33</v>
      </c>
      <c r="N220" s="42">
        <v>2</v>
      </c>
      <c r="O220" s="42">
        <v>2</v>
      </c>
      <c r="P220" s="42">
        <v>0</v>
      </c>
      <c r="Q220" s="40">
        <v>50000</v>
      </c>
      <c r="R220" s="40">
        <v>100000</v>
      </c>
      <c r="S220" s="40">
        <v>100000</v>
      </c>
      <c r="T220" s="40">
        <v>0</v>
      </c>
      <c r="U220" s="39" t="s">
        <v>38</v>
      </c>
    </row>
    <row r="221" spans="1:21">
      <c r="A221" s="27" t="s">
        <v>67</v>
      </c>
      <c r="B221" s="50" t="s">
        <v>404</v>
      </c>
      <c r="C221" s="28">
        <v>400000</v>
      </c>
      <c r="D221" s="29">
        <v>0.25</v>
      </c>
      <c r="E221" s="30">
        <v>0.25</v>
      </c>
      <c r="F221" s="31">
        <v>0.05</v>
      </c>
      <c r="G221" s="32">
        <v>25</v>
      </c>
      <c r="H221" s="54"/>
      <c r="I221" s="33" t="b">
        <v>1</v>
      </c>
      <c r="J221" s="34" t="b">
        <v>1</v>
      </c>
      <c r="K221" s="35" t="b">
        <v>1</v>
      </c>
      <c r="L221" s="27" t="s">
        <v>401</v>
      </c>
      <c r="M221" s="27" t="s">
        <v>33</v>
      </c>
      <c r="N221" s="33">
        <v>6</v>
      </c>
      <c r="O221" s="34">
        <v>6</v>
      </c>
      <c r="P221" s="35">
        <v>1</v>
      </c>
      <c r="Q221" s="28">
        <v>16000</v>
      </c>
      <c r="R221" s="36">
        <v>96000</v>
      </c>
      <c r="S221" s="37">
        <v>96000</v>
      </c>
      <c r="T221" s="38">
        <v>16000</v>
      </c>
      <c r="U221" s="27" t="s">
        <v>38</v>
      </c>
    </row>
    <row r="222" spans="1:21">
      <c r="A222" s="27" t="s">
        <v>67</v>
      </c>
      <c r="B222" s="50" t="s">
        <v>405</v>
      </c>
      <c r="C222" s="28">
        <v>2400000</v>
      </c>
      <c r="D222" s="29">
        <v>0.25</v>
      </c>
      <c r="E222" s="30">
        <v>0.25</v>
      </c>
      <c r="F222" s="31">
        <v>0.05</v>
      </c>
      <c r="G222" s="32">
        <v>30</v>
      </c>
      <c r="H222" s="54"/>
      <c r="I222" s="33" t="b">
        <v>1</v>
      </c>
      <c r="J222" s="34" t="b">
        <v>1</v>
      </c>
      <c r="K222" s="35" t="b">
        <v>1</v>
      </c>
      <c r="L222" s="27" t="s">
        <v>401</v>
      </c>
      <c r="M222" s="27" t="s">
        <v>33</v>
      </c>
      <c r="N222" s="33">
        <v>8</v>
      </c>
      <c r="O222" s="34">
        <v>8</v>
      </c>
      <c r="P222" s="35">
        <v>2</v>
      </c>
      <c r="Q222" s="28">
        <v>80000</v>
      </c>
      <c r="R222" s="36">
        <v>640000</v>
      </c>
      <c r="S222" s="37">
        <v>640000</v>
      </c>
      <c r="T222" s="38">
        <v>160000</v>
      </c>
      <c r="U222" s="27" t="s">
        <v>40</v>
      </c>
    </row>
    <row r="223" spans="1:21">
      <c r="A223" s="27" t="s">
        <v>67</v>
      </c>
      <c r="B223" s="50" t="s">
        <v>406</v>
      </c>
      <c r="C223" s="28">
        <v>1080000</v>
      </c>
      <c r="D223" s="29">
        <v>0.25</v>
      </c>
      <c r="E223" s="30">
        <v>0.25</v>
      </c>
      <c r="F223" s="31">
        <v>0.05</v>
      </c>
      <c r="G223" s="32">
        <v>36</v>
      </c>
      <c r="H223" s="54"/>
      <c r="I223" s="33" t="b">
        <v>1</v>
      </c>
      <c r="J223" s="34" t="b">
        <v>1</v>
      </c>
      <c r="K223" s="35" t="b">
        <v>1</v>
      </c>
      <c r="L223" s="27" t="s">
        <v>401</v>
      </c>
      <c r="M223" s="27" t="s">
        <v>33</v>
      </c>
      <c r="N223" s="33">
        <v>9</v>
      </c>
      <c r="O223" s="34">
        <v>9</v>
      </c>
      <c r="P223" s="35">
        <v>2</v>
      </c>
      <c r="Q223" s="28">
        <v>30000</v>
      </c>
      <c r="R223" s="36">
        <v>270000</v>
      </c>
      <c r="S223" s="37">
        <v>270000</v>
      </c>
      <c r="T223" s="38">
        <v>60000</v>
      </c>
      <c r="U223" s="27" t="s">
        <v>37</v>
      </c>
    </row>
    <row r="224" spans="1:21">
      <c r="A224" s="39" t="s">
        <v>67</v>
      </c>
      <c r="B224" s="64" t="s">
        <v>407</v>
      </c>
      <c r="C224" s="40">
        <v>1197371.44</v>
      </c>
      <c r="D224" s="41">
        <v>0.25</v>
      </c>
      <c r="E224" s="41">
        <v>0.25</v>
      </c>
      <c r="F224" s="41">
        <v>0.05</v>
      </c>
      <c r="G224" s="42">
        <v>40</v>
      </c>
      <c r="H224" s="55" t="s">
        <v>13</v>
      </c>
      <c r="I224" s="42" t="b">
        <v>1</v>
      </c>
      <c r="J224" s="42" t="b">
        <v>1</v>
      </c>
      <c r="K224" s="42" t="b">
        <v>1</v>
      </c>
      <c r="L224" s="39" t="s">
        <v>401</v>
      </c>
      <c r="M224" s="39" t="s">
        <v>33</v>
      </c>
      <c r="N224" s="42">
        <v>10</v>
      </c>
      <c r="O224" s="42">
        <v>10</v>
      </c>
      <c r="P224" s="42">
        <v>2</v>
      </c>
      <c r="Q224" s="40">
        <v>29934.286</v>
      </c>
      <c r="R224" s="40">
        <v>299342.86</v>
      </c>
      <c r="S224" s="40">
        <v>299342.86</v>
      </c>
      <c r="T224" s="40">
        <v>59868.572</v>
      </c>
      <c r="U224" s="39" t="s">
        <v>38</v>
      </c>
    </row>
    <row r="225" spans="1:21">
      <c r="A225" s="27" t="s">
        <v>67</v>
      </c>
      <c r="B225" s="50" t="s">
        <v>408</v>
      </c>
      <c r="C225" s="28">
        <v>2400000</v>
      </c>
      <c r="D225" s="29">
        <v>0.25</v>
      </c>
      <c r="E225" s="30">
        <v>0.25</v>
      </c>
      <c r="F225" s="31">
        <v>0.05</v>
      </c>
      <c r="G225" s="32">
        <v>40</v>
      </c>
      <c r="H225" s="54"/>
      <c r="I225" s="33" t="b">
        <v>1</v>
      </c>
      <c r="J225" s="34" t="b">
        <v>1</v>
      </c>
      <c r="K225" s="35" t="b">
        <v>1</v>
      </c>
      <c r="L225" s="27" t="s">
        <v>401</v>
      </c>
      <c r="M225" s="27" t="s">
        <v>33</v>
      </c>
      <c r="N225" s="33">
        <v>10</v>
      </c>
      <c r="O225" s="34">
        <v>10</v>
      </c>
      <c r="P225" s="35">
        <v>2</v>
      </c>
      <c r="Q225" s="28">
        <v>60000</v>
      </c>
      <c r="R225" s="36">
        <v>600000</v>
      </c>
      <c r="S225" s="37">
        <v>600000</v>
      </c>
      <c r="T225" s="38">
        <v>120000</v>
      </c>
      <c r="U225" s="27" t="s">
        <v>37</v>
      </c>
    </row>
    <row r="226" spans="1:21">
      <c r="A226" s="39" t="s">
        <v>67</v>
      </c>
      <c r="B226" s="46" t="s">
        <v>409</v>
      </c>
      <c r="C226" s="40">
        <v>300000</v>
      </c>
      <c r="D226" s="41">
        <v>0.25</v>
      </c>
      <c r="E226" s="41">
        <v>0.25</v>
      </c>
      <c r="F226" s="41">
        <v>0.05</v>
      </c>
      <c r="G226" s="42">
        <v>15</v>
      </c>
      <c r="H226" s="57" t="s">
        <v>183</v>
      </c>
      <c r="I226" s="42" t="b">
        <v>1</v>
      </c>
      <c r="J226" s="42" t="b">
        <v>1</v>
      </c>
      <c r="K226" s="42" t="b">
        <v>1</v>
      </c>
      <c r="L226" s="39" t="s">
        <v>401</v>
      </c>
      <c r="M226" s="39" t="s">
        <v>33</v>
      </c>
      <c r="N226" s="42">
        <v>4</v>
      </c>
      <c r="O226" s="42">
        <v>4</v>
      </c>
      <c r="P226" s="42">
        <v>1</v>
      </c>
      <c r="Q226" s="40">
        <v>20000</v>
      </c>
      <c r="R226" s="40">
        <v>80000</v>
      </c>
      <c r="S226" s="40">
        <v>80000</v>
      </c>
      <c r="T226" s="40">
        <v>20000</v>
      </c>
      <c r="U226" s="39" t="s">
        <v>38</v>
      </c>
    </row>
    <row r="227" spans="1:21">
      <c r="A227" s="27" t="s">
        <v>105</v>
      </c>
      <c r="B227" s="50" t="s">
        <v>410</v>
      </c>
      <c r="C227" s="28">
        <v>6450000</v>
      </c>
      <c r="D227" s="29">
        <v>0.25</v>
      </c>
      <c r="E227" s="30">
        <v>0.1</v>
      </c>
      <c r="F227" s="31">
        <v>0.05</v>
      </c>
      <c r="G227" s="32">
        <v>209</v>
      </c>
      <c r="H227" s="54"/>
      <c r="I227" s="33" t="b">
        <v>1</v>
      </c>
      <c r="J227" s="34" t="b">
        <v>1</v>
      </c>
      <c r="K227" s="35" t="b">
        <v>1</v>
      </c>
      <c r="L227" s="27" t="s">
        <v>411</v>
      </c>
      <c r="M227" s="27" t="s">
        <v>34</v>
      </c>
      <c r="N227" s="33">
        <v>52</v>
      </c>
      <c r="O227" s="34">
        <v>21</v>
      </c>
      <c r="P227" s="35">
        <v>10</v>
      </c>
      <c r="Q227" s="28">
        <v>30861.244019138761</v>
      </c>
      <c r="R227" s="36">
        <v>1604784.6889952151</v>
      </c>
      <c r="S227" s="37">
        <v>648086.12440191396</v>
      </c>
      <c r="T227" s="38">
        <v>308612.44019138749</v>
      </c>
      <c r="U227" s="27" t="s">
        <v>37</v>
      </c>
    </row>
    <row r="228" spans="1:21">
      <c r="A228" s="27" t="s">
        <v>105</v>
      </c>
      <c r="B228" s="50" t="s">
        <v>412</v>
      </c>
      <c r="C228" s="28">
        <v>6300000</v>
      </c>
      <c r="D228" s="29">
        <v>0.2031</v>
      </c>
      <c r="E228" s="30">
        <v>0.1042</v>
      </c>
      <c r="F228" s="31">
        <v>0</v>
      </c>
      <c r="G228" s="32">
        <v>192</v>
      </c>
      <c r="H228" s="54"/>
      <c r="I228" s="33" t="b">
        <v>0</v>
      </c>
      <c r="J228" s="34" t="b">
        <v>1</v>
      </c>
      <c r="K228" s="35" t="b">
        <v>0</v>
      </c>
      <c r="L228" s="27" t="s">
        <v>411</v>
      </c>
      <c r="M228" s="27" t="s">
        <v>34</v>
      </c>
      <c r="N228" s="33">
        <v>39</v>
      </c>
      <c r="O228" s="34">
        <v>20</v>
      </c>
      <c r="P228" s="35">
        <v>0</v>
      </c>
      <c r="Q228" s="28">
        <v>32812.5</v>
      </c>
      <c r="R228" s="36">
        <v>1279687.5</v>
      </c>
      <c r="S228" s="37">
        <v>656250</v>
      </c>
      <c r="T228" s="38">
        <v>0</v>
      </c>
      <c r="U228" s="27" t="s">
        <v>38</v>
      </c>
    </row>
    <row r="229" spans="1:21">
      <c r="A229" s="27" t="s">
        <v>105</v>
      </c>
      <c r="B229" s="50" t="s">
        <v>413</v>
      </c>
      <c r="C229" s="28">
        <v>5700000</v>
      </c>
      <c r="D229" s="29">
        <v>0.25</v>
      </c>
      <c r="E229" s="30">
        <v>0.1</v>
      </c>
      <c r="F229" s="31">
        <v>0.05</v>
      </c>
      <c r="G229" s="32">
        <v>30</v>
      </c>
      <c r="H229" s="54"/>
      <c r="I229" s="33" t="b">
        <v>1</v>
      </c>
      <c r="J229" s="34" t="b">
        <v>1</v>
      </c>
      <c r="K229" s="35" t="b">
        <v>1</v>
      </c>
      <c r="L229" s="27" t="s">
        <v>411</v>
      </c>
      <c r="M229" s="27" t="s">
        <v>34</v>
      </c>
      <c r="N229" s="33">
        <v>8</v>
      </c>
      <c r="O229" s="34">
        <v>3</v>
      </c>
      <c r="P229" s="35">
        <v>2</v>
      </c>
      <c r="Q229" s="28">
        <v>190000</v>
      </c>
      <c r="R229" s="36">
        <v>1520000</v>
      </c>
      <c r="S229" s="37">
        <v>570000</v>
      </c>
      <c r="T229" s="38">
        <v>380000</v>
      </c>
      <c r="U229" s="27" t="s">
        <v>38</v>
      </c>
    </row>
    <row r="230" spans="1:21">
      <c r="A230" s="27" t="s">
        <v>105</v>
      </c>
      <c r="B230" s="50" t="s">
        <v>414</v>
      </c>
      <c r="C230" s="28">
        <v>4900000</v>
      </c>
      <c r="D230" s="29">
        <v>0.25</v>
      </c>
      <c r="E230" s="30">
        <v>0.1</v>
      </c>
      <c r="F230" s="31">
        <v>0.05</v>
      </c>
      <c r="G230" s="32">
        <v>35</v>
      </c>
      <c r="H230" s="54"/>
      <c r="I230" s="33" t="b">
        <v>1</v>
      </c>
      <c r="J230" s="34" t="b">
        <v>1</v>
      </c>
      <c r="K230" s="35" t="b">
        <v>1</v>
      </c>
      <c r="L230" s="27" t="s">
        <v>411</v>
      </c>
      <c r="M230" s="27" t="s">
        <v>34</v>
      </c>
      <c r="N230" s="33">
        <v>9</v>
      </c>
      <c r="O230" s="34">
        <v>4</v>
      </c>
      <c r="P230" s="35">
        <v>2</v>
      </c>
      <c r="Q230" s="28">
        <v>140000</v>
      </c>
      <c r="R230" s="36">
        <v>1260000</v>
      </c>
      <c r="S230" s="37">
        <v>560000</v>
      </c>
      <c r="T230" s="38">
        <v>280000</v>
      </c>
      <c r="U230" s="27" t="s">
        <v>38</v>
      </c>
    </row>
    <row r="231" spans="1:21">
      <c r="A231" s="27" t="s">
        <v>105</v>
      </c>
      <c r="B231" s="50" t="s">
        <v>415</v>
      </c>
      <c r="C231" s="28">
        <v>5700000</v>
      </c>
      <c r="D231" s="29">
        <v>0.25</v>
      </c>
      <c r="E231" s="30">
        <v>0.1</v>
      </c>
      <c r="F231" s="31">
        <v>0.05</v>
      </c>
      <c r="G231" s="32">
        <v>310</v>
      </c>
      <c r="H231" s="54"/>
      <c r="I231" s="33" t="b">
        <v>1</v>
      </c>
      <c r="J231" s="34" t="b">
        <v>1</v>
      </c>
      <c r="K231" s="35" t="b">
        <v>1</v>
      </c>
      <c r="L231" s="27" t="s">
        <v>411</v>
      </c>
      <c r="M231" s="27" t="s">
        <v>34</v>
      </c>
      <c r="N231" s="33">
        <v>78</v>
      </c>
      <c r="O231" s="34">
        <v>31</v>
      </c>
      <c r="P231" s="35">
        <v>16</v>
      </c>
      <c r="Q231" s="28">
        <v>18387.096774193549</v>
      </c>
      <c r="R231" s="36">
        <v>1434193.548387097</v>
      </c>
      <c r="S231" s="37">
        <v>570000</v>
      </c>
      <c r="T231" s="38">
        <v>294193.54838709679</v>
      </c>
      <c r="U231" s="27" t="s">
        <v>39</v>
      </c>
    </row>
    <row r="232" spans="1:21">
      <c r="A232" s="39" t="s">
        <v>105</v>
      </c>
      <c r="B232" s="60" t="s">
        <v>416</v>
      </c>
      <c r="C232" s="40">
        <v>2000000</v>
      </c>
      <c r="D232" s="41">
        <v>0.25</v>
      </c>
      <c r="E232" s="41">
        <v>0.1</v>
      </c>
      <c r="F232" s="41">
        <v>0.05</v>
      </c>
      <c r="G232" s="42">
        <v>400</v>
      </c>
      <c r="H232" s="55" t="s">
        <v>7</v>
      </c>
      <c r="I232" s="42" t="b">
        <v>1</v>
      </c>
      <c r="J232" s="42" t="b">
        <v>1</v>
      </c>
      <c r="K232" s="42" t="b">
        <v>1</v>
      </c>
      <c r="L232" s="39" t="s">
        <v>411</v>
      </c>
      <c r="M232" s="39" t="s">
        <v>34</v>
      </c>
      <c r="N232" s="42">
        <v>100</v>
      </c>
      <c r="O232" s="42">
        <v>40</v>
      </c>
      <c r="P232" s="42">
        <v>20</v>
      </c>
      <c r="Q232" s="40">
        <v>5000</v>
      </c>
      <c r="R232" s="40">
        <v>500000</v>
      </c>
      <c r="S232" s="40">
        <v>200000</v>
      </c>
      <c r="T232" s="40">
        <v>100000</v>
      </c>
      <c r="U232" s="39" t="s">
        <v>39</v>
      </c>
    </row>
    <row r="233" spans="1:21">
      <c r="A233" s="27" t="s">
        <v>106</v>
      </c>
      <c r="B233" s="50" t="s">
        <v>417</v>
      </c>
      <c r="C233" s="28">
        <v>2760000</v>
      </c>
      <c r="D233" s="29">
        <v>0.25</v>
      </c>
      <c r="E233" s="30">
        <v>0.1</v>
      </c>
      <c r="F233" s="31">
        <v>0.05</v>
      </c>
      <c r="G233" s="32">
        <v>23</v>
      </c>
      <c r="H233" s="54"/>
      <c r="I233" s="33" t="b">
        <v>1</v>
      </c>
      <c r="J233" s="34" t="b">
        <v>1</v>
      </c>
      <c r="K233" s="35" t="b">
        <v>1</v>
      </c>
      <c r="L233" s="27" t="s">
        <v>418</v>
      </c>
      <c r="M233" s="27" t="s">
        <v>34</v>
      </c>
      <c r="N233" s="33">
        <v>6</v>
      </c>
      <c r="O233" s="34">
        <v>2</v>
      </c>
      <c r="P233" s="35">
        <v>1</v>
      </c>
      <c r="Q233" s="28">
        <v>120000</v>
      </c>
      <c r="R233" s="36">
        <v>720000</v>
      </c>
      <c r="S233" s="37">
        <v>240000</v>
      </c>
      <c r="T233" s="38">
        <v>120000</v>
      </c>
      <c r="U233" s="27" t="s">
        <v>37</v>
      </c>
    </row>
    <row r="234" spans="1:21">
      <c r="A234" s="27" t="s">
        <v>106</v>
      </c>
      <c r="B234" s="50" t="s">
        <v>419</v>
      </c>
      <c r="C234" s="28">
        <v>488000</v>
      </c>
      <c r="D234" s="29">
        <v>0</v>
      </c>
      <c r="E234" s="30">
        <v>0</v>
      </c>
      <c r="F234" s="31">
        <v>0</v>
      </c>
      <c r="G234" s="32">
        <v>1</v>
      </c>
      <c r="H234" s="54"/>
      <c r="I234" s="33" t="b">
        <v>1</v>
      </c>
      <c r="J234" s="34" t="b">
        <v>1</v>
      </c>
      <c r="K234" s="35" t="b">
        <v>1</v>
      </c>
      <c r="L234" s="27" t="s">
        <v>418</v>
      </c>
      <c r="M234" s="27" t="s">
        <v>34</v>
      </c>
      <c r="N234" s="33">
        <v>0</v>
      </c>
      <c r="O234" s="34">
        <v>0</v>
      </c>
      <c r="P234" s="35">
        <v>0</v>
      </c>
      <c r="Q234" s="28">
        <v>488000</v>
      </c>
      <c r="R234" s="36">
        <v>0</v>
      </c>
      <c r="S234" s="37">
        <v>0</v>
      </c>
      <c r="T234" s="38">
        <v>0</v>
      </c>
      <c r="U234" s="27" t="s">
        <v>37</v>
      </c>
    </row>
    <row r="235" spans="1:21">
      <c r="A235" s="27" t="s">
        <v>106</v>
      </c>
      <c r="B235" s="50" t="s">
        <v>420</v>
      </c>
      <c r="C235" s="28">
        <v>1000000</v>
      </c>
      <c r="D235" s="29">
        <v>0.25</v>
      </c>
      <c r="E235" s="30">
        <v>0.1</v>
      </c>
      <c r="F235" s="31">
        <v>0.05</v>
      </c>
      <c r="G235" s="32">
        <v>10</v>
      </c>
      <c r="H235" s="54"/>
      <c r="I235" s="33" t="b">
        <v>1</v>
      </c>
      <c r="J235" s="34" t="b">
        <v>1</v>
      </c>
      <c r="K235" s="35" t="b">
        <v>1</v>
      </c>
      <c r="L235" s="27" t="s">
        <v>418</v>
      </c>
      <c r="M235" s="27" t="s">
        <v>34</v>
      </c>
      <c r="N235" s="33">
        <v>2</v>
      </c>
      <c r="O235" s="34">
        <v>1</v>
      </c>
      <c r="P235" s="35">
        <v>0</v>
      </c>
      <c r="Q235" s="28">
        <v>100000</v>
      </c>
      <c r="R235" s="36">
        <v>200000</v>
      </c>
      <c r="S235" s="37">
        <v>100000</v>
      </c>
      <c r="T235" s="38">
        <v>0</v>
      </c>
      <c r="U235" s="27" t="s">
        <v>38</v>
      </c>
    </row>
    <row r="236" spans="1:21">
      <c r="A236" s="27" t="s">
        <v>106</v>
      </c>
      <c r="B236" s="50" t="s">
        <v>421</v>
      </c>
      <c r="C236" s="28">
        <v>640000</v>
      </c>
      <c r="D236" s="29">
        <v>0.25</v>
      </c>
      <c r="E236" s="30">
        <v>0.1</v>
      </c>
      <c r="F236" s="31">
        <v>0.05</v>
      </c>
      <c r="G236" s="32">
        <v>8</v>
      </c>
      <c r="H236" s="54"/>
      <c r="I236" s="33" t="b">
        <v>1</v>
      </c>
      <c r="J236" s="34" t="b">
        <v>1</v>
      </c>
      <c r="K236" s="35" t="b">
        <v>1</v>
      </c>
      <c r="L236" s="27" t="s">
        <v>418</v>
      </c>
      <c r="M236" s="27" t="s">
        <v>34</v>
      </c>
      <c r="N236" s="33">
        <v>2</v>
      </c>
      <c r="O236" s="34">
        <v>1</v>
      </c>
      <c r="P236" s="35">
        <v>0</v>
      </c>
      <c r="Q236" s="28">
        <v>80000</v>
      </c>
      <c r="R236" s="36">
        <v>160000</v>
      </c>
      <c r="S236" s="37">
        <v>80000</v>
      </c>
      <c r="T236" s="38">
        <v>0</v>
      </c>
      <c r="U236" s="27" t="s">
        <v>38</v>
      </c>
    </row>
    <row r="237" spans="1:21">
      <c r="A237" s="27" t="s">
        <v>106</v>
      </c>
      <c r="B237" s="50" t="s">
        <v>422</v>
      </c>
      <c r="C237" s="28">
        <v>4500000</v>
      </c>
      <c r="D237" s="29">
        <v>0.25</v>
      </c>
      <c r="E237" s="30">
        <v>0.1</v>
      </c>
      <c r="F237" s="31">
        <v>0.05</v>
      </c>
      <c r="G237" s="32">
        <v>53</v>
      </c>
      <c r="H237" s="54"/>
      <c r="I237" s="33" t="b">
        <v>1</v>
      </c>
      <c r="J237" s="34" t="b">
        <v>1</v>
      </c>
      <c r="K237" s="35" t="b">
        <v>1</v>
      </c>
      <c r="L237" s="27" t="s">
        <v>418</v>
      </c>
      <c r="M237" s="27" t="s">
        <v>34</v>
      </c>
      <c r="N237" s="33">
        <v>13</v>
      </c>
      <c r="O237" s="34">
        <v>5</v>
      </c>
      <c r="P237" s="35">
        <v>3</v>
      </c>
      <c r="Q237" s="28">
        <v>84905.660377358494</v>
      </c>
      <c r="R237" s="36">
        <v>1103773.58490566</v>
      </c>
      <c r="S237" s="37">
        <v>424528.30188679253</v>
      </c>
      <c r="T237" s="38">
        <v>254716.98113207551</v>
      </c>
      <c r="U237" s="27" t="s">
        <v>38</v>
      </c>
    </row>
    <row r="238" spans="1:21">
      <c r="A238" s="27" t="s">
        <v>106</v>
      </c>
      <c r="B238" s="50" t="s">
        <v>423</v>
      </c>
      <c r="C238" s="28">
        <v>7300000</v>
      </c>
      <c r="D238" s="29">
        <v>0.21</v>
      </c>
      <c r="E238" s="30">
        <v>0.1</v>
      </c>
      <c r="F238" s="31">
        <v>0.05</v>
      </c>
      <c r="G238" s="32">
        <v>100</v>
      </c>
      <c r="H238" s="54"/>
      <c r="I238" s="33" t="b">
        <v>1</v>
      </c>
      <c r="J238" s="34" t="b">
        <v>1</v>
      </c>
      <c r="K238" s="35" t="b">
        <v>1</v>
      </c>
      <c r="L238" s="27" t="s">
        <v>418</v>
      </c>
      <c r="M238" s="27" t="s">
        <v>34</v>
      </c>
      <c r="N238" s="33">
        <v>21</v>
      </c>
      <c r="O238" s="34">
        <v>10</v>
      </c>
      <c r="P238" s="35">
        <v>5</v>
      </c>
      <c r="Q238" s="28">
        <v>73000</v>
      </c>
      <c r="R238" s="36">
        <v>1533000</v>
      </c>
      <c r="S238" s="37">
        <v>730000</v>
      </c>
      <c r="T238" s="38">
        <v>365000</v>
      </c>
      <c r="U238" s="27" t="s">
        <v>38</v>
      </c>
    </row>
    <row r="239" spans="1:21">
      <c r="A239" s="27" t="s">
        <v>106</v>
      </c>
      <c r="B239" s="50" t="s">
        <v>424</v>
      </c>
      <c r="C239" s="28">
        <v>1400000</v>
      </c>
      <c r="D239" s="29">
        <v>0.25</v>
      </c>
      <c r="E239" s="30">
        <v>0.1</v>
      </c>
      <c r="F239" s="31">
        <v>0.05</v>
      </c>
      <c r="G239" s="32">
        <v>23</v>
      </c>
      <c r="H239" s="54"/>
      <c r="I239" s="33" t="b">
        <v>1</v>
      </c>
      <c r="J239" s="34" t="b">
        <v>1</v>
      </c>
      <c r="K239" s="35" t="b">
        <v>1</v>
      </c>
      <c r="L239" s="27" t="s">
        <v>418</v>
      </c>
      <c r="M239" s="27" t="s">
        <v>34</v>
      </c>
      <c r="N239" s="33">
        <v>6</v>
      </c>
      <c r="O239" s="34">
        <v>2</v>
      </c>
      <c r="P239" s="35">
        <v>1</v>
      </c>
      <c r="Q239" s="28">
        <v>60869.565217391297</v>
      </c>
      <c r="R239" s="36">
        <v>365217.39130434778</v>
      </c>
      <c r="S239" s="37">
        <v>121739.13043478259</v>
      </c>
      <c r="T239" s="38">
        <v>60869.565217391297</v>
      </c>
      <c r="U239" s="27" t="s">
        <v>38</v>
      </c>
    </row>
    <row r="240" spans="1:21">
      <c r="A240" s="27" t="s">
        <v>106</v>
      </c>
      <c r="B240" s="50" t="s">
        <v>425</v>
      </c>
      <c r="C240" s="28">
        <v>360000</v>
      </c>
      <c r="D240" s="29">
        <v>0.25</v>
      </c>
      <c r="E240" s="30">
        <v>0.1</v>
      </c>
      <c r="F240" s="31">
        <v>0.05</v>
      </c>
      <c r="G240" s="32">
        <v>12</v>
      </c>
      <c r="H240" s="54"/>
      <c r="I240" s="33" t="b">
        <v>1</v>
      </c>
      <c r="J240" s="34" t="b">
        <v>1</v>
      </c>
      <c r="K240" s="35" t="b">
        <v>1</v>
      </c>
      <c r="L240" s="27" t="s">
        <v>418</v>
      </c>
      <c r="M240" s="27" t="s">
        <v>34</v>
      </c>
      <c r="N240" s="33">
        <v>3</v>
      </c>
      <c r="O240" s="34">
        <v>1</v>
      </c>
      <c r="P240" s="35">
        <v>1</v>
      </c>
      <c r="Q240" s="28">
        <v>30000</v>
      </c>
      <c r="R240" s="36">
        <v>90000</v>
      </c>
      <c r="S240" s="37">
        <v>30000</v>
      </c>
      <c r="T240" s="38">
        <v>30000</v>
      </c>
      <c r="U240" s="27" t="s">
        <v>39</v>
      </c>
    </row>
    <row r="241" spans="1:21">
      <c r="A241" s="27" t="s">
        <v>107</v>
      </c>
      <c r="B241" s="50" t="s">
        <v>426</v>
      </c>
      <c r="C241" s="28">
        <v>600000</v>
      </c>
      <c r="D241" s="29">
        <v>0.25</v>
      </c>
      <c r="E241" s="30">
        <v>0.1</v>
      </c>
      <c r="F241" s="31">
        <v>0.05</v>
      </c>
      <c r="G241" s="32">
        <v>32</v>
      </c>
      <c r="H241" s="54"/>
      <c r="I241" s="33" t="b">
        <v>1</v>
      </c>
      <c r="J241" s="34" t="b">
        <v>1</v>
      </c>
      <c r="K241" s="35" t="b">
        <v>1</v>
      </c>
      <c r="L241" s="27" t="s">
        <v>427</v>
      </c>
      <c r="M241" s="27" t="s">
        <v>34</v>
      </c>
      <c r="N241" s="33">
        <v>8</v>
      </c>
      <c r="O241" s="34">
        <v>3</v>
      </c>
      <c r="P241" s="35">
        <v>2</v>
      </c>
      <c r="Q241" s="28">
        <v>18750</v>
      </c>
      <c r="R241" s="36">
        <v>150000</v>
      </c>
      <c r="S241" s="37">
        <v>56250</v>
      </c>
      <c r="T241" s="38">
        <v>37500</v>
      </c>
      <c r="U241" s="27" t="s">
        <v>36</v>
      </c>
    </row>
    <row r="242" spans="1:21">
      <c r="A242" s="27" t="s">
        <v>107</v>
      </c>
      <c r="B242" s="50" t="s">
        <v>428</v>
      </c>
      <c r="C242" s="28">
        <v>2428000</v>
      </c>
      <c r="D242" s="29">
        <v>0.25</v>
      </c>
      <c r="E242" s="30">
        <v>0.15</v>
      </c>
      <c r="F242" s="31">
        <v>7.4999999999999997E-2</v>
      </c>
      <c r="G242" s="32">
        <v>40</v>
      </c>
      <c r="H242" s="54"/>
      <c r="I242" s="33" t="b">
        <v>1</v>
      </c>
      <c r="J242" s="34" t="b">
        <v>1</v>
      </c>
      <c r="K242" s="35" t="b">
        <v>1</v>
      </c>
      <c r="L242" s="27" t="s">
        <v>427</v>
      </c>
      <c r="M242" s="27" t="s">
        <v>34</v>
      </c>
      <c r="N242" s="33">
        <v>10</v>
      </c>
      <c r="O242" s="34">
        <v>6</v>
      </c>
      <c r="P242" s="35">
        <v>3</v>
      </c>
      <c r="Q242" s="28">
        <v>60700</v>
      </c>
      <c r="R242" s="36">
        <v>607000</v>
      </c>
      <c r="S242" s="37">
        <v>364200</v>
      </c>
      <c r="T242" s="38">
        <v>182100</v>
      </c>
      <c r="U242" s="27" t="s">
        <v>37</v>
      </c>
    </row>
    <row r="243" spans="1:21">
      <c r="A243" s="27" t="s">
        <v>107</v>
      </c>
      <c r="B243" s="50" t="s">
        <v>429</v>
      </c>
      <c r="C243" s="28">
        <v>600000</v>
      </c>
      <c r="D243" s="29">
        <v>0.25</v>
      </c>
      <c r="E243" s="30">
        <v>0.1</v>
      </c>
      <c r="F243" s="31">
        <v>0.05</v>
      </c>
      <c r="G243" s="32">
        <v>2</v>
      </c>
      <c r="H243" s="54"/>
      <c r="I243" s="33" t="b">
        <v>1</v>
      </c>
      <c r="J243" s="34" t="b">
        <v>1</v>
      </c>
      <c r="K243" s="35" t="b">
        <v>1</v>
      </c>
      <c r="L243" s="27" t="s">
        <v>427</v>
      </c>
      <c r="M243" s="27" t="s">
        <v>34</v>
      </c>
      <c r="N243" s="33">
        <v>0</v>
      </c>
      <c r="O243" s="34">
        <v>0</v>
      </c>
      <c r="P243" s="35">
        <v>0</v>
      </c>
      <c r="Q243" s="28">
        <v>300000</v>
      </c>
      <c r="R243" s="36">
        <v>0</v>
      </c>
      <c r="S243" s="37">
        <v>0</v>
      </c>
      <c r="T243" s="38">
        <v>0</v>
      </c>
      <c r="U243" s="27" t="s">
        <v>37</v>
      </c>
    </row>
    <row r="244" spans="1:21">
      <c r="A244" s="27" t="s">
        <v>107</v>
      </c>
      <c r="B244" s="50" t="s">
        <v>430</v>
      </c>
      <c r="C244" s="28">
        <v>400000</v>
      </c>
      <c r="D244" s="29">
        <v>0.25</v>
      </c>
      <c r="E244" s="30">
        <v>0.1</v>
      </c>
      <c r="F244" s="31">
        <v>0.05</v>
      </c>
      <c r="G244" s="32">
        <v>4</v>
      </c>
      <c r="H244" s="54"/>
      <c r="I244" s="33" t="b">
        <v>1</v>
      </c>
      <c r="J244" s="34" t="b">
        <v>1</v>
      </c>
      <c r="K244" s="35" t="b">
        <v>1</v>
      </c>
      <c r="L244" s="27" t="s">
        <v>427</v>
      </c>
      <c r="M244" s="27" t="s">
        <v>34</v>
      </c>
      <c r="N244" s="33">
        <v>1</v>
      </c>
      <c r="O244" s="34">
        <v>0</v>
      </c>
      <c r="P244" s="35">
        <v>0</v>
      </c>
      <c r="Q244" s="28">
        <v>100000</v>
      </c>
      <c r="R244" s="36">
        <v>100000</v>
      </c>
      <c r="S244" s="37">
        <v>0</v>
      </c>
      <c r="T244" s="38">
        <v>0</v>
      </c>
      <c r="U244" s="27" t="s">
        <v>38</v>
      </c>
    </row>
    <row r="245" spans="1:21">
      <c r="A245" s="27" t="s">
        <v>107</v>
      </c>
      <c r="B245" s="50" t="s">
        <v>431</v>
      </c>
      <c r="C245" s="28">
        <v>1000000</v>
      </c>
      <c r="D245" s="29">
        <v>0.2</v>
      </c>
      <c r="E245" s="30">
        <v>0.1</v>
      </c>
      <c r="F245" s="31">
        <v>0.05</v>
      </c>
      <c r="G245" s="32"/>
      <c r="H245" s="54"/>
      <c r="I245" s="33" t="b">
        <v>0</v>
      </c>
      <c r="J245" s="34" t="b">
        <v>1</v>
      </c>
      <c r="K245" s="35" t="b">
        <v>1</v>
      </c>
      <c r="L245" s="27" t="s">
        <v>427</v>
      </c>
      <c r="M245" s="27" t="s">
        <v>34</v>
      </c>
      <c r="N245" s="33"/>
      <c r="O245" s="34"/>
      <c r="P245" s="35"/>
      <c r="Q245" s="28"/>
      <c r="R245" s="36">
        <v>200000</v>
      </c>
      <c r="S245" s="37">
        <v>100000</v>
      </c>
      <c r="T245" s="38">
        <v>50000</v>
      </c>
      <c r="U245" s="27" t="s">
        <v>38</v>
      </c>
    </row>
    <row r="246" spans="1:21">
      <c r="A246" s="27" t="s">
        <v>107</v>
      </c>
      <c r="B246" s="50" t="s">
        <v>432</v>
      </c>
      <c r="C246" s="28">
        <v>750000</v>
      </c>
      <c r="D246" s="29">
        <v>0.25</v>
      </c>
      <c r="E246" s="30">
        <v>0.1</v>
      </c>
      <c r="F246" s="31">
        <v>0.05</v>
      </c>
      <c r="G246" s="32">
        <v>50</v>
      </c>
      <c r="H246" s="54"/>
      <c r="I246" s="33" t="b">
        <v>1</v>
      </c>
      <c r="J246" s="34" t="b">
        <v>1</v>
      </c>
      <c r="K246" s="35" t="b">
        <v>1</v>
      </c>
      <c r="L246" s="27" t="s">
        <v>427</v>
      </c>
      <c r="M246" s="27" t="s">
        <v>34</v>
      </c>
      <c r="N246" s="33">
        <v>12</v>
      </c>
      <c r="O246" s="34">
        <v>5</v>
      </c>
      <c r="P246" s="35">
        <v>2</v>
      </c>
      <c r="Q246" s="28">
        <v>15000</v>
      </c>
      <c r="R246" s="36">
        <v>180000</v>
      </c>
      <c r="S246" s="37">
        <v>75000</v>
      </c>
      <c r="T246" s="38">
        <v>30000</v>
      </c>
      <c r="U246" s="27" t="s">
        <v>38</v>
      </c>
    </row>
    <row r="247" spans="1:21">
      <c r="A247" s="27" t="s">
        <v>107</v>
      </c>
      <c r="B247" s="50" t="s">
        <v>433</v>
      </c>
      <c r="C247" s="28">
        <v>500000</v>
      </c>
      <c r="D247" s="29">
        <v>0.25</v>
      </c>
      <c r="E247" s="30">
        <v>0.1</v>
      </c>
      <c r="F247" s="31">
        <v>0.05</v>
      </c>
      <c r="G247" s="32">
        <v>39</v>
      </c>
      <c r="H247" s="54"/>
      <c r="I247" s="33" t="b">
        <v>1</v>
      </c>
      <c r="J247" s="34" t="b">
        <v>1</v>
      </c>
      <c r="K247" s="35" t="b">
        <v>1</v>
      </c>
      <c r="L247" s="27" t="s">
        <v>427</v>
      </c>
      <c r="M247" s="27" t="s">
        <v>34</v>
      </c>
      <c r="N247" s="33">
        <v>10</v>
      </c>
      <c r="O247" s="34">
        <v>4</v>
      </c>
      <c r="P247" s="35">
        <v>2</v>
      </c>
      <c r="Q247" s="28">
        <v>12820.51282051282</v>
      </c>
      <c r="R247" s="36">
        <v>128205.1282051282</v>
      </c>
      <c r="S247" s="37">
        <v>51282.051282051281</v>
      </c>
      <c r="T247" s="38">
        <v>25641.025641025641</v>
      </c>
      <c r="U247" s="27" t="s">
        <v>38</v>
      </c>
    </row>
    <row r="248" spans="1:21">
      <c r="A248" s="39" t="s">
        <v>107</v>
      </c>
      <c r="B248" s="46" t="s">
        <v>434</v>
      </c>
      <c r="C248" s="40">
        <v>700000</v>
      </c>
      <c r="D248" s="41">
        <v>0.25</v>
      </c>
      <c r="E248" s="41">
        <v>0.1</v>
      </c>
      <c r="F248" s="41">
        <v>0.05</v>
      </c>
      <c r="G248" s="42">
        <v>32</v>
      </c>
      <c r="H248" s="55" t="s">
        <v>12</v>
      </c>
      <c r="I248" s="42" t="b">
        <v>1</v>
      </c>
      <c r="J248" s="42" t="b">
        <v>1</v>
      </c>
      <c r="K248" s="42" t="b">
        <v>1</v>
      </c>
      <c r="L248" s="39" t="s">
        <v>427</v>
      </c>
      <c r="M248" s="39" t="s">
        <v>34</v>
      </c>
      <c r="N248" s="42">
        <v>8</v>
      </c>
      <c r="O248" s="42">
        <v>3</v>
      </c>
      <c r="P248" s="42">
        <v>2</v>
      </c>
      <c r="Q248" s="40">
        <v>21875</v>
      </c>
      <c r="R248" s="40">
        <v>175000</v>
      </c>
      <c r="S248" s="40">
        <v>65625</v>
      </c>
      <c r="T248" s="40">
        <v>43750</v>
      </c>
      <c r="U248" s="39" t="s">
        <v>38</v>
      </c>
    </row>
    <row r="249" spans="1:21">
      <c r="A249" s="27" t="s">
        <v>107</v>
      </c>
      <c r="B249" s="50" t="s">
        <v>435</v>
      </c>
      <c r="C249" s="28">
        <v>300000</v>
      </c>
      <c r="D249" s="29">
        <v>0.25</v>
      </c>
      <c r="E249" s="30">
        <v>0.1</v>
      </c>
      <c r="F249" s="31">
        <v>0.05</v>
      </c>
      <c r="G249" s="32">
        <v>90</v>
      </c>
      <c r="H249" s="54"/>
      <c r="I249" s="33" t="b">
        <v>1</v>
      </c>
      <c r="J249" s="34" t="b">
        <v>1</v>
      </c>
      <c r="K249" s="35" t="b">
        <v>1</v>
      </c>
      <c r="L249" s="27" t="s">
        <v>427</v>
      </c>
      <c r="M249" s="27" t="s">
        <v>34</v>
      </c>
      <c r="N249" s="33">
        <v>22</v>
      </c>
      <c r="O249" s="34">
        <v>9</v>
      </c>
      <c r="P249" s="35">
        <v>4</v>
      </c>
      <c r="Q249" s="28">
        <v>3333.333333333333</v>
      </c>
      <c r="R249" s="36">
        <v>73333.333333333343</v>
      </c>
      <c r="S249" s="37">
        <v>30000</v>
      </c>
      <c r="T249" s="38">
        <v>13333.33333333333</v>
      </c>
      <c r="U249" s="27" t="s">
        <v>38</v>
      </c>
    </row>
    <row r="250" spans="1:21">
      <c r="A250" s="27" t="s">
        <v>107</v>
      </c>
      <c r="B250" s="50" t="s">
        <v>436</v>
      </c>
      <c r="C250" s="28">
        <v>2100000</v>
      </c>
      <c r="D250" s="29">
        <v>0.25</v>
      </c>
      <c r="E250" s="30">
        <v>0.1</v>
      </c>
      <c r="F250" s="31">
        <v>0.05</v>
      </c>
      <c r="G250" s="32">
        <v>7</v>
      </c>
      <c r="H250" s="54"/>
      <c r="I250" s="33" t="b">
        <v>1</v>
      </c>
      <c r="J250" s="34" t="b">
        <v>1</v>
      </c>
      <c r="K250" s="35" t="b">
        <v>1</v>
      </c>
      <c r="L250" s="27" t="s">
        <v>427</v>
      </c>
      <c r="M250" s="27" t="s">
        <v>34</v>
      </c>
      <c r="N250" s="33">
        <v>2</v>
      </c>
      <c r="O250" s="34">
        <v>1</v>
      </c>
      <c r="P250" s="35">
        <v>0</v>
      </c>
      <c r="Q250" s="28">
        <v>300000</v>
      </c>
      <c r="R250" s="36">
        <v>600000</v>
      </c>
      <c r="S250" s="37">
        <v>300000</v>
      </c>
      <c r="T250" s="38">
        <v>0</v>
      </c>
      <c r="U250" s="27" t="s">
        <v>38</v>
      </c>
    </row>
    <row r="251" spans="1:21">
      <c r="A251" s="39" t="s">
        <v>107</v>
      </c>
      <c r="B251" s="46" t="s">
        <v>437</v>
      </c>
      <c r="C251" s="40">
        <v>400000</v>
      </c>
      <c r="D251" s="41">
        <v>0.25</v>
      </c>
      <c r="E251" s="41">
        <v>0.1</v>
      </c>
      <c r="F251" s="41">
        <v>0.05</v>
      </c>
      <c r="G251" s="42">
        <v>40</v>
      </c>
      <c r="H251" s="55" t="s">
        <v>348</v>
      </c>
      <c r="I251" s="42" t="b">
        <v>1</v>
      </c>
      <c r="J251" s="42" t="b">
        <v>1</v>
      </c>
      <c r="K251" s="42" t="b">
        <v>1</v>
      </c>
      <c r="L251" s="39" t="s">
        <v>427</v>
      </c>
      <c r="M251" s="39" t="s">
        <v>34</v>
      </c>
      <c r="N251" s="42">
        <v>10</v>
      </c>
      <c r="O251" s="42">
        <v>4</v>
      </c>
      <c r="P251" s="42">
        <v>2</v>
      </c>
      <c r="Q251" s="40">
        <v>10000</v>
      </c>
      <c r="R251" s="40">
        <v>100000</v>
      </c>
      <c r="S251" s="40">
        <v>40000</v>
      </c>
      <c r="T251" s="40">
        <v>20000</v>
      </c>
      <c r="U251" s="39" t="s">
        <v>38</v>
      </c>
    </row>
    <row r="252" spans="1:21">
      <c r="A252" s="27" t="s">
        <v>107</v>
      </c>
      <c r="B252" s="50" t="s">
        <v>438</v>
      </c>
      <c r="C252" s="28">
        <v>200000</v>
      </c>
      <c r="D252" s="29">
        <v>0.25</v>
      </c>
      <c r="E252" s="30">
        <v>0.1</v>
      </c>
      <c r="F252" s="31">
        <v>0.05</v>
      </c>
      <c r="G252" s="32">
        <v>12</v>
      </c>
      <c r="H252" s="54"/>
      <c r="I252" s="33" t="b">
        <v>1</v>
      </c>
      <c r="J252" s="34" t="b">
        <v>1</v>
      </c>
      <c r="K252" s="35" t="b">
        <v>1</v>
      </c>
      <c r="L252" s="27" t="s">
        <v>427</v>
      </c>
      <c r="M252" s="27" t="s">
        <v>34</v>
      </c>
      <c r="N252" s="33">
        <v>3</v>
      </c>
      <c r="O252" s="34">
        <v>1</v>
      </c>
      <c r="P252" s="35">
        <v>1</v>
      </c>
      <c r="Q252" s="28">
        <v>16666.666666666672</v>
      </c>
      <c r="R252" s="36">
        <v>50000</v>
      </c>
      <c r="S252" s="37">
        <v>16666.666666666672</v>
      </c>
      <c r="T252" s="38">
        <v>16666.666666666672</v>
      </c>
      <c r="U252" s="27" t="s">
        <v>38</v>
      </c>
    </row>
    <row r="253" spans="1:21">
      <c r="A253" s="27" t="s">
        <v>107</v>
      </c>
      <c r="B253" s="50" t="s">
        <v>439</v>
      </c>
      <c r="C253" s="28">
        <v>300000</v>
      </c>
      <c r="D253" s="29">
        <v>0.2</v>
      </c>
      <c r="E253" s="30">
        <v>0.1</v>
      </c>
      <c r="F253" s="31">
        <v>0.06</v>
      </c>
      <c r="G253" s="32">
        <v>30</v>
      </c>
      <c r="H253" s="54"/>
      <c r="I253" s="33" t="b">
        <v>0</v>
      </c>
      <c r="J253" s="34" t="b">
        <v>1</v>
      </c>
      <c r="K253" s="35" t="b">
        <v>1</v>
      </c>
      <c r="L253" s="27" t="s">
        <v>427</v>
      </c>
      <c r="M253" s="27" t="s">
        <v>34</v>
      </c>
      <c r="N253" s="33">
        <v>6</v>
      </c>
      <c r="O253" s="34">
        <v>3</v>
      </c>
      <c r="P253" s="35">
        <v>2</v>
      </c>
      <c r="Q253" s="28">
        <v>10000</v>
      </c>
      <c r="R253" s="36">
        <v>60000</v>
      </c>
      <c r="S253" s="37">
        <v>30000</v>
      </c>
      <c r="T253" s="38">
        <v>20000</v>
      </c>
      <c r="U253" s="27" t="s">
        <v>38</v>
      </c>
    </row>
    <row r="254" spans="1:21">
      <c r="A254" s="39" t="s">
        <v>107</v>
      </c>
      <c r="B254" s="46" t="s">
        <v>440</v>
      </c>
      <c r="C254" s="40">
        <v>600000</v>
      </c>
      <c r="D254" s="41">
        <v>0.25</v>
      </c>
      <c r="E254" s="41">
        <v>0.1</v>
      </c>
      <c r="F254" s="41">
        <v>0.05</v>
      </c>
      <c r="G254" s="42"/>
      <c r="H254" s="55" t="s">
        <v>8</v>
      </c>
      <c r="I254" s="42" t="b">
        <v>1</v>
      </c>
      <c r="J254" s="42" t="b">
        <v>1</v>
      </c>
      <c r="K254" s="42" t="b">
        <v>1</v>
      </c>
      <c r="L254" s="39" t="s">
        <v>427</v>
      </c>
      <c r="M254" s="39" t="s">
        <v>34</v>
      </c>
      <c r="N254" s="42"/>
      <c r="O254" s="42"/>
      <c r="P254" s="42"/>
      <c r="Q254" s="40"/>
      <c r="R254" s="40">
        <v>150000</v>
      </c>
      <c r="S254" s="40">
        <v>60000</v>
      </c>
      <c r="T254" s="40">
        <v>30000</v>
      </c>
      <c r="U254" s="39" t="s">
        <v>38</v>
      </c>
    </row>
    <row r="255" spans="1:21">
      <c r="A255" s="27" t="s">
        <v>107</v>
      </c>
      <c r="B255" s="50" t="s">
        <v>441</v>
      </c>
      <c r="C255" s="28">
        <v>300000</v>
      </c>
      <c r="D255" s="29">
        <v>0.2</v>
      </c>
      <c r="E255" s="30">
        <v>0.2</v>
      </c>
      <c r="F255" s="31">
        <v>0.16669999999999999</v>
      </c>
      <c r="G255" s="32">
        <v>30</v>
      </c>
      <c r="H255" s="54"/>
      <c r="I255" s="33" t="b">
        <v>0</v>
      </c>
      <c r="J255" s="34" t="b">
        <v>1</v>
      </c>
      <c r="K255" s="35" t="b">
        <v>1</v>
      </c>
      <c r="L255" s="27" t="s">
        <v>427</v>
      </c>
      <c r="M255" s="27" t="s">
        <v>34</v>
      </c>
      <c r="N255" s="33">
        <v>6</v>
      </c>
      <c r="O255" s="34">
        <v>6</v>
      </c>
      <c r="P255" s="35">
        <v>5</v>
      </c>
      <c r="Q255" s="28">
        <v>10000</v>
      </c>
      <c r="R255" s="36">
        <v>60000</v>
      </c>
      <c r="S255" s="37">
        <v>60000</v>
      </c>
      <c r="T255" s="38">
        <v>50000</v>
      </c>
      <c r="U255" s="27" t="s">
        <v>38</v>
      </c>
    </row>
    <row r="256" spans="1:21">
      <c r="A256" s="27" t="s">
        <v>107</v>
      </c>
      <c r="B256" s="50" t="s">
        <v>442</v>
      </c>
      <c r="C256" s="28">
        <v>650000</v>
      </c>
      <c r="D256" s="29">
        <v>0.25</v>
      </c>
      <c r="E256" s="30">
        <v>0.2</v>
      </c>
      <c r="F256" s="31">
        <v>0.05</v>
      </c>
      <c r="G256" s="32">
        <v>130</v>
      </c>
      <c r="H256" s="54"/>
      <c r="I256" s="33" t="b">
        <v>1</v>
      </c>
      <c r="J256" s="34" t="b">
        <v>1</v>
      </c>
      <c r="K256" s="35" t="b">
        <v>1</v>
      </c>
      <c r="L256" s="27" t="s">
        <v>427</v>
      </c>
      <c r="M256" s="27" t="s">
        <v>34</v>
      </c>
      <c r="N256" s="33">
        <v>32</v>
      </c>
      <c r="O256" s="34">
        <v>26</v>
      </c>
      <c r="P256" s="35">
        <v>6</v>
      </c>
      <c r="Q256" s="28">
        <v>5000</v>
      </c>
      <c r="R256" s="36">
        <v>160000</v>
      </c>
      <c r="S256" s="37">
        <v>130000</v>
      </c>
      <c r="T256" s="38">
        <v>30000</v>
      </c>
      <c r="U256" s="27" t="s">
        <v>38</v>
      </c>
    </row>
    <row r="257" spans="1:21">
      <c r="A257" s="27" t="s">
        <v>107</v>
      </c>
      <c r="B257" s="50" t="s">
        <v>443</v>
      </c>
      <c r="C257" s="28">
        <v>900000</v>
      </c>
      <c r="D257" s="29">
        <v>0.25</v>
      </c>
      <c r="E257" s="30">
        <v>0.1</v>
      </c>
      <c r="F257" s="31">
        <v>0.05</v>
      </c>
      <c r="G257" s="32"/>
      <c r="H257" s="54"/>
      <c r="I257" s="33" t="b">
        <v>1</v>
      </c>
      <c r="J257" s="34" t="b">
        <v>1</v>
      </c>
      <c r="K257" s="35" t="b">
        <v>1</v>
      </c>
      <c r="L257" s="27" t="s">
        <v>427</v>
      </c>
      <c r="M257" s="27" t="s">
        <v>34</v>
      </c>
      <c r="N257" s="33"/>
      <c r="O257" s="34"/>
      <c r="P257" s="35"/>
      <c r="Q257" s="28"/>
      <c r="R257" s="36">
        <v>225000</v>
      </c>
      <c r="S257" s="37">
        <v>90000</v>
      </c>
      <c r="T257" s="38">
        <v>45000</v>
      </c>
      <c r="U257" s="27" t="s">
        <v>38</v>
      </c>
    </row>
    <row r="258" spans="1:21">
      <c r="A258" s="27" t="s">
        <v>107</v>
      </c>
      <c r="B258" s="50" t="s">
        <v>444</v>
      </c>
      <c r="C258" s="28">
        <v>300000</v>
      </c>
      <c r="D258" s="29">
        <v>0.23</v>
      </c>
      <c r="E258" s="30">
        <v>0.23</v>
      </c>
      <c r="F258" s="31">
        <v>0.03</v>
      </c>
      <c r="G258" s="32">
        <v>30</v>
      </c>
      <c r="H258" s="54"/>
      <c r="I258" s="33" t="b">
        <v>0</v>
      </c>
      <c r="J258" s="34" t="b">
        <v>1</v>
      </c>
      <c r="K258" s="35" t="b">
        <v>0</v>
      </c>
      <c r="L258" s="27" t="s">
        <v>427</v>
      </c>
      <c r="M258" s="27" t="s">
        <v>34</v>
      </c>
      <c r="N258" s="33">
        <v>7</v>
      </c>
      <c r="O258" s="34">
        <v>7</v>
      </c>
      <c r="P258" s="35">
        <v>1</v>
      </c>
      <c r="Q258" s="28">
        <v>10000</v>
      </c>
      <c r="R258" s="36">
        <v>70000</v>
      </c>
      <c r="S258" s="37">
        <v>70000</v>
      </c>
      <c r="T258" s="38">
        <v>10000</v>
      </c>
      <c r="U258" s="27" t="s">
        <v>38</v>
      </c>
    </row>
    <row r="259" spans="1:21">
      <c r="A259" s="39" t="s">
        <v>107</v>
      </c>
      <c r="B259" s="39" t="s">
        <v>445</v>
      </c>
      <c r="C259" s="40">
        <v>1500000</v>
      </c>
      <c r="D259" s="41">
        <v>0.25</v>
      </c>
      <c r="E259" s="41">
        <v>0.1</v>
      </c>
      <c r="F259" s="41">
        <v>0.05</v>
      </c>
      <c r="G259" s="42">
        <v>20</v>
      </c>
      <c r="H259" s="54"/>
      <c r="I259" s="42" t="b">
        <v>1</v>
      </c>
      <c r="J259" s="42" t="b">
        <v>1</v>
      </c>
      <c r="K259" s="42" t="b">
        <v>1</v>
      </c>
      <c r="L259" s="39" t="s">
        <v>427</v>
      </c>
      <c r="M259" s="39" t="s">
        <v>34</v>
      </c>
      <c r="N259" s="42">
        <v>5</v>
      </c>
      <c r="O259" s="42">
        <v>2</v>
      </c>
      <c r="P259" s="42">
        <v>1</v>
      </c>
      <c r="Q259" s="40">
        <v>75000</v>
      </c>
      <c r="R259" s="40">
        <v>375000</v>
      </c>
      <c r="S259" s="40">
        <v>150000</v>
      </c>
      <c r="T259" s="40">
        <v>75000</v>
      </c>
      <c r="U259" s="39" t="s">
        <v>38</v>
      </c>
    </row>
    <row r="260" spans="1:21">
      <c r="A260" s="27" t="s">
        <v>107</v>
      </c>
      <c r="B260" s="50" t="s">
        <v>446</v>
      </c>
      <c r="C260" s="28">
        <v>1000000</v>
      </c>
      <c r="D260" s="29">
        <v>0.25</v>
      </c>
      <c r="E260" s="30">
        <v>0.1</v>
      </c>
      <c r="F260" s="31">
        <v>0.05</v>
      </c>
      <c r="G260" s="32">
        <v>20</v>
      </c>
      <c r="H260" s="55" t="s">
        <v>16</v>
      </c>
      <c r="I260" s="33" t="b">
        <v>1</v>
      </c>
      <c r="J260" s="34" t="b">
        <v>1</v>
      </c>
      <c r="K260" s="35" t="b">
        <v>1</v>
      </c>
      <c r="L260" s="27" t="s">
        <v>427</v>
      </c>
      <c r="M260" s="27" t="s">
        <v>34</v>
      </c>
      <c r="N260" s="33">
        <v>5</v>
      </c>
      <c r="O260" s="34">
        <v>2</v>
      </c>
      <c r="P260" s="35">
        <v>1</v>
      </c>
      <c r="Q260" s="28">
        <v>50000</v>
      </c>
      <c r="R260" s="36">
        <v>250000</v>
      </c>
      <c r="S260" s="37">
        <v>100000</v>
      </c>
      <c r="T260" s="38">
        <v>50000</v>
      </c>
      <c r="U260" s="27" t="s">
        <v>38</v>
      </c>
    </row>
    <row r="261" spans="1:21">
      <c r="A261" s="27" t="s">
        <v>107</v>
      </c>
      <c r="B261" s="50" t="s">
        <v>447</v>
      </c>
      <c r="C261" s="28">
        <v>1500000</v>
      </c>
      <c r="D261" s="29">
        <v>0.25</v>
      </c>
      <c r="E261" s="30">
        <v>0.1</v>
      </c>
      <c r="F261" s="31">
        <v>0.05</v>
      </c>
      <c r="G261" s="32">
        <v>18</v>
      </c>
      <c r="H261" s="54"/>
      <c r="I261" s="33" t="b">
        <v>1</v>
      </c>
      <c r="J261" s="34" t="b">
        <v>1</v>
      </c>
      <c r="K261" s="35" t="b">
        <v>1</v>
      </c>
      <c r="L261" s="27" t="s">
        <v>427</v>
      </c>
      <c r="M261" s="27" t="s">
        <v>34</v>
      </c>
      <c r="N261" s="33">
        <v>4</v>
      </c>
      <c r="O261" s="34">
        <v>2</v>
      </c>
      <c r="P261" s="35">
        <v>1</v>
      </c>
      <c r="Q261" s="28">
        <v>83333.333333333328</v>
      </c>
      <c r="R261" s="36">
        <v>333333.33333333331</v>
      </c>
      <c r="S261" s="37">
        <v>166666.66666666669</v>
      </c>
      <c r="T261" s="38">
        <v>83333.333333333328</v>
      </c>
      <c r="U261" s="27" t="s">
        <v>38</v>
      </c>
    </row>
    <row r="262" spans="1:21">
      <c r="A262" s="27" t="s">
        <v>107</v>
      </c>
      <c r="B262" s="50" t="s">
        <v>448</v>
      </c>
      <c r="C262" s="28">
        <v>1000000</v>
      </c>
      <c r="D262" s="29">
        <v>0.25</v>
      </c>
      <c r="E262" s="30">
        <v>0.1</v>
      </c>
      <c r="F262" s="31">
        <v>0.05</v>
      </c>
      <c r="G262" s="32">
        <v>14</v>
      </c>
      <c r="H262" s="54"/>
      <c r="I262" s="33" t="b">
        <v>1</v>
      </c>
      <c r="J262" s="34" t="b">
        <v>1</v>
      </c>
      <c r="K262" s="35" t="b">
        <v>1</v>
      </c>
      <c r="L262" s="27" t="s">
        <v>427</v>
      </c>
      <c r="M262" s="27" t="s">
        <v>34</v>
      </c>
      <c r="N262" s="33">
        <v>4</v>
      </c>
      <c r="O262" s="34">
        <v>1</v>
      </c>
      <c r="P262" s="35">
        <v>1</v>
      </c>
      <c r="Q262" s="28">
        <v>71428.571428571435</v>
      </c>
      <c r="R262" s="36">
        <v>285714.28571428568</v>
      </c>
      <c r="S262" s="37">
        <v>71428.571428571435</v>
      </c>
      <c r="T262" s="38">
        <v>71428.571428571435</v>
      </c>
      <c r="U262" s="27" t="s">
        <v>38</v>
      </c>
    </row>
    <row r="263" spans="1:21">
      <c r="A263" s="39" t="s">
        <v>107</v>
      </c>
      <c r="B263" s="46" t="s">
        <v>449</v>
      </c>
      <c r="C263" s="40">
        <v>100000</v>
      </c>
      <c r="D263" s="41">
        <v>0.25</v>
      </c>
      <c r="E263" s="41">
        <v>0.15</v>
      </c>
      <c r="F263" s="41">
        <v>1</v>
      </c>
      <c r="G263" s="42">
        <v>20</v>
      </c>
      <c r="H263" s="55" t="s">
        <v>345</v>
      </c>
      <c r="I263" s="42" t="b">
        <v>1</v>
      </c>
      <c r="J263" s="42" t="b">
        <v>1</v>
      </c>
      <c r="K263" s="42" t="b">
        <v>1</v>
      </c>
      <c r="L263" s="39" t="s">
        <v>427</v>
      </c>
      <c r="M263" s="39" t="s">
        <v>34</v>
      </c>
      <c r="N263" s="42">
        <v>5</v>
      </c>
      <c r="O263" s="42">
        <v>3</v>
      </c>
      <c r="P263" s="42">
        <v>20</v>
      </c>
      <c r="Q263" s="40">
        <v>5000</v>
      </c>
      <c r="R263" s="40">
        <v>25000</v>
      </c>
      <c r="S263" s="40">
        <v>15000</v>
      </c>
      <c r="T263" s="40">
        <v>100000</v>
      </c>
      <c r="U263" s="39" t="s">
        <v>39</v>
      </c>
    </row>
    <row r="264" spans="1:21">
      <c r="A264" s="39" t="s">
        <v>107</v>
      </c>
      <c r="B264" s="64" t="s">
        <v>450</v>
      </c>
      <c r="C264" s="40">
        <v>450000</v>
      </c>
      <c r="D264" s="41">
        <v>0</v>
      </c>
      <c r="E264" s="41">
        <v>1</v>
      </c>
      <c r="F264" s="41">
        <v>0.06</v>
      </c>
      <c r="G264" s="42">
        <v>75</v>
      </c>
      <c r="H264" s="55" t="s">
        <v>17</v>
      </c>
      <c r="I264" s="42" t="b">
        <v>1</v>
      </c>
      <c r="J264" s="42" t="b">
        <v>1</v>
      </c>
      <c r="K264" s="42" t="b">
        <v>1</v>
      </c>
      <c r="L264" s="39" t="s">
        <v>427</v>
      </c>
      <c r="M264" s="39" t="s">
        <v>34</v>
      </c>
      <c r="N264" s="42">
        <v>0</v>
      </c>
      <c r="O264" s="42">
        <v>75</v>
      </c>
      <c r="P264" s="42">
        <v>4</v>
      </c>
      <c r="Q264" s="40">
        <v>6000</v>
      </c>
      <c r="R264" s="40">
        <v>0</v>
      </c>
      <c r="S264" s="40">
        <v>450000</v>
      </c>
      <c r="T264" s="40">
        <v>24000</v>
      </c>
      <c r="U264" s="39" t="s">
        <v>39</v>
      </c>
    </row>
    <row r="265" spans="1:21">
      <c r="A265" s="39" t="s">
        <v>107</v>
      </c>
      <c r="B265" s="46" t="s">
        <v>451</v>
      </c>
      <c r="C265" s="40">
        <v>300000</v>
      </c>
      <c r="D265" s="41">
        <v>0.2</v>
      </c>
      <c r="E265" s="41">
        <v>0.1</v>
      </c>
      <c r="F265" s="41">
        <v>0.05</v>
      </c>
      <c r="G265" s="42">
        <v>20</v>
      </c>
      <c r="H265" s="55" t="s">
        <v>6</v>
      </c>
      <c r="I265" s="42" t="b">
        <v>1</v>
      </c>
      <c r="J265" s="42" t="b">
        <v>1</v>
      </c>
      <c r="K265" s="42" t="b">
        <v>1</v>
      </c>
      <c r="L265" s="39" t="s">
        <v>427</v>
      </c>
      <c r="M265" s="39" t="s">
        <v>34</v>
      </c>
      <c r="N265" s="42">
        <v>4</v>
      </c>
      <c r="O265" s="42">
        <v>2</v>
      </c>
      <c r="P265" s="42">
        <v>1</v>
      </c>
      <c r="Q265" s="40">
        <v>15000</v>
      </c>
      <c r="R265" s="40">
        <v>60000</v>
      </c>
      <c r="S265" s="40">
        <v>30000</v>
      </c>
      <c r="T265" s="40">
        <v>15000</v>
      </c>
      <c r="U265" s="39" t="s">
        <v>39</v>
      </c>
    </row>
    <row r="266" spans="1:21">
      <c r="A266" s="39" t="s">
        <v>107</v>
      </c>
      <c r="B266" s="46" t="s">
        <v>452</v>
      </c>
      <c r="C266" s="40">
        <v>100000</v>
      </c>
      <c r="D266" s="41">
        <v>0.25</v>
      </c>
      <c r="E266" s="41">
        <v>0.05</v>
      </c>
      <c r="F266" s="41">
        <v>0.05</v>
      </c>
      <c r="G266" s="42">
        <v>20</v>
      </c>
      <c r="H266" s="56" t="s">
        <v>183</v>
      </c>
      <c r="I266" s="42" t="b">
        <v>1</v>
      </c>
      <c r="J266" s="42" t="b">
        <v>1</v>
      </c>
      <c r="K266" s="42" t="b">
        <v>1</v>
      </c>
      <c r="L266" s="39" t="s">
        <v>427</v>
      </c>
      <c r="M266" s="39" t="s">
        <v>34</v>
      </c>
      <c r="N266" s="42">
        <v>5</v>
      </c>
      <c r="O266" s="42">
        <v>1</v>
      </c>
      <c r="P266" s="42">
        <v>1</v>
      </c>
      <c r="Q266" s="40">
        <v>5000</v>
      </c>
      <c r="R266" s="40">
        <v>25000</v>
      </c>
      <c r="S266" s="40">
        <v>5000</v>
      </c>
      <c r="T266" s="40">
        <v>5000</v>
      </c>
      <c r="U266" s="39" t="s">
        <v>39</v>
      </c>
    </row>
    <row r="267" spans="1:21">
      <c r="A267" s="27" t="s">
        <v>108</v>
      </c>
      <c r="B267" s="50" t="s">
        <v>453</v>
      </c>
      <c r="C267" s="28">
        <v>2275000</v>
      </c>
      <c r="D267" s="29">
        <v>0.25640000000000002</v>
      </c>
      <c r="E267" s="30">
        <v>0.1026</v>
      </c>
      <c r="F267" s="31">
        <v>5.1299999999999998E-2</v>
      </c>
      <c r="G267" s="32">
        <v>117</v>
      </c>
      <c r="H267" s="54"/>
      <c r="I267" s="33" t="b">
        <v>1</v>
      </c>
      <c r="J267" s="34" t="b">
        <v>1</v>
      </c>
      <c r="K267" s="35" t="b">
        <v>1</v>
      </c>
      <c r="L267" s="27" t="s">
        <v>454</v>
      </c>
      <c r="M267" s="27" t="s">
        <v>34</v>
      </c>
      <c r="N267" s="33">
        <v>30</v>
      </c>
      <c r="O267" s="34">
        <v>12</v>
      </c>
      <c r="P267" s="35">
        <v>6</v>
      </c>
      <c r="Q267" s="28">
        <v>19444.444444444449</v>
      </c>
      <c r="R267" s="36">
        <v>583333.33333333337</v>
      </c>
      <c r="S267" s="37">
        <v>233333.33333333331</v>
      </c>
      <c r="T267" s="38">
        <v>116666.6666666667</v>
      </c>
      <c r="U267" s="27" t="s">
        <v>36</v>
      </c>
    </row>
    <row r="268" spans="1:21">
      <c r="A268" s="27" t="s">
        <v>108</v>
      </c>
      <c r="B268" s="50" t="s">
        <v>455</v>
      </c>
      <c r="C268" s="28">
        <v>1462500</v>
      </c>
      <c r="D268" s="29">
        <v>0.26</v>
      </c>
      <c r="E268" s="30">
        <v>0.1</v>
      </c>
      <c r="F268" s="31">
        <v>0.05</v>
      </c>
      <c r="G268" s="32">
        <v>104</v>
      </c>
      <c r="H268" s="54"/>
      <c r="I268" s="33" t="b">
        <v>1</v>
      </c>
      <c r="J268" s="34" t="b">
        <v>1</v>
      </c>
      <c r="K268" s="35" t="b">
        <v>1</v>
      </c>
      <c r="L268" s="27" t="s">
        <v>454</v>
      </c>
      <c r="M268" s="27" t="s">
        <v>34</v>
      </c>
      <c r="N268" s="33">
        <v>27</v>
      </c>
      <c r="O268" s="34">
        <v>10</v>
      </c>
      <c r="P268" s="35">
        <v>5</v>
      </c>
      <c r="Q268" s="28">
        <v>14062.5</v>
      </c>
      <c r="R268" s="36">
        <v>379687.5</v>
      </c>
      <c r="S268" s="37">
        <v>140625</v>
      </c>
      <c r="T268" s="38">
        <v>70312.5</v>
      </c>
      <c r="U268" s="27" t="s">
        <v>36</v>
      </c>
    </row>
    <row r="269" spans="1:21">
      <c r="A269" s="27" t="s">
        <v>108</v>
      </c>
      <c r="B269" s="50" t="s">
        <v>456</v>
      </c>
      <c r="C269" s="28">
        <v>12600000</v>
      </c>
      <c r="D269" s="29">
        <v>0.25</v>
      </c>
      <c r="E269" s="30">
        <v>0.1</v>
      </c>
      <c r="F269" s="31">
        <v>0.05</v>
      </c>
      <c r="G269" s="32">
        <v>147</v>
      </c>
      <c r="H269" s="54"/>
      <c r="I269" s="33" t="b">
        <v>1</v>
      </c>
      <c r="J269" s="34" t="b">
        <v>1</v>
      </c>
      <c r="K269" s="35" t="b">
        <v>1</v>
      </c>
      <c r="L269" s="27" t="s">
        <v>454</v>
      </c>
      <c r="M269" s="27" t="s">
        <v>34</v>
      </c>
      <c r="N269" s="33">
        <v>37</v>
      </c>
      <c r="O269" s="34">
        <v>15</v>
      </c>
      <c r="P269" s="35">
        <v>7</v>
      </c>
      <c r="Q269" s="28">
        <v>85714.28571428571</v>
      </c>
      <c r="R269" s="36">
        <v>3171428.5714285709</v>
      </c>
      <c r="S269" s="37">
        <v>1285714.2857142859</v>
      </c>
      <c r="T269" s="38">
        <v>600000</v>
      </c>
      <c r="U269" s="27" t="s">
        <v>37</v>
      </c>
    </row>
    <row r="270" spans="1:21">
      <c r="A270" s="27" t="s">
        <v>108</v>
      </c>
      <c r="B270" s="50" t="s">
        <v>457</v>
      </c>
      <c r="C270" s="28">
        <v>4320000</v>
      </c>
      <c r="D270" s="29">
        <v>0.25</v>
      </c>
      <c r="E270" s="30">
        <v>0.1</v>
      </c>
      <c r="F270" s="31">
        <v>0.05</v>
      </c>
      <c r="G270" s="32">
        <v>144</v>
      </c>
      <c r="H270" s="54"/>
      <c r="I270" s="33" t="b">
        <v>1</v>
      </c>
      <c r="J270" s="34" t="b">
        <v>1</v>
      </c>
      <c r="K270" s="35" t="b">
        <v>1</v>
      </c>
      <c r="L270" s="27" t="s">
        <v>454</v>
      </c>
      <c r="M270" s="27" t="s">
        <v>34</v>
      </c>
      <c r="N270" s="33">
        <v>36</v>
      </c>
      <c r="O270" s="34">
        <v>14</v>
      </c>
      <c r="P270" s="35">
        <v>7</v>
      </c>
      <c r="Q270" s="28">
        <v>30000</v>
      </c>
      <c r="R270" s="36">
        <v>1080000</v>
      </c>
      <c r="S270" s="37">
        <v>420000</v>
      </c>
      <c r="T270" s="38">
        <v>210000</v>
      </c>
      <c r="U270" s="27" t="s">
        <v>37</v>
      </c>
    </row>
    <row r="271" spans="1:21">
      <c r="A271" s="27" t="s">
        <v>108</v>
      </c>
      <c r="B271" s="50" t="s">
        <v>458</v>
      </c>
      <c r="C271" s="28">
        <v>9700000</v>
      </c>
      <c r="D271" s="29">
        <v>0.25290000000000001</v>
      </c>
      <c r="E271" s="30">
        <v>0.10340000000000001</v>
      </c>
      <c r="F271" s="31">
        <v>5.1700000000000003E-2</v>
      </c>
      <c r="G271" s="32">
        <v>174</v>
      </c>
      <c r="H271" s="54"/>
      <c r="I271" s="33" t="b">
        <v>1</v>
      </c>
      <c r="J271" s="34" t="b">
        <v>1</v>
      </c>
      <c r="K271" s="35" t="b">
        <v>1</v>
      </c>
      <c r="L271" s="27" t="s">
        <v>454</v>
      </c>
      <c r="M271" s="27" t="s">
        <v>34</v>
      </c>
      <c r="N271" s="33">
        <v>44</v>
      </c>
      <c r="O271" s="34">
        <v>18</v>
      </c>
      <c r="P271" s="35">
        <v>9</v>
      </c>
      <c r="Q271" s="28">
        <v>55747.126436781611</v>
      </c>
      <c r="R271" s="36">
        <v>2452873.563218391</v>
      </c>
      <c r="S271" s="37">
        <v>1003448.275862069</v>
      </c>
      <c r="T271" s="38">
        <v>501724.13793103449</v>
      </c>
      <c r="U271" s="27" t="s">
        <v>38</v>
      </c>
    </row>
    <row r="272" spans="1:21">
      <c r="A272" s="27" t="s">
        <v>108</v>
      </c>
      <c r="B272" s="50" t="s">
        <v>459</v>
      </c>
      <c r="C272" s="28">
        <v>7150000</v>
      </c>
      <c r="D272" s="29">
        <v>0.25</v>
      </c>
      <c r="E272" s="30">
        <v>0.1</v>
      </c>
      <c r="F272" s="31">
        <v>0.05</v>
      </c>
      <c r="G272" s="32">
        <v>286</v>
      </c>
      <c r="H272" s="54"/>
      <c r="I272" s="33" t="b">
        <v>1</v>
      </c>
      <c r="J272" s="34" t="b">
        <v>1</v>
      </c>
      <c r="K272" s="35" t="b">
        <v>1</v>
      </c>
      <c r="L272" s="27" t="s">
        <v>454</v>
      </c>
      <c r="M272" s="27" t="s">
        <v>34</v>
      </c>
      <c r="N272" s="33">
        <v>72</v>
      </c>
      <c r="O272" s="34">
        <v>29</v>
      </c>
      <c r="P272" s="35">
        <v>14</v>
      </c>
      <c r="Q272" s="28">
        <v>25000</v>
      </c>
      <c r="R272" s="36">
        <v>1800000</v>
      </c>
      <c r="S272" s="37">
        <v>725000</v>
      </c>
      <c r="T272" s="38">
        <v>350000</v>
      </c>
      <c r="U272" s="27" t="s">
        <v>38</v>
      </c>
    </row>
    <row r="273" spans="1:21">
      <c r="A273" s="27" t="s">
        <v>108</v>
      </c>
      <c r="B273" s="50" t="s">
        <v>460</v>
      </c>
      <c r="C273" s="28">
        <v>5340000</v>
      </c>
      <c r="D273" s="29">
        <v>0.23</v>
      </c>
      <c r="E273" s="30">
        <v>0.11</v>
      </c>
      <c r="F273" s="31">
        <v>0.04</v>
      </c>
      <c r="G273" s="32">
        <v>215</v>
      </c>
      <c r="H273" s="54"/>
      <c r="I273" s="33" t="b">
        <v>0</v>
      </c>
      <c r="J273" s="34" t="b">
        <v>1</v>
      </c>
      <c r="K273" s="35" t="b">
        <v>0</v>
      </c>
      <c r="L273" s="27" t="s">
        <v>454</v>
      </c>
      <c r="M273" s="27" t="s">
        <v>34</v>
      </c>
      <c r="N273" s="33">
        <v>49</v>
      </c>
      <c r="O273" s="34">
        <v>24</v>
      </c>
      <c r="P273" s="35">
        <v>9</v>
      </c>
      <c r="Q273" s="28">
        <v>24837.20930232558</v>
      </c>
      <c r="R273" s="36">
        <v>1217023.255813953</v>
      </c>
      <c r="S273" s="37">
        <v>596093.02325581387</v>
      </c>
      <c r="T273" s="38">
        <v>223534.8837209302</v>
      </c>
      <c r="U273" s="27" t="s">
        <v>38</v>
      </c>
    </row>
    <row r="274" spans="1:21">
      <c r="A274" s="27" t="s">
        <v>108</v>
      </c>
      <c r="B274" s="50" t="s">
        <v>461</v>
      </c>
      <c r="C274" s="28">
        <v>13262500</v>
      </c>
      <c r="D274" s="29">
        <v>0.25</v>
      </c>
      <c r="E274" s="30">
        <v>0.1</v>
      </c>
      <c r="F274" s="31">
        <v>0.05</v>
      </c>
      <c r="G274" s="32">
        <v>347</v>
      </c>
      <c r="H274" s="54"/>
      <c r="I274" s="33" t="b">
        <v>0</v>
      </c>
      <c r="J274" s="34" t="b">
        <v>0</v>
      </c>
      <c r="K274" s="35" t="b">
        <v>1</v>
      </c>
      <c r="L274" s="27" t="s">
        <v>454</v>
      </c>
      <c r="M274" s="27" t="s">
        <v>34</v>
      </c>
      <c r="N274" s="33">
        <v>87</v>
      </c>
      <c r="O274" s="34">
        <v>35</v>
      </c>
      <c r="P274" s="35">
        <v>17</v>
      </c>
      <c r="Q274" s="28">
        <v>38220.461095100873</v>
      </c>
      <c r="R274" s="36">
        <v>3325180.1152737751</v>
      </c>
      <c r="S274" s="37">
        <v>1337716.1383285299</v>
      </c>
      <c r="T274" s="38">
        <v>649747.8386167147</v>
      </c>
      <c r="U274" s="27" t="s">
        <v>38</v>
      </c>
    </row>
    <row r="275" spans="1:21">
      <c r="A275" s="27" t="s">
        <v>108</v>
      </c>
      <c r="B275" s="50" t="s">
        <v>462</v>
      </c>
      <c r="C275" s="28">
        <v>8820000</v>
      </c>
      <c r="D275" s="29">
        <v>0.26</v>
      </c>
      <c r="E275" s="30">
        <v>0.11</v>
      </c>
      <c r="F275" s="31">
        <v>4.4999999999999998E-2</v>
      </c>
      <c r="G275" s="32">
        <v>201</v>
      </c>
      <c r="H275" s="54"/>
      <c r="I275" s="33" t="b">
        <v>1</v>
      </c>
      <c r="J275" s="34" t="b">
        <v>1</v>
      </c>
      <c r="K275" s="35" t="b">
        <v>0</v>
      </c>
      <c r="L275" s="27" t="s">
        <v>454</v>
      </c>
      <c r="M275" s="27" t="s">
        <v>34</v>
      </c>
      <c r="N275" s="33">
        <v>52</v>
      </c>
      <c r="O275" s="34">
        <v>22</v>
      </c>
      <c r="P275" s="35">
        <v>9</v>
      </c>
      <c r="Q275" s="28">
        <v>43880.59701492537</v>
      </c>
      <c r="R275" s="36">
        <v>2281791.0447761188</v>
      </c>
      <c r="S275" s="37">
        <v>965373.13432835811</v>
      </c>
      <c r="T275" s="38">
        <v>394925.37313432829</v>
      </c>
      <c r="U275" s="27" t="s">
        <v>38</v>
      </c>
    </row>
    <row r="276" spans="1:21">
      <c r="A276" s="27" t="s">
        <v>108</v>
      </c>
      <c r="B276" s="50" t="s">
        <v>463</v>
      </c>
      <c r="C276" s="28">
        <v>16400000</v>
      </c>
      <c r="D276" s="29">
        <v>0.25119999999999998</v>
      </c>
      <c r="E276" s="30">
        <v>9.849999999999999E-2</v>
      </c>
      <c r="F276" s="31">
        <v>5.4199999999999998E-2</v>
      </c>
      <c r="G276" s="32">
        <v>203</v>
      </c>
      <c r="H276" s="54"/>
      <c r="I276" s="33" t="b">
        <v>1</v>
      </c>
      <c r="J276" s="34" t="b">
        <v>1</v>
      </c>
      <c r="K276" s="35" t="b">
        <v>1</v>
      </c>
      <c r="L276" s="27" t="s">
        <v>454</v>
      </c>
      <c r="M276" s="27" t="s">
        <v>34</v>
      </c>
      <c r="N276" s="33">
        <v>51</v>
      </c>
      <c r="O276" s="34">
        <v>20</v>
      </c>
      <c r="P276" s="35">
        <v>11</v>
      </c>
      <c r="Q276" s="28">
        <v>80788.177339901478</v>
      </c>
      <c r="R276" s="36">
        <v>4120197.044334976</v>
      </c>
      <c r="S276" s="37">
        <v>1615763.546798029</v>
      </c>
      <c r="T276" s="38">
        <v>888669.95073891629</v>
      </c>
      <c r="U276" s="27" t="s">
        <v>38</v>
      </c>
    </row>
    <row r="277" spans="1:21">
      <c r="A277" s="27" t="s">
        <v>108</v>
      </c>
      <c r="B277" s="50" t="s">
        <v>464</v>
      </c>
      <c r="C277" s="28">
        <v>39787500</v>
      </c>
      <c r="D277" s="29">
        <v>0.25</v>
      </c>
      <c r="E277" s="30">
        <v>0.1</v>
      </c>
      <c r="F277" s="31">
        <v>0.05</v>
      </c>
      <c r="G277" s="32">
        <v>2114</v>
      </c>
      <c r="H277" s="54"/>
      <c r="I277" s="33" t="b">
        <v>1</v>
      </c>
      <c r="J277" s="34" t="b">
        <v>1</v>
      </c>
      <c r="K277" s="35" t="b">
        <v>1</v>
      </c>
      <c r="L277" s="27" t="s">
        <v>454</v>
      </c>
      <c r="M277" s="27" t="s">
        <v>34</v>
      </c>
      <c r="N277" s="33">
        <v>528</v>
      </c>
      <c r="O277" s="34">
        <v>211</v>
      </c>
      <c r="P277" s="35">
        <v>106</v>
      </c>
      <c r="Q277" s="28">
        <v>18820.955534531691</v>
      </c>
      <c r="R277" s="36">
        <v>9937464.5222327355</v>
      </c>
      <c r="S277" s="37">
        <v>3971221.6177861881</v>
      </c>
      <c r="T277" s="38">
        <v>1995021.2866603599</v>
      </c>
      <c r="U277" s="27" t="s">
        <v>39</v>
      </c>
    </row>
    <row r="278" spans="1:21">
      <c r="A278" s="27" t="s">
        <v>108</v>
      </c>
      <c r="B278" s="50" t="s">
        <v>465</v>
      </c>
      <c r="C278" s="28">
        <v>8895000</v>
      </c>
      <c r="D278" s="29">
        <v>0.26</v>
      </c>
      <c r="E278" s="30">
        <v>0.11</v>
      </c>
      <c r="F278" s="31">
        <v>4.2999999999999997E-2</v>
      </c>
      <c r="G278" s="32">
        <v>163</v>
      </c>
      <c r="H278" s="54"/>
      <c r="I278" s="33" t="b">
        <v>1</v>
      </c>
      <c r="J278" s="34" t="b">
        <v>1</v>
      </c>
      <c r="K278" s="35" t="b">
        <v>0</v>
      </c>
      <c r="L278" s="27" t="s">
        <v>454</v>
      </c>
      <c r="M278" s="27" t="s">
        <v>34</v>
      </c>
      <c r="N278" s="33">
        <v>42</v>
      </c>
      <c r="O278" s="34">
        <v>18</v>
      </c>
      <c r="P278" s="35">
        <v>7</v>
      </c>
      <c r="Q278" s="28">
        <v>54570.552147239257</v>
      </c>
      <c r="R278" s="36">
        <v>2291963.1901840488</v>
      </c>
      <c r="S278" s="37">
        <v>982269.93865030678</v>
      </c>
      <c r="T278" s="38">
        <v>381993.86503067479</v>
      </c>
      <c r="U278" s="27" t="s">
        <v>40</v>
      </c>
    </row>
    <row r="279" spans="1:21">
      <c r="A279" s="27" t="s">
        <v>68</v>
      </c>
      <c r="B279" s="50" t="s">
        <v>466</v>
      </c>
      <c r="C279" s="28">
        <v>900000</v>
      </c>
      <c r="D279" s="29">
        <v>0.25</v>
      </c>
      <c r="E279" s="30">
        <v>0.1</v>
      </c>
      <c r="F279" s="31">
        <v>0.05</v>
      </c>
      <c r="G279" s="32">
        <v>10</v>
      </c>
      <c r="H279" s="54"/>
      <c r="I279" s="33" t="b">
        <v>1</v>
      </c>
      <c r="J279" s="34" t="b">
        <v>1</v>
      </c>
      <c r="K279" s="35" t="b">
        <v>1</v>
      </c>
      <c r="L279" s="27" t="s">
        <v>467</v>
      </c>
      <c r="M279" s="27" t="s">
        <v>33</v>
      </c>
      <c r="N279" s="33">
        <v>2</v>
      </c>
      <c r="O279" s="34">
        <v>1</v>
      </c>
      <c r="P279" s="35">
        <v>0</v>
      </c>
      <c r="Q279" s="28">
        <v>90000</v>
      </c>
      <c r="R279" s="36">
        <v>180000</v>
      </c>
      <c r="S279" s="37">
        <v>90000</v>
      </c>
      <c r="T279" s="38">
        <v>0</v>
      </c>
      <c r="U279" s="27" t="s">
        <v>37</v>
      </c>
    </row>
    <row r="280" spans="1:21">
      <c r="A280" s="27" t="s">
        <v>68</v>
      </c>
      <c r="B280" s="50" t="s">
        <v>468</v>
      </c>
      <c r="C280" s="28">
        <v>500000</v>
      </c>
      <c r="D280" s="29">
        <v>0.25</v>
      </c>
      <c r="E280" s="30">
        <v>0.1</v>
      </c>
      <c r="F280" s="31">
        <v>0.05</v>
      </c>
      <c r="G280" s="32">
        <v>206</v>
      </c>
      <c r="H280" s="54"/>
      <c r="I280" s="33" t="b">
        <v>1</v>
      </c>
      <c r="J280" s="34" t="b">
        <v>1</v>
      </c>
      <c r="K280" s="35" t="b">
        <v>1</v>
      </c>
      <c r="L280" s="27" t="s">
        <v>467</v>
      </c>
      <c r="M280" s="27" t="s">
        <v>33</v>
      </c>
      <c r="N280" s="33">
        <v>52</v>
      </c>
      <c r="O280" s="34">
        <v>21</v>
      </c>
      <c r="P280" s="35">
        <v>10</v>
      </c>
      <c r="Q280" s="28">
        <v>2427.184466019417</v>
      </c>
      <c r="R280" s="36">
        <v>126213.59223300969</v>
      </c>
      <c r="S280" s="37">
        <v>50970.873786407763</v>
      </c>
      <c r="T280" s="38">
        <v>24271.84466019418</v>
      </c>
      <c r="U280" s="27" t="s">
        <v>40</v>
      </c>
    </row>
    <row r="281" spans="1:21">
      <c r="A281" s="27" t="s">
        <v>68</v>
      </c>
      <c r="B281" s="50" t="s">
        <v>469</v>
      </c>
      <c r="C281" s="28">
        <v>1990000</v>
      </c>
      <c r="D281" s="29">
        <v>0.25</v>
      </c>
      <c r="E281" s="30">
        <v>0.1</v>
      </c>
      <c r="F281" s="31">
        <v>0.05</v>
      </c>
      <c r="G281" s="32">
        <v>206</v>
      </c>
      <c r="H281" s="54"/>
      <c r="I281" s="33" t="b">
        <v>1</v>
      </c>
      <c r="J281" s="34" t="b">
        <v>1</v>
      </c>
      <c r="K281" s="35" t="b">
        <v>1</v>
      </c>
      <c r="L281" s="27" t="s">
        <v>467</v>
      </c>
      <c r="M281" s="27" t="s">
        <v>33</v>
      </c>
      <c r="N281" s="33">
        <v>52</v>
      </c>
      <c r="O281" s="34">
        <v>21</v>
      </c>
      <c r="P281" s="35">
        <v>10</v>
      </c>
      <c r="Q281" s="28">
        <v>9660.1941747572819</v>
      </c>
      <c r="R281" s="36">
        <v>502330.09708737867</v>
      </c>
      <c r="S281" s="37">
        <v>202864.07766990291</v>
      </c>
      <c r="T281" s="38">
        <v>96601.941747572826</v>
      </c>
      <c r="U281" s="27" t="s">
        <v>38</v>
      </c>
    </row>
    <row r="282" spans="1:21">
      <c r="A282" s="27" t="s">
        <v>68</v>
      </c>
      <c r="B282" s="50" t="s">
        <v>470</v>
      </c>
      <c r="C282" s="28">
        <v>900000</v>
      </c>
      <c r="D282" s="29">
        <v>0.25</v>
      </c>
      <c r="E282" s="30">
        <v>0.1</v>
      </c>
      <c r="F282" s="31">
        <v>0.05</v>
      </c>
      <c r="G282" s="32">
        <v>9</v>
      </c>
      <c r="H282" s="54"/>
      <c r="I282" s="33" t="b">
        <v>1</v>
      </c>
      <c r="J282" s="34" t="b">
        <v>1</v>
      </c>
      <c r="K282" s="35" t="b">
        <v>1</v>
      </c>
      <c r="L282" s="27" t="s">
        <v>467</v>
      </c>
      <c r="M282" s="27" t="s">
        <v>33</v>
      </c>
      <c r="N282" s="33">
        <v>2</v>
      </c>
      <c r="O282" s="34">
        <v>1</v>
      </c>
      <c r="P282" s="35">
        <v>0</v>
      </c>
      <c r="Q282" s="28">
        <v>100000</v>
      </c>
      <c r="R282" s="36">
        <v>200000</v>
      </c>
      <c r="S282" s="37">
        <v>100000</v>
      </c>
      <c r="T282" s="38">
        <v>0</v>
      </c>
      <c r="U282" s="27" t="s">
        <v>37</v>
      </c>
    </row>
    <row r="283" spans="1:21">
      <c r="A283" s="39" t="s">
        <v>68</v>
      </c>
      <c r="B283" s="46" t="s">
        <v>471</v>
      </c>
      <c r="C283" s="40">
        <v>138000</v>
      </c>
      <c r="D283" s="41">
        <v>0.25</v>
      </c>
      <c r="E283" s="41">
        <v>0.1</v>
      </c>
      <c r="F283" s="41">
        <v>0.05</v>
      </c>
      <c r="G283" s="42">
        <v>23</v>
      </c>
      <c r="H283" s="55" t="s">
        <v>6</v>
      </c>
      <c r="I283" s="42" t="b">
        <v>1</v>
      </c>
      <c r="J283" s="42" t="b">
        <v>1</v>
      </c>
      <c r="K283" s="42" t="b">
        <v>1</v>
      </c>
      <c r="L283" s="39" t="s">
        <v>467</v>
      </c>
      <c r="M283" s="39" t="s">
        <v>33</v>
      </c>
      <c r="N283" s="42">
        <v>6</v>
      </c>
      <c r="O283" s="42">
        <v>2</v>
      </c>
      <c r="P283" s="42">
        <v>1</v>
      </c>
      <c r="Q283" s="40">
        <v>6000</v>
      </c>
      <c r="R283" s="40">
        <v>36000</v>
      </c>
      <c r="S283" s="40">
        <v>12000</v>
      </c>
      <c r="T283" s="40">
        <v>6000</v>
      </c>
      <c r="U283" s="39" t="s">
        <v>39</v>
      </c>
    </row>
    <row r="284" spans="1:21">
      <c r="A284" s="39" t="s">
        <v>68</v>
      </c>
      <c r="B284" s="46" t="s">
        <v>472</v>
      </c>
      <c r="C284" s="40">
        <v>500000</v>
      </c>
      <c r="D284" s="41">
        <v>0.25</v>
      </c>
      <c r="E284" s="41">
        <v>0.1</v>
      </c>
      <c r="F284" s="41">
        <v>0.05</v>
      </c>
      <c r="G284" s="42">
        <v>59</v>
      </c>
      <c r="H284" s="55" t="s">
        <v>12</v>
      </c>
      <c r="I284" s="42" t="b">
        <v>1</v>
      </c>
      <c r="J284" s="42" t="b">
        <v>1</v>
      </c>
      <c r="K284" s="42" t="b">
        <v>1</v>
      </c>
      <c r="L284" s="39" t="s">
        <v>467</v>
      </c>
      <c r="M284" s="39" t="s">
        <v>33</v>
      </c>
      <c r="N284" s="42">
        <v>15</v>
      </c>
      <c r="O284" s="42">
        <v>6</v>
      </c>
      <c r="P284" s="42">
        <v>3</v>
      </c>
      <c r="Q284" s="40">
        <v>8474.5762711864409</v>
      </c>
      <c r="R284" s="40">
        <v>127118.6440677966</v>
      </c>
      <c r="S284" s="40">
        <v>50847.457627118652</v>
      </c>
      <c r="T284" s="40">
        <v>25423.728813559319</v>
      </c>
      <c r="U284" s="39" t="s">
        <v>38</v>
      </c>
    </row>
    <row r="285" spans="1:21">
      <c r="A285" s="27" t="s">
        <v>68</v>
      </c>
      <c r="B285" s="50" t="s">
        <v>473</v>
      </c>
      <c r="C285" s="28">
        <v>280000</v>
      </c>
      <c r="D285" s="29">
        <v>0.25</v>
      </c>
      <c r="E285" s="30">
        <v>0.1</v>
      </c>
      <c r="F285" s="31">
        <v>0.05</v>
      </c>
      <c r="G285" s="32">
        <v>206</v>
      </c>
      <c r="H285" s="54"/>
      <c r="I285" s="33" t="b">
        <v>1</v>
      </c>
      <c r="J285" s="34" t="b">
        <v>1</v>
      </c>
      <c r="K285" s="35" t="b">
        <v>1</v>
      </c>
      <c r="L285" s="27" t="s">
        <v>467</v>
      </c>
      <c r="M285" s="27" t="s">
        <v>33</v>
      </c>
      <c r="N285" s="33">
        <v>52</v>
      </c>
      <c r="O285" s="34">
        <v>21</v>
      </c>
      <c r="P285" s="35">
        <v>10</v>
      </c>
      <c r="Q285" s="28">
        <v>1359.2233009708741</v>
      </c>
      <c r="R285" s="36">
        <v>70679.611650485444</v>
      </c>
      <c r="S285" s="37">
        <v>28543.689320388348</v>
      </c>
      <c r="T285" s="38">
        <v>13592.23300970874</v>
      </c>
      <c r="U285" s="27" t="s">
        <v>36</v>
      </c>
    </row>
    <row r="286" spans="1:21">
      <c r="A286" s="27" t="s">
        <v>69</v>
      </c>
      <c r="B286" s="50" t="s">
        <v>474</v>
      </c>
      <c r="C286" s="28">
        <v>542500</v>
      </c>
      <c r="D286" s="29">
        <v>0.25</v>
      </c>
      <c r="E286" s="30">
        <v>0.1</v>
      </c>
      <c r="F286" s="31">
        <v>0.05</v>
      </c>
      <c r="G286" s="32">
        <v>21</v>
      </c>
      <c r="H286" s="54"/>
      <c r="I286" s="33" t="b">
        <v>1</v>
      </c>
      <c r="J286" s="34" t="b">
        <v>1</v>
      </c>
      <c r="K286" s="35" t="b">
        <v>1</v>
      </c>
      <c r="L286" s="27" t="s">
        <v>475</v>
      </c>
      <c r="M286" s="27" t="s">
        <v>33</v>
      </c>
      <c r="N286" s="33">
        <v>5</v>
      </c>
      <c r="O286" s="34">
        <v>2</v>
      </c>
      <c r="P286" s="35">
        <v>1</v>
      </c>
      <c r="Q286" s="28">
        <v>25833.333333333328</v>
      </c>
      <c r="R286" s="36">
        <v>129166.6666666667</v>
      </c>
      <c r="S286" s="37">
        <v>51666.666666666657</v>
      </c>
      <c r="T286" s="38">
        <v>25833.333333333328</v>
      </c>
      <c r="U286" s="27" t="s">
        <v>37</v>
      </c>
    </row>
    <row r="287" spans="1:21">
      <c r="A287" s="39" t="s">
        <v>69</v>
      </c>
      <c r="B287" s="46" t="s">
        <v>476</v>
      </c>
      <c r="C287" s="40">
        <v>514000</v>
      </c>
      <c r="D287" s="41">
        <v>0.25</v>
      </c>
      <c r="E287" s="41">
        <v>0.1</v>
      </c>
      <c r="F287" s="41">
        <v>0.05</v>
      </c>
      <c r="G287" s="42">
        <v>22</v>
      </c>
      <c r="H287" s="55" t="s">
        <v>12</v>
      </c>
      <c r="I287" s="42" t="b">
        <v>1</v>
      </c>
      <c r="J287" s="42" t="b">
        <v>1</v>
      </c>
      <c r="K287" s="42" t="b">
        <v>1</v>
      </c>
      <c r="L287" s="39" t="s">
        <v>475</v>
      </c>
      <c r="M287" s="39" t="s">
        <v>33</v>
      </c>
      <c r="N287" s="42">
        <v>6</v>
      </c>
      <c r="O287" s="42">
        <v>2</v>
      </c>
      <c r="P287" s="42">
        <v>1</v>
      </c>
      <c r="Q287" s="40">
        <v>23363.63636363636</v>
      </c>
      <c r="R287" s="40">
        <v>140181.81818181821</v>
      </c>
      <c r="S287" s="40">
        <v>46727.272727272728</v>
      </c>
      <c r="T287" s="40">
        <v>23363.63636363636</v>
      </c>
      <c r="U287" s="39" t="s">
        <v>38</v>
      </c>
    </row>
    <row r="288" spans="1:21">
      <c r="A288" s="27" t="s">
        <v>69</v>
      </c>
      <c r="B288" s="50" t="s">
        <v>477</v>
      </c>
      <c r="C288" s="28">
        <v>814000</v>
      </c>
      <c r="D288" s="29">
        <v>0.25</v>
      </c>
      <c r="E288" s="30">
        <v>0.1</v>
      </c>
      <c r="F288" s="31">
        <v>0.05</v>
      </c>
      <c r="G288" s="32">
        <v>35</v>
      </c>
      <c r="H288" s="54"/>
      <c r="I288" s="33" t="b">
        <v>1</v>
      </c>
      <c r="J288" s="34" t="b">
        <v>1</v>
      </c>
      <c r="K288" s="35" t="b">
        <v>1</v>
      </c>
      <c r="L288" s="27" t="s">
        <v>475</v>
      </c>
      <c r="M288" s="27" t="s">
        <v>33</v>
      </c>
      <c r="N288" s="33">
        <v>9</v>
      </c>
      <c r="O288" s="34">
        <v>4</v>
      </c>
      <c r="P288" s="35">
        <v>2</v>
      </c>
      <c r="Q288" s="28">
        <v>23257.142857142859</v>
      </c>
      <c r="R288" s="36">
        <v>209314.28571428571</v>
      </c>
      <c r="S288" s="37">
        <v>93028.571428571435</v>
      </c>
      <c r="T288" s="38">
        <v>46514.285714285717</v>
      </c>
      <c r="U288" s="27" t="s">
        <v>38</v>
      </c>
    </row>
    <row r="289" spans="1:21">
      <c r="A289" s="27" t="s">
        <v>69</v>
      </c>
      <c r="B289" s="50" t="s">
        <v>478</v>
      </c>
      <c r="C289" s="28">
        <v>100000</v>
      </c>
      <c r="D289" s="29">
        <v>0.25</v>
      </c>
      <c r="E289" s="30">
        <v>0.1</v>
      </c>
      <c r="F289" s="31">
        <v>0.05</v>
      </c>
      <c r="G289" s="32">
        <v>10</v>
      </c>
      <c r="H289" s="54"/>
      <c r="I289" s="33" t="b">
        <v>1</v>
      </c>
      <c r="J289" s="34" t="b">
        <v>1</v>
      </c>
      <c r="K289" s="35" t="b">
        <v>1</v>
      </c>
      <c r="L289" s="27" t="s">
        <v>475</v>
      </c>
      <c r="M289" s="27" t="s">
        <v>33</v>
      </c>
      <c r="N289" s="33">
        <v>2</v>
      </c>
      <c r="O289" s="34">
        <v>1</v>
      </c>
      <c r="P289" s="35">
        <v>0</v>
      </c>
      <c r="Q289" s="28">
        <v>10000</v>
      </c>
      <c r="R289" s="36">
        <v>20000</v>
      </c>
      <c r="S289" s="37">
        <v>10000</v>
      </c>
      <c r="T289" s="38">
        <v>0</v>
      </c>
      <c r="U289" s="27" t="s">
        <v>37</v>
      </c>
    </row>
    <row r="290" spans="1:21">
      <c r="A290" s="27" t="s">
        <v>69</v>
      </c>
      <c r="B290" s="51" t="s">
        <v>479</v>
      </c>
      <c r="C290" s="28">
        <v>144000</v>
      </c>
      <c r="D290" s="29">
        <v>0.25</v>
      </c>
      <c r="E290" s="30">
        <v>0</v>
      </c>
      <c r="F290" s="31">
        <v>0</v>
      </c>
      <c r="G290" s="32">
        <v>4</v>
      </c>
      <c r="H290" s="54"/>
      <c r="I290" s="33" t="b">
        <v>1</v>
      </c>
      <c r="J290" s="34" t="b">
        <v>1</v>
      </c>
      <c r="K290" s="35" t="b">
        <v>1</v>
      </c>
      <c r="L290" s="27" t="s">
        <v>475</v>
      </c>
      <c r="M290" s="27" t="s">
        <v>33</v>
      </c>
      <c r="N290" s="33">
        <v>1</v>
      </c>
      <c r="O290" s="34">
        <v>0</v>
      </c>
      <c r="P290" s="35">
        <v>0</v>
      </c>
      <c r="Q290" s="28">
        <v>36000</v>
      </c>
      <c r="R290" s="36">
        <v>36000</v>
      </c>
      <c r="S290" s="37">
        <v>0</v>
      </c>
      <c r="T290" s="38">
        <v>0</v>
      </c>
      <c r="U290" s="27" t="s">
        <v>40</v>
      </c>
    </row>
    <row r="291" spans="1:21">
      <c r="A291" s="27" t="s">
        <v>109</v>
      </c>
      <c r="B291" s="51" t="s">
        <v>480</v>
      </c>
      <c r="C291" s="28">
        <v>5000000</v>
      </c>
      <c r="D291" s="29">
        <v>0.25</v>
      </c>
      <c r="E291" s="30">
        <v>0.1</v>
      </c>
      <c r="F291" s="31">
        <v>0.05</v>
      </c>
      <c r="G291" s="32">
        <v>40</v>
      </c>
      <c r="H291" s="54"/>
      <c r="I291" s="33" t="b">
        <v>1</v>
      </c>
      <c r="J291" s="34" t="b">
        <v>1</v>
      </c>
      <c r="K291" s="35" t="b">
        <v>1</v>
      </c>
      <c r="L291" s="27" t="s">
        <v>481</v>
      </c>
      <c r="M291" s="27" t="s">
        <v>34</v>
      </c>
      <c r="N291" s="33">
        <v>10</v>
      </c>
      <c r="O291" s="34">
        <v>4</v>
      </c>
      <c r="P291" s="35">
        <v>2</v>
      </c>
      <c r="Q291" s="28">
        <v>125000</v>
      </c>
      <c r="R291" s="36">
        <v>1250000</v>
      </c>
      <c r="S291" s="37">
        <v>500000</v>
      </c>
      <c r="T291" s="38">
        <v>250000</v>
      </c>
      <c r="U291" s="27" t="s">
        <v>37</v>
      </c>
    </row>
    <row r="292" spans="1:21">
      <c r="A292" s="27" t="s">
        <v>109</v>
      </c>
      <c r="B292" s="51" t="s">
        <v>482</v>
      </c>
      <c r="C292" s="28">
        <v>18487819</v>
      </c>
      <c r="D292" s="29">
        <v>0.25</v>
      </c>
      <c r="E292" s="30">
        <v>0.1</v>
      </c>
      <c r="F292" s="31">
        <v>0.1</v>
      </c>
      <c r="G292" s="32">
        <v>474</v>
      </c>
      <c r="H292" s="54"/>
      <c r="I292" s="33" t="b">
        <v>1</v>
      </c>
      <c r="J292" s="34" t="b">
        <v>1</v>
      </c>
      <c r="K292" s="35" t="b">
        <v>1</v>
      </c>
      <c r="L292" s="27" t="s">
        <v>481</v>
      </c>
      <c r="M292" s="27" t="s">
        <v>34</v>
      </c>
      <c r="N292" s="33">
        <v>118</v>
      </c>
      <c r="O292" s="34">
        <v>47</v>
      </c>
      <c r="P292" s="35">
        <v>47</v>
      </c>
      <c r="Q292" s="28">
        <v>39003.837552742618</v>
      </c>
      <c r="R292" s="36">
        <v>4602452.8312236276</v>
      </c>
      <c r="S292" s="37">
        <v>1833180.364978903</v>
      </c>
      <c r="T292" s="38">
        <v>1833180.364978903</v>
      </c>
      <c r="U292" s="27" t="s">
        <v>38</v>
      </c>
    </row>
    <row r="293" spans="1:21">
      <c r="A293" s="27" t="s">
        <v>109</v>
      </c>
      <c r="B293" s="51" t="s">
        <v>483</v>
      </c>
      <c r="C293" s="28">
        <v>4621949.37</v>
      </c>
      <c r="D293" s="29">
        <v>0.25</v>
      </c>
      <c r="E293" s="30">
        <v>0.1</v>
      </c>
      <c r="F293" s="31">
        <v>0.1</v>
      </c>
      <c r="G293" s="32">
        <v>252</v>
      </c>
      <c r="H293" s="54"/>
      <c r="I293" s="33" t="b">
        <v>1</v>
      </c>
      <c r="J293" s="34" t="b">
        <v>1</v>
      </c>
      <c r="K293" s="35" t="b">
        <v>1</v>
      </c>
      <c r="L293" s="27" t="s">
        <v>481</v>
      </c>
      <c r="M293" s="27" t="s">
        <v>34</v>
      </c>
      <c r="N293" s="33">
        <v>63</v>
      </c>
      <c r="O293" s="34">
        <v>25</v>
      </c>
      <c r="P293" s="35">
        <v>25</v>
      </c>
      <c r="Q293" s="28">
        <v>18341.068928571429</v>
      </c>
      <c r="R293" s="36">
        <v>1155487.3425</v>
      </c>
      <c r="S293" s="37">
        <v>458526.72321428568</v>
      </c>
      <c r="T293" s="38">
        <v>458526.72321428568</v>
      </c>
      <c r="U293" s="27" t="s">
        <v>38</v>
      </c>
    </row>
    <row r="294" spans="1:21">
      <c r="A294" s="27" t="s">
        <v>109</v>
      </c>
      <c r="B294" s="51" t="s">
        <v>484</v>
      </c>
      <c r="C294" s="28">
        <v>18487819</v>
      </c>
      <c r="D294" s="29">
        <v>0.25</v>
      </c>
      <c r="E294" s="30">
        <v>0.1</v>
      </c>
      <c r="F294" s="31">
        <v>0.1</v>
      </c>
      <c r="G294" s="32">
        <v>308</v>
      </c>
      <c r="H294" s="54"/>
      <c r="I294" s="33" t="b">
        <v>1</v>
      </c>
      <c r="J294" s="34" t="b">
        <v>1</v>
      </c>
      <c r="K294" s="35" t="b">
        <v>1</v>
      </c>
      <c r="L294" s="27" t="s">
        <v>481</v>
      </c>
      <c r="M294" s="27" t="s">
        <v>34</v>
      </c>
      <c r="N294" s="33">
        <v>77</v>
      </c>
      <c r="O294" s="34">
        <v>31</v>
      </c>
      <c r="P294" s="35">
        <v>31</v>
      </c>
      <c r="Q294" s="28">
        <v>60025.38636363636</v>
      </c>
      <c r="R294" s="36">
        <v>4621954.75</v>
      </c>
      <c r="S294" s="37">
        <v>1860786.9772727271</v>
      </c>
      <c r="T294" s="38">
        <v>1860786.9772727271</v>
      </c>
      <c r="U294" s="27" t="s">
        <v>38</v>
      </c>
    </row>
    <row r="295" spans="1:21">
      <c r="A295" s="27" t="s">
        <v>109</v>
      </c>
      <c r="B295" s="51" t="s">
        <v>485</v>
      </c>
      <c r="C295" s="28">
        <v>5490000</v>
      </c>
      <c r="D295" s="29">
        <v>0.25</v>
      </c>
      <c r="E295" s="30">
        <v>0.1</v>
      </c>
      <c r="F295" s="31">
        <v>0.05</v>
      </c>
      <c r="G295" s="32">
        <v>183</v>
      </c>
      <c r="H295" s="54"/>
      <c r="I295" s="33" t="b">
        <v>1</v>
      </c>
      <c r="J295" s="34" t="b">
        <v>1</v>
      </c>
      <c r="K295" s="35" t="b">
        <v>1</v>
      </c>
      <c r="L295" s="27" t="s">
        <v>481</v>
      </c>
      <c r="M295" s="27" t="s">
        <v>34</v>
      </c>
      <c r="N295" s="33">
        <v>46</v>
      </c>
      <c r="O295" s="34">
        <v>18</v>
      </c>
      <c r="P295" s="35">
        <v>9</v>
      </c>
      <c r="Q295" s="28">
        <v>30000</v>
      </c>
      <c r="R295" s="36">
        <v>1380000</v>
      </c>
      <c r="S295" s="37">
        <v>540000</v>
      </c>
      <c r="T295" s="38">
        <v>270000</v>
      </c>
      <c r="U295" s="27" t="s">
        <v>39</v>
      </c>
    </row>
    <row r="296" spans="1:21">
      <c r="A296" s="39" t="s">
        <v>109</v>
      </c>
      <c r="B296" s="60" t="s">
        <v>486</v>
      </c>
      <c r="C296" s="40">
        <v>4621954.74</v>
      </c>
      <c r="D296" s="41">
        <v>0.25</v>
      </c>
      <c r="E296" s="41">
        <v>0.1</v>
      </c>
      <c r="F296" s="41">
        <v>0.05</v>
      </c>
      <c r="G296" s="42">
        <v>200</v>
      </c>
      <c r="H296" s="55" t="s">
        <v>6</v>
      </c>
      <c r="I296" s="42" t="b">
        <v>1</v>
      </c>
      <c r="J296" s="42" t="b">
        <v>1</v>
      </c>
      <c r="K296" s="42" t="b">
        <v>1</v>
      </c>
      <c r="L296" s="39" t="s">
        <v>481</v>
      </c>
      <c r="M296" s="39" t="s">
        <v>34</v>
      </c>
      <c r="N296" s="42">
        <v>50</v>
      </c>
      <c r="O296" s="42">
        <v>20</v>
      </c>
      <c r="P296" s="42">
        <v>10</v>
      </c>
      <c r="Q296" s="40">
        <v>23109.773700000002</v>
      </c>
      <c r="R296" s="40">
        <v>1155488.6850000001</v>
      </c>
      <c r="S296" s="40">
        <v>462195.47399999999</v>
      </c>
      <c r="T296" s="40">
        <v>231097.73699999999</v>
      </c>
      <c r="U296" s="39" t="s">
        <v>39</v>
      </c>
    </row>
    <row r="297" spans="1:21">
      <c r="A297" s="27" t="s">
        <v>109</v>
      </c>
      <c r="B297" s="51" t="s">
        <v>487</v>
      </c>
      <c r="C297" s="28">
        <v>2731708.8</v>
      </c>
      <c r="D297" s="29">
        <v>0.25</v>
      </c>
      <c r="E297" s="30">
        <v>0.1</v>
      </c>
      <c r="F297" s="31">
        <v>0.05</v>
      </c>
      <c r="G297" s="32">
        <v>30</v>
      </c>
      <c r="H297" s="54"/>
      <c r="I297" s="33" t="b">
        <v>1</v>
      </c>
      <c r="J297" s="34" t="b">
        <v>1</v>
      </c>
      <c r="K297" s="35" t="b">
        <v>1</v>
      </c>
      <c r="L297" s="27" t="s">
        <v>481</v>
      </c>
      <c r="M297" s="27" t="s">
        <v>34</v>
      </c>
      <c r="N297" s="33">
        <v>8</v>
      </c>
      <c r="O297" s="34">
        <v>3</v>
      </c>
      <c r="P297" s="35">
        <v>2</v>
      </c>
      <c r="Q297" s="28">
        <v>91056.959999999992</v>
      </c>
      <c r="R297" s="36">
        <v>728455.67999999993</v>
      </c>
      <c r="S297" s="37">
        <v>273170.88</v>
      </c>
      <c r="T297" s="38">
        <v>182113.92000000001</v>
      </c>
      <c r="U297" s="27" t="s">
        <v>40</v>
      </c>
    </row>
    <row r="298" spans="1:21">
      <c r="A298" s="27" t="s">
        <v>110</v>
      </c>
      <c r="B298" s="61" t="s">
        <v>488</v>
      </c>
      <c r="C298" s="28">
        <v>4250000</v>
      </c>
      <c r="D298" s="29">
        <v>0.25</v>
      </c>
      <c r="E298" s="30">
        <v>0.1</v>
      </c>
      <c r="F298" s="31">
        <v>0.05</v>
      </c>
      <c r="G298" s="32">
        <v>75</v>
      </c>
      <c r="H298" s="54"/>
      <c r="I298" s="33" t="b">
        <v>1</v>
      </c>
      <c r="J298" s="34" t="b">
        <v>1</v>
      </c>
      <c r="K298" s="35" t="b">
        <v>1</v>
      </c>
      <c r="L298" s="27" t="s">
        <v>489</v>
      </c>
      <c r="M298" s="27" t="s">
        <v>34</v>
      </c>
      <c r="N298" s="33">
        <v>19</v>
      </c>
      <c r="O298" s="34">
        <v>8</v>
      </c>
      <c r="P298" s="35">
        <v>4</v>
      </c>
      <c r="Q298" s="28">
        <v>56666.666666666657</v>
      </c>
      <c r="R298" s="36">
        <v>1076666.666666667</v>
      </c>
      <c r="S298" s="37">
        <v>453333.33333333331</v>
      </c>
      <c r="T298" s="38">
        <v>226666.66666666669</v>
      </c>
      <c r="U298" s="27" t="s">
        <v>37</v>
      </c>
    </row>
    <row r="299" spans="1:21">
      <c r="A299" s="27" t="s">
        <v>110</v>
      </c>
      <c r="B299" s="61" t="s">
        <v>490</v>
      </c>
      <c r="C299" s="28">
        <v>3500000</v>
      </c>
      <c r="D299" s="29">
        <v>0.25</v>
      </c>
      <c r="E299" s="30">
        <v>0.1</v>
      </c>
      <c r="F299" s="31">
        <v>0.05</v>
      </c>
      <c r="G299" s="32">
        <v>350</v>
      </c>
      <c r="H299" s="54"/>
      <c r="I299" s="33" t="b">
        <v>1</v>
      </c>
      <c r="J299" s="34" t="b">
        <v>1</v>
      </c>
      <c r="K299" s="35" t="b">
        <v>1</v>
      </c>
      <c r="L299" s="27" t="s">
        <v>489</v>
      </c>
      <c r="M299" s="27" t="s">
        <v>34</v>
      </c>
      <c r="N299" s="33">
        <v>88</v>
      </c>
      <c r="O299" s="34">
        <v>35</v>
      </c>
      <c r="P299" s="35">
        <v>18</v>
      </c>
      <c r="Q299" s="28">
        <v>10000</v>
      </c>
      <c r="R299" s="36">
        <v>880000</v>
      </c>
      <c r="S299" s="37">
        <v>350000</v>
      </c>
      <c r="T299" s="38">
        <v>180000</v>
      </c>
      <c r="U299" s="27" t="s">
        <v>36</v>
      </c>
    </row>
    <row r="300" spans="1:21">
      <c r="A300" s="39" t="s">
        <v>110</v>
      </c>
      <c r="B300" s="64" t="s">
        <v>491</v>
      </c>
      <c r="C300" s="40">
        <v>1995000</v>
      </c>
      <c r="D300" s="41">
        <v>0.25</v>
      </c>
      <c r="E300" s="41">
        <v>0.1</v>
      </c>
      <c r="F300" s="41">
        <v>0.05</v>
      </c>
      <c r="G300" s="42">
        <v>35</v>
      </c>
      <c r="H300" s="54"/>
      <c r="I300" s="42" t="b">
        <v>1</v>
      </c>
      <c r="J300" s="42" t="b">
        <v>1</v>
      </c>
      <c r="K300" s="42" t="b">
        <v>1</v>
      </c>
      <c r="L300" s="39" t="s">
        <v>489</v>
      </c>
      <c r="M300" s="39" t="s">
        <v>34</v>
      </c>
      <c r="N300" s="42">
        <v>9</v>
      </c>
      <c r="O300" s="42">
        <v>4</v>
      </c>
      <c r="P300" s="42">
        <v>2</v>
      </c>
      <c r="Q300" s="40">
        <v>57000</v>
      </c>
      <c r="R300" s="40">
        <v>513000</v>
      </c>
      <c r="S300" s="40">
        <v>228000</v>
      </c>
      <c r="T300" s="40">
        <v>114000</v>
      </c>
      <c r="U300" s="39" t="s">
        <v>39</v>
      </c>
    </row>
    <row r="301" spans="1:21">
      <c r="A301" s="27" t="s">
        <v>110</v>
      </c>
      <c r="B301" s="61" t="s">
        <v>492</v>
      </c>
      <c r="C301" s="28">
        <v>600000</v>
      </c>
      <c r="D301" s="29">
        <v>0.25</v>
      </c>
      <c r="E301" s="30">
        <v>0.1</v>
      </c>
      <c r="F301" s="31">
        <v>0.05</v>
      </c>
      <c r="G301" s="32">
        <v>120</v>
      </c>
      <c r="H301" s="54"/>
      <c r="I301" s="33" t="b">
        <v>1</v>
      </c>
      <c r="J301" s="34" t="b">
        <v>1</v>
      </c>
      <c r="K301" s="35" t="b">
        <v>1</v>
      </c>
      <c r="L301" s="27" t="s">
        <v>489</v>
      </c>
      <c r="M301" s="27" t="s">
        <v>34</v>
      </c>
      <c r="N301" s="33">
        <v>30</v>
      </c>
      <c r="O301" s="34">
        <v>12</v>
      </c>
      <c r="P301" s="35">
        <v>6</v>
      </c>
      <c r="Q301" s="28">
        <v>5000</v>
      </c>
      <c r="R301" s="36">
        <v>150000</v>
      </c>
      <c r="S301" s="37">
        <v>60000</v>
      </c>
      <c r="T301" s="38">
        <v>30000</v>
      </c>
      <c r="U301" s="27" t="s">
        <v>39</v>
      </c>
    </row>
    <row r="302" spans="1:21">
      <c r="A302" s="27" t="s">
        <v>110</v>
      </c>
      <c r="B302" s="61" t="s">
        <v>493</v>
      </c>
      <c r="C302" s="28">
        <v>1000000</v>
      </c>
      <c r="D302" s="29">
        <v>0.25</v>
      </c>
      <c r="E302" s="30">
        <v>0.1</v>
      </c>
      <c r="F302" s="31">
        <v>0.05</v>
      </c>
      <c r="G302" s="32">
        <v>160</v>
      </c>
      <c r="H302" s="54"/>
      <c r="I302" s="33" t="b">
        <v>1</v>
      </c>
      <c r="J302" s="34" t="b">
        <v>1</v>
      </c>
      <c r="K302" s="35" t="b">
        <v>1</v>
      </c>
      <c r="L302" s="27" t="s">
        <v>489</v>
      </c>
      <c r="M302" s="27" t="s">
        <v>34</v>
      </c>
      <c r="N302" s="33">
        <v>40</v>
      </c>
      <c r="O302" s="34">
        <v>16</v>
      </c>
      <c r="P302" s="35">
        <v>8</v>
      </c>
      <c r="Q302" s="28">
        <v>6250</v>
      </c>
      <c r="R302" s="36">
        <v>250000</v>
      </c>
      <c r="S302" s="37">
        <v>100000</v>
      </c>
      <c r="T302" s="38">
        <v>50000</v>
      </c>
      <c r="U302" s="27" t="s">
        <v>39</v>
      </c>
    </row>
    <row r="303" spans="1:21">
      <c r="A303" s="27" t="s">
        <v>110</v>
      </c>
      <c r="B303" s="61" t="s">
        <v>494</v>
      </c>
      <c r="C303" s="28">
        <v>2400000</v>
      </c>
      <c r="D303" s="29">
        <v>0.25</v>
      </c>
      <c r="E303" s="30">
        <v>0.1</v>
      </c>
      <c r="F303" s="31">
        <v>0.05</v>
      </c>
      <c r="G303" s="32">
        <v>240</v>
      </c>
      <c r="H303" s="54"/>
      <c r="I303" s="33" t="b">
        <v>1</v>
      </c>
      <c r="J303" s="34" t="b">
        <v>1</v>
      </c>
      <c r="K303" s="35" t="b">
        <v>1</v>
      </c>
      <c r="L303" s="27" t="s">
        <v>489</v>
      </c>
      <c r="M303" s="27" t="s">
        <v>34</v>
      </c>
      <c r="N303" s="33">
        <v>60</v>
      </c>
      <c r="O303" s="34">
        <v>24</v>
      </c>
      <c r="P303" s="35">
        <v>12</v>
      </c>
      <c r="Q303" s="28">
        <v>10000</v>
      </c>
      <c r="R303" s="36">
        <v>600000</v>
      </c>
      <c r="S303" s="37">
        <v>240000</v>
      </c>
      <c r="T303" s="38">
        <v>120000</v>
      </c>
      <c r="U303" s="27" t="s">
        <v>39</v>
      </c>
    </row>
    <row r="304" spans="1:21">
      <c r="A304" s="39" t="s">
        <v>110</v>
      </c>
      <c r="B304" s="64" t="s">
        <v>495</v>
      </c>
      <c r="C304" s="40">
        <v>800000</v>
      </c>
      <c r="D304" s="41">
        <v>0</v>
      </c>
      <c r="E304" s="41">
        <v>1</v>
      </c>
      <c r="F304" s="41">
        <v>0.05</v>
      </c>
      <c r="G304" s="42">
        <v>55</v>
      </c>
      <c r="H304" s="55" t="s">
        <v>17</v>
      </c>
      <c r="I304" s="42" t="b">
        <v>1</v>
      </c>
      <c r="J304" s="42" t="b">
        <v>1</v>
      </c>
      <c r="K304" s="42" t="b">
        <v>1</v>
      </c>
      <c r="L304" s="39" t="s">
        <v>489</v>
      </c>
      <c r="M304" s="39" t="s">
        <v>34</v>
      </c>
      <c r="N304" s="42">
        <v>0</v>
      </c>
      <c r="O304" s="42">
        <v>55</v>
      </c>
      <c r="P304" s="42">
        <v>3</v>
      </c>
      <c r="Q304" s="40">
        <v>14545.45454545455</v>
      </c>
      <c r="R304" s="40">
        <v>0</v>
      </c>
      <c r="S304" s="40">
        <v>800000</v>
      </c>
      <c r="T304" s="40">
        <v>43636.36363636364</v>
      </c>
      <c r="U304" s="39" t="s">
        <v>39</v>
      </c>
    </row>
    <row r="305" spans="1:21">
      <c r="A305" s="27" t="s">
        <v>110</v>
      </c>
      <c r="B305" s="61" t="s">
        <v>496</v>
      </c>
      <c r="C305" s="28">
        <v>2400000</v>
      </c>
      <c r="D305" s="29">
        <v>0.25</v>
      </c>
      <c r="E305" s="30">
        <v>0.1</v>
      </c>
      <c r="F305" s="31">
        <v>0.05</v>
      </c>
      <c r="G305" s="32">
        <v>120</v>
      </c>
      <c r="H305" s="54"/>
      <c r="I305" s="33" t="b">
        <v>1</v>
      </c>
      <c r="J305" s="34" t="b">
        <v>1</v>
      </c>
      <c r="K305" s="35" t="b">
        <v>1</v>
      </c>
      <c r="L305" s="27" t="s">
        <v>489</v>
      </c>
      <c r="M305" s="27" t="s">
        <v>34</v>
      </c>
      <c r="N305" s="33">
        <v>30</v>
      </c>
      <c r="O305" s="34">
        <v>12</v>
      </c>
      <c r="P305" s="35">
        <v>6</v>
      </c>
      <c r="Q305" s="28">
        <v>20000</v>
      </c>
      <c r="R305" s="36">
        <v>600000</v>
      </c>
      <c r="S305" s="37">
        <v>240000</v>
      </c>
      <c r="T305" s="38">
        <v>120000</v>
      </c>
      <c r="U305" s="27" t="s">
        <v>39</v>
      </c>
    </row>
    <row r="306" spans="1:21">
      <c r="A306" s="27" t="s">
        <v>110</v>
      </c>
      <c r="B306" s="61" t="s">
        <v>497</v>
      </c>
      <c r="C306" s="28">
        <v>8500000</v>
      </c>
      <c r="D306" s="29">
        <v>0.25</v>
      </c>
      <c r="E306" s="30">
        <v>0.1</v>
      </c>
      <c r="F306" s="31">
        <v>0.05</v>
      </c>
      <c r="G306" s="32">
        <v>222</v>
      </c>
      <c r="H306" s="54"/>
      <c r="I306" s="33" t="b">
        <v>1</v>
      </c>
      <c r="J306" s="34" t="b">
        <v>1</v>
      </c>
      <c r="K306" s="35" t="b">
        <v>1</v>
      </c>
      <c r="L306" s="27" t="s">
        <v>489</v>
      </c>
      <c r="M306" s="27" t="s">
        <v>34</v>
      </c>
      <c r="N306" s="33">
        <v>56</v>
      </c>
      <c r="O306" s="34">
        <v>22</v>
      </c>
      <c r="P306" s="35">
        <v>11</v>
      </c>
      <c r="Q306" s="28">
        <v>38288.288288288291</v>
      </c>
      <c r="R306" s="36">
        <v>2144144.1441441439</v>
      </c>
      <c r="S306" s="37">
        <v>842342.34234234237</v>
      </c>
      <c r="T306" s="38">
        <v>421171.17117117118</v>
      </c>
      <c r="U306" s="27" t="s">
        <v>38</v>
      </c>
    </row>
    <row r="307" spans="1:21">
      <c r="A307" s="27" t="s">
        <v>110</v>
      </c>
      <c r="B307" s="61" t="s">
        <v>498</v>
      </c>
      <c r="C307" s="28">
        <v>1800000</v>
      </c>
      <c r="D307" s="29">
        <v>0.25</v>
      </c>
      <c r="E307" s="30">
        <v>0.1</v>
      </c>
      <c r="F307" s="31">
        <v>0.05</v>
      </c>
      <c r="G307" s="32">
        <v>90</v>
      </c>
      <c r="H307" s="54"/>
      <c r="I307" s="33" t="b">
        <v>1</v>
      </c>
      <c r="J307" s="34" t="b">
        <v>1</v>
      </c>
      <c r="K307" s="35" t="b">
        <v>1</v>
      </c>
      <c r="L307" s="27" t="s">
        <v>489</v>
      </c>
      <c r="M307" s="27" t="s">
        <v>34</v>
      </c>
      <c r="N307" s="33">
        <v>22</v>
      </c>
      <c r="O307" s="34">
        <v>9</v>
      </c>
      <c r="P307" s="35">
        <v>4</v>
      </c>
      <c r="Q307" s="28">
        <v>20000</v>
      </c>
      <c r="R307" s="36">
        <v>440000</v>
      </c>
      <c r="S307" s="37">
        <v>180000</v>
      </c>
      <c r="T307" s="38">
        <v>80000</v>
      </c>
      <c r="U307" s="27" t="s">
        <v>38</v>
      </c>
    </row>
    <row r="308" spans="1:21">
      <c r="A308" s="39" t="s">
        <v>110</v>
      </c>
      <c r="B308" s="62" t="s">
        <v>499</v>
      </c>
      <c r="C308" s="40">
        <v>600000</v>
      </c>
      <c r="D308" s="41">
        <v>0.25</v>
      </c>
      <c r="E308" s="41">
        <v>0.1</v>
      </c>
      <c r="F308" s="41">
        <v>0.05</v>
      </c>
      <c r="G308" s="42">
        <v>120</v>
      </c>
      <c r="H308" s="55" t="s">
        <v>6</v>
      </c>
      <c r="I308" s="42" t="b">
        <v>1</v>
      </c>
      <c r="J308" s="42" t="b">
        <v>1</v>
      </c>
      <c r="K308" s="42" t="b">
        <v>1</v>
      </c>
      <c r="L308" s="39" t="s">
        <v>489</v>
      </c>
      <c r="M308" s="39" t="s">
        <v>34</v>
      </c>
      <c r="N308" s="42">
        <v>30</v>
      </c>
      <c r="O308" s="42">
        <v>12</v>
      </c>
      <c r="P308" s="42">
        <v>6</v>
      </c>
      <c r="Q308" s="40">
        <v>5000</v>
      </c>
      <c r="R308" s="40">
        <v>150000</v>
      </c>
      <c r="S308" s="40">
        <v>60000</v>
      </c>
      <c r="T308" s="40">
        <v>30000</v>
      </c>
      <c r="U308" s="39" t="s">
        <v>39</v>
      </c>
    </row>
    <row r="309" spans="1:21">
      <c r="A309" s="27" t="s">
        <v>110</v>
      </c>
      <c r="B309" s="61" t="s">
        <v>500</v>
      </c>
      <c r="C309" s="28">
        <v>1355000</v>
      </c>
      <c r="D309" s="29">
        <v>0.25</v>
      </c>
      <c r="E309" s="30">
        <v>0.1</v>
      </c>
      <c r="F309" s="31">
        <v>0.05</v>
      </c>
      <c r="G309" s="32">
        <v>131</v>
      </c>
      <c r="H309" s="54"/>
      <c r="I309" s="33" t="b">
        <v>1</v>
      </c>
      <c r="J309" s="34" t="b">
        <v>1</v>
      </c>
      <c r="K309" s="35" t="b">
        <v>1</v>
      </c>
      <c r="L309" s="27" t="s">
        <v>489</v>
      </c>
      <c r="M309" s="27" t="s">
        <v>34</v>
      </c>
      <c r="N309" s="33">
        <v>33</v>
      </c>
      <c r="O309" s="34">
        <v>13</v>
      </c>
      <c r="P309" s="35">
        <v>7</v>
      </c>
      <c r="Q309" s="28">
        <v>10343.51145038168</v>
      </c>
      <c r="R309" s="36">
        <v>341335.87786259537</v>
      </c>
      <c r="S309" s="37">
        <v>134465.64885496179</v>
      </c>
      <c r="T309" s="38">
        <v>72404.580152671755</v>
      </c>
      <c r="U309" s="27" t="s">
        <v>39</v>
      </c>
    </row>
    <row r="310" spans="1:21">
      <c r="A310" s="39" t="s">
        <v>110</v>
      </c>
      <c r="B310" s="62" t="s">
        <v>501</v>
      </c>
      <c r="C310" s="40">
        <v>2400000</v>
      </c>
      <c r="D310" s="41">
        <v>0.25</v>
      </c>
      <c r="E310" s="41">
        <v>0.1</v>
      </c>
      <c r="F310" s="41">
        <v>0.05</v>
      </c>
      <c r="G310" s="42">
        <v>80</v>
      </c>
      <c r="H310" s="54"/>
      <c r="I310" s="42" t="b">
        <v>1</v>
      </c>
      <c r="J310" s="42" t="b">
        <v>1</v>
      </c>
      <c r="K310" s="42" t="b">
        <v>1</v>
      </c>
      <c r="L310" s="39" t="s">
        <v>489</v>
      </c>
      <c r="M310" s="39" t="s">
        <v>34</v>
      </c>
      <c r="N310" s="42">
        <v>20</v>
      </c>
      <c r="O310" s="42">
        <v>8</v>
      </c>
      <c r="P310" s="42">
        <v>4</v>
      </c>
      <c r="Q310" s="40">
        <v>30000</v>
      </c>
      <c r="R310" s="40">
        <v>600000</v>
      </c>
      <c r="S310" s="40">
        <v>240000</v>
      </c>
      <c r="T310" s="40">
        <v>120000</v>
      </c>
      <c r="U310" s="39" t="s">
        <v>39</v>
      </c>
    </row>
    <row r="311" spans="1:21">
      <c r="A311" s="27" t="s">
        <v>110</v>
      </c>
      <c r="B311" s="61" t="s">
        <v>502</v>
      </c>
      <c r="C311" s="28">
        <v>2400000</v>
      </c>
      <c r="D311" s="29">
        <v>0.25</v>
      </c>
      <c r="E311" s="30">
        <v>0.1</v>
      </c>
      <c r="F311" s="31">
        <v>0.05</v>
      </c>
      <c r="G311" s="32">
        <v>120</v>
      </c>
      <c r="H311" s="54"/>
      <c r="I311" s="33" t="b">
        <v>1</v>
      </c>
      <c r="J311" s="34" t="b">
        <v>1</v>
      </c>
      <c r="K311" s="35" t="b">
        <v>1</v>
      </c>
      <c r="L311" s="27" t="s">
        <v>489</v>
      </c>
      <c r="M311" s="27" t="s">
        <v>34</v>
      </c>
      <c r="N311" s="33">
        <v>30</v>
      </c>
      <c r="O311" s="34">
        <v>12</v>
      </c>
      <c r="P311" s="35">
        <v>6</v>
      </c>
      <c r="Q311" s="28">
        <v>20000</v>
      </c>
      <c r="R311" s="36">
        <v>600000</v>
      </c>
      <c r="S311" s="37">
        <v>240000</v>
      </c>
      <c r="T311" s="38">
        <v>120000</v>
      </c>
      <c r="U311" s="27" t="s">
        <v>39</v>
      </c>
    </row>
    <row r="312" spans="1:21">
      <c r="A312" s="39" t="s">
        <v>110</v>
      </c>
      <c r="B312" s="46" t="s">
        <v>503</v>
      </c>
      <c r="C312" s="40">
        <v>800000</v>
      </c>
      <c r="D312" s="41">
        <v>0</v>
      </c>
      <c r="E312" s="41">
        <v>1</v>
      </c>
      <c r="F312" s="41">
        <v>0.05</v>
      </c>
      <c r="G312" s="42">
        <v>55</v>
      </c>
      <c r="H312" s="55" t="s">
        <v>168</v>
      </c>
      <c r="I312" s="42" t="b">
        <v>1</v>
      </c>
      <c r="J312" s="42" t="b">
        <v>1</v>
      </c>
      <c r="K312" s="42" t="b">
        <v>1</v>
      </c>
      <c r="L312" s="39" t="s">
        <v>489</v>
      </c>
      <c r="M312" s="39" t="s">
        <v>34</v>
      </c>
      <c r="N312" s="42">
        <v>0</v>
      </c>
      <c r="O312" s="42">
        <v>55</v>
      </c>
      <c r="P312" s="42">
        <v>3</v>
      </c>
      <c r="Q312" s="40">
        <v>14545.45454545455</v>
      </c>
      <c r="R312" s="40">
        <v>0</v>
      </c>
      <c r="S312" s="40">
        <v>800000</v>
      </c>
      <c r="T312" s="40">
        <v>43636.36363636364</v>
      </c>
      <c r="U312" s="39" t="s">
        <v>39</v>
      </c>
    </row>
    <row r="313" spans="1:21">
      <c r="A313" s="39" t="s">
        <v>110</v>
      </c>
      <c r="B313" s="64" t="s">
        <v>504</v>
      </c>
      <c r="C313" s="40">
        <v>800000</v>
      </c>
      <c r="D313" s="41">
        <v>0</v>
      </c>
      <c r="E313" s="41">
        <v>0</v>
      </c>
      <c r="F313" s="41">
        <v>0.05</v>
      </c>
      <c r="G313" s="42">
        <v>55</v>
      </c>
      <c r="H313" s="55" t="s">
        <v>14</v>
      </c>
      <c r="I313" s="42" t="b">
        <v>1</v>
      </c>
      <c r="J313" s="42" t="b">
        <v>1</v>
      </c>
      <c r="K313" s="42" t="b">
        <v>1</v>
      </c>
      <c r="L313" s="39" t="s">
        <v>489</v>
      </c>
      <c r="M313" s="39" t="s">
        <v>34</v>
      </c>
      <c r="N313" s="42">
        <v>0</v>
      </c>
      <c r="O313" s="42">
        <v>0</v>
      </c>
      <c r="P313" s="42">
        <v>3</v>
      </c>
      <c r="Q313" s="40">
        <v>14545.45454545455</v>
      </c>
      <c r="R313" s="40">
        <v>0</v>
      </c>
      <c r="S313" s="40">
        <v>0</v>
      </c>
      <c r="T313" s="40">
        <v>43636.36363636364</v>
      </c>
      <c r="U313" s="39" t="s">
        <v>39</v>
      </c>
    </row>
    <row r="314" spans="1:21">
      <c r="A314" s="27" t="s">
        <v>111</v>
      </c>
      <c r="B314" s="50" t="s">
        <v>505</v>
      </c>
      <c r="C314" s="28">
        <v>5825997.2400000002</v>
      </c>
      <c r="D314" s="29">
        <v>0.25</v>
      </c>
      <c r="E314" s="30">
        <v>0.1</v>
      </c>
      <c r="F314" s="31">
        <v>0.05</v>
      </c>
      <c r="G314" s="32">
        <v>24</v>
      </c>
      <c r="H314" s="54"/>
      <c r="I314" s="33" t="b">
        <v>1</v>
      </c>
      <c r="J314" s="34" t="b">
        <v>1</v>
      </c>
      <c r="K314" s="35" t="b">
        <v>1</v>
      </c>
      <c r="L314" s="27" t="s">
        <v>506</v>
      </c>
      <c r="M314" s="27" t="s">
        <v>34</v>
      </c>
      <c r="N314" s="33">
        <v>6</v>
      </c>
      <c r="O314" s="34">
        <v>2</v>
      </c>
      <c r="P314" s="35">
        <v>1</v>
      </c>
      <c r="Q314" s="28">
        <v>242749.88500000001</v>
      </c>
      <c r="R314" s="36">
        <v>1456499.31</v>
      </c>
      <c r="S314" s="37">
        <v>485499.77</v>
      </c>
      <c r="T314" s="38">
        <v>242749.88500000001</v>
      </c>
      <c r="U314" s="27" t="s">
        <v>37</v>
      </c>
    </row>
    <row r="315" spans="1:21">
      <c r="A315" s="27" t="s">
        <v>111</v>
      </c>
      <c r="B315" s="50" t="s">
        <v>507</v>
      </c>
      <c r="C315" s="28">
        <v>5475586.3399999999</v>
      </c>
      <c r="D315" s="29">
        <v>0.25</v>
      </c>
      <c r="E315" s="30">
        <v>0.1</v>
      </c>
      <c r="F315" s="31">
        <v>0.05</v>
      </c>
      <c r="G315" s="32">
        <v>38</v>
      </c>
      <c r="H315" s="54"/>
      <c r="I315" s="33" t="b">
        <v>1</v>
      </c>
      <c r="J315" s="34" t="b">
        <v>1</v>
      </c>
      <c r="K315" s="35" t="b">
        <v>1</v>
      </c>
      <c r="L315" s="27" t="s">
        <v>506</v>
      </c>
      <c r="M315" s="27" t="s">
        <v>34</v>
      </c>
      <c r="N315" s="33">
        <v>10</v>
      </c>
      <c r="O315" s="34">
        <v>4</v>
      </c>
      <c r="P315" s="35">
        <v>2</v>
      </c>
      <c r="Q315" s="28">
        <v>144094.37736842109</v>
      </c>
      <c r="R315" s="36">
        <v>1440943.7736842111</v>
      </c>
      <c r="S315" s="37">
        <v>576377.50947368424</v>
      </c>
      <c r="T315" s="38">
        <v>288188.75473684212</v>
      </c>
      <c r="U315" s="27" t="s">
        <v>37</v>
      </c>
    </row>
    <row r="316" spans="1:21">
      <c r="A316" s="27" t="s">
        <v>111</v>
      </c>
      <c r="B316" s="50" t="s">
        <v>508</v>
      </c>
      <c r="C316" s="28">
        <v>3300000</v>
      </c>
      <c r="D316" s="29">
        <v>0.25</v>
      </c>
      <c r="E316" s="30">
        <v>0.1</v>
      </c>
      <c r="F316" s="31">
        <v>0.05</v>
      </c>
      <c r="G316" s="32">
        <v>60</v>
      </c>
      <c r="H316" s="54"/>
      <c r="I316" s="33" t="b">
        <v>1</v>
      </c>
      <c r="J316" s="34" t="b">
        <v>1</v>
      </c>
      <c r="K316" s="35" t="b">
        <v>1</v>
      </c>
      <c r="L316" s="27" t="s">
        <v>506</v>
      </c>
      <c r="M316" s="27" t="s">
        <v>34</v>
      </c>
      <c r="N316" s="33">
        <v>15</v>
      </c>
      <c r="O316" s="34">
        <v>6</v>
      </c>
      <c r="P316" s="35">
        <v>3</v>
      </c>
      <c r="Q316" s="28">
        <v>55000</v>
      </c>
      <c r="R316" s="36">
        <v>825000</v>
      </c>
      <c r="S316" s="37">
        <v>330000</v>
      </c>
      <c r="T316" s="38">
        <v>165000</v>
      </c>
      <c r="U316" s="27" t="s">
        <v>37</v>
      </c>
    </row>
    <row r="317" spans="1:21">
      <c r="A317" s="27" t="s">
        <v>111</v>
      </c>
      <c r="B317" s="50" t="s">
        <v>509</v>
      </c>
      <c r="C317" s="28">
        <v>34050000</v>
      </c>
      <c r="D317" s="29">
        <v>0.25</v>
      </c>
      <c r="E317" s="30">
        <v>0.1</v>
      </c>
      <c r="F317" s="31">
        <v>0.05</v>
      </c>
      <c r="G317" s="32">
        <v>280</v>
      </c>
      <c r="H317" s="54"/>
      <c r="I317" s="33" t="b">
        <v>1</v>
      </c>
      <c r="J317" s="34" t="b">
        <v>1</v>
      </c>
      <c r="K317" s="35" t="b">
        <v>1</v>
      </c>
      <c r="L317" s="27" t="s">
        <v>506</v>
      </c>
      <c r="M317" s="27" t="s">
        <v>34</v>
      </c>
      <c r="N317" s="33">
        <v>70</v>
      </c>
      <c r="O317" s="34">
        <v>28</v>
      </c>
      <c r="P317" s="35">
        <v>14</v>
      </c>
      <c r="Q317" s="28">
        <v>121607.1428571429</v>
      </c>
      <c r="R317" s="36">
        <v>8512500</v>
      </c>
      <c r="S317" s="37">
        <v>3405000</v>
      </c>
      <c r="T317" s="38">
        <v>1702500</v>
      </c>
      <c r="U317" s="27" t="s">
        <v>38</v>
      </c>
    </row>
    <row r="318" spans="1:21">
      <c r="A318" s="27" t="s">
        <v>111</v>
      </c>
      <c r="B318" s="50" t="s">
        <v>510</v>
      </c>
      <c r="C318" s="28">
        <v>571428.56000000006</v>
      </c>
      <c r="D318" s="29">
        <v>0.25</v>
      </c>
      <c r="E318" s="30">
        <v>0.1</v>
      </c>
      <c r="F318" s="31">
        <v>0.05</v>
      </c>
      <c r="G318" s="32">
        <v>120</v>
      </c>
      <c r="H318" s="54"/>
      <c r="I318" s="33" t="b">
        <v>1</v>
      </c>
      <c r="J318" s="34" t="b">
        <v>1</v>
      </c>
      <c r="K318" s="35" t="b">
        <v>1</v>
      </c>
      <c r="L318" s="27" t="s">
        <v>506</v>
      </c>
      <c r="M318" s="27" t="s">
        <v>34</v>
      </c>
      <c r="N318" s="33">
        <v>30</v>
      </c>
      <c r="O318" s="34">
        <v>12</v>
      </c>
      <c r="P318" s="35">
        <v>6</v>
      </c>
      <c r="Q318" s="28">
        <v>4761.9046666666673</v>
      </c>
      <c r="R318" s="36">
        <v>142857.14000000001</v>
      </c>
      <c r="S318" s="37">
        <v>57142.856000000007</v>
      </c>
      <c r="T318" s="38">
        <v>28571.428</v>
      </c>
      <c r="U318" s="27" t="s">
        <v>38</v>
      </c>
    </row>
    <row r="319" spans="1:21">
      <c r="A319" s="27" t="s">
        <v>111</v>
      </c>
      <c r="B319" s="50" t="s">
        <v>511</v>
      </c>
      <c r="C319" s="28">
        <v>8750000</v>
      </c>
      <c r="D319" s="29">
        <v>0.25</v>
      </c>
      <c r="E319" s="30">
        <v>0.1</v>
      </c>
      <c r="F319" s="31">
        <v>0.05</v>
      </c>
      <c r="G319" s="32">
        <v>53</v>
      </c>
      <c r="H319" s="54"/>
      <c r="I319" s="33" t="b">
        <v>1</v>
      </c>
      <c r="J319" s="34" t="b">
        <v>1</v>
      </c>
      <c r="K319" s="35" t="b">
        <v>1</v>
      </c>
      <c r="L319" s="27" t="s">
        <v>506</v>
      </c>
      <c r="M319" s="27" t="s">
        <v>34</v>
      </c>
      <c r="N319" s="33">
        <v>13</v>
      </c>
      <c r="O319" s="34">
        <v>5</v>
      </c>
      <c r="P319" s="35">
        <v>3</v>
      </c>
      <c r="Q319" s="28">
        <v>165094.33962264151</v>
      </c>
      <c r="R319" s="36">
        <v>2146226.4150943402</v>
      </c>
      <c r="S319" s="37">
        <v>825471.69811320747</v>
      </c>
      <c r="T319" s="38">
        <v>495283.01886792452</v>
      </c>
      <c r="U319" s="27" t="s">
        <v>38</v>
      </c>
    </row>
    <row r="320" spans="1:21">
      <c r="A320" s="27" t="s">
        <v>111</v>
      </c>
      <c r="B320" s="50" t="s">
        <v>512</v>
      </c>
      <c r="C320" s="28">
        <v>1500000</v>
      </c>
      <c r="D320" s="29">
        <v>0.25</v>
      </c>
      <c r="E320" s="30">
        <v>0.1</v>
      </c>
      <c r="F320" s="31">
        <v>0.05</v>
      </c>
      <c r="G320" s="32">
        <v>50</v>
      </c>
      <c r="H320" s="54"/>
      <c r="I320" s="33" t="b">
        <v>1</v>
      </c>
      <c r="J320" s="34" t="b">
        <v>1</v>
      </c>
      <c r="K320" s="35" t="b">
        <v>1</v>
      </c>
      <c r="L320" s="27" t="s">
        <v>506</v>
      </c>
      <c r="M320" s="27" t="s">
        <v>34</v>
      </c>
      <c r="N320" s="33">
        <v>12</v>
      </c>
      <c r="O320" s="34">
        <v>5</v>
      </c>
      <c r="P320" s="35">
        <v>2</v>
      </c>
      <c r="Q320" s="28">
        <v>30000</v>
      </c>
      <c r="R320" s="36">
        <v>360000</v>
      </c>
      <c r="S320" s="37">
        <v>150000</v>
      </c>
      <c r="T320" s="38">
        <v>60000</v>
      </c>
      <c r="U320" s="27" t="s">
        <v>39</v>
      </c>
    </row>
    <row r="321" spans="1:21">
      <c r="A321" s="27" t="s">
        <v>111</v>
      </c>
      <c r="B321" s="50" t="s">
        <v>513</v>
      </c>
      <c r="C321" s="28">
        <v>3300000</v>
      </c>
      <c r="D321" s="29">
        <v>0.25</v>
      </c>
      <c r="E321" s="30">
        <v>0.1</v>
      </c>
      <c r="F321" s="31">
        <v>0.05</v>
      </c>
      <c r="G321" s="32">
        <v>16</v>
      </c>
      <c r="H321" s="54"/>
      <c r="I321" s="33" t="b">
        <v>1</v>
      </c>
      <c r="J321" s="34" t="b">
        <v>1</v>
      </c>
      <c r="K321" s="35" t="b">
        <v>1</v>
      </c>
      <c r="L321" s="27" t="s">
        <v>506</v>
      </c>
      <c r="M321" s="27" t="s">
        <v>34</v>
      </c>
      <c r="N321" s="33">
        <v>4</v>
      </c>
      <c r="O321" s="34">
        <v>2</v>
      </c>
      <c r="P321" s="35">
        <v>1</v>
      </c>
      <c r="Q321" s="28">
        <v>206250</v>
      </c>
      <c r="R321" s="36">
        <v>825000</v>
      </c>
      <c r="S321" s="37">
        <v>412500</v>
      </c>
      <c r="T321" s="38">
        <v>206250</v>
      </c>
      <c r="U321" s="27" t="s">
        <v>40</v>
      </c>
    </row>
    <row r="322" spans="1:21">
      <c r="A322" s="27" t="s">
        <v>111</v>
      </c>
      <c r="B322" s="50" t="s">
        <v>514</v>
      </c>
      <c r="C322" s="28">
        <v>1499999.84</v>
      </c>
      <c r="D322" s="29">
        <v>0.4</v>
      </c>
      <c r="E322" s="30">
        <v>0.1</v>
      </c>
      <c r="F322" s="31">
        <v>0.05</v>
      </c>
      <c r="G322" s="32">
        <v>4</v>
      </c>
      <c r="H322" s="54"/>
      <c r="I322" s="33" t="b">
        <v>1</v>
      </c>
      <c r="J322" s="34" t="b">
        <v>1</v>
      </c>
      <c r="K322" s="35" t="b">
        <v>1</v>
      </c>
      <c r="L322" s="27" t="s">
        <v>506</v>
      </c>
      <c r="M322" s="27" t="s">
        <v>34</v>
      </c>
      <c r="N322" s="33">
        <v>2</v>
      </c>
      <c r="O322" s="34">
        <v>0</v>
      </c>
      <c r="P322" s="35">
        <v>0</v>
      </c>
      <c r="Q322" s="28">
        <v>374999.96</v>
      </c>
      <c r="R322" s="36">
        <v>749999.92</v>
      </c>
      <c r="S322" s="37">
        <v>0</v>
      </c>
      <c r="T322" s="38">
        <v>0</v>
      </c>
      <c r="U322" s="27" t="s">
        <v>40</v>
      </c>
    </row>
    <row r="323" spans="1:21">
      <c r="A323" s="27" t="s">
        <v>112</v>
      </c>
      <c r="B323" s="50" t="s">
        <v>515</v>
      </c>
      <c r="C323" s="28">
        <v>9800000</v>
      </c>
      <c r="D323" s="29">
        <v>0.25</v>
      </c>
      <c r="E323" s="30">
        <v>0.1</v>
      </c>
      <c r="F323" s="31">
        <v>0.05</v>
      </c>
      <c r="G323" s="32">
        <v>260</v>
      </c>
      <c r="H323" s="54"/>
      <c r="I323" s="33" t="b">
        <v>1</v>
      </c>
      <c r="J323" s="34" t="b">
        <v>1</v>
      </c>
      <c r="K323" s="35" t="b">
        <v>1</v>
      </c>
      <c r="L323" s="27" t="s">
        <v>516</v>
      </c>
      <c r="M323" s="27" t="s">
        <v>34</v>
      </c>
      <c r="N323" s="33">
        <v>65</v>
      </c>
      <c r="O323" s="34">
        <v>26</v>
      </c>
      <c r="P323" s="35">
        <v>13</v>
      </c>
      <c r="Q323" s="28">
        <v>37692.307692307702</v>
      </c>
      <c r="R323" s="36">
        <v>2450000</v>
      </c>
      <c r="S323" s="37">
        <v>980000.00000000012</v>
      </c>
      <c r="T323" s="38">
        <v>490000.00000000012</v>
      </c>
      <c r="U323" s="27" t="s">
        <v>36</v>
      </c>
    </row>
    <row r="324" spans="1:21">
      <c r="A324" s="27" t="s">
        <v>112</v>
      </c>
      <c r="B324" s="50" t="s">
        <v>517</v>
      </c>
      <c r="C324" s="28">
        <v>33950000</v>
      </c>
      <c r="D324" s="29">
        <v>0.25</v>
      </c>
      <c r="E324" s="30">
        <v>0.1</v>
      </c>
      <c r="F324" s="31">
        <v>0.05</v>
      </c>
      <c r="G324" s="32">
        <v>900</v>
      </c>
      <c r="H324" s="54"/>
      <c r="I324" s="33" t="b">
        <v>1</v>
      </c>
      <c r="J324" s="34" t="b">
        <v>1</v>
      </c>
      <c r="K324" s="35" t="b">
        <v>1</v>
      </c>
      <c r="L324" s="27" t="s">
        <v>516</v>
      </c>
      <c r="M324" s="27" t="s">
        <v>34</v>
      </c>
      <c r="N324" s="33">
        <v>225</v>
      </c>
      <c r="O324" s="34">
        <v>90</v>
      </c>
      <c r="P324" s="35">
        <v>45</v>
      </c>
      <c r="Q324" s="28">
        <v>37722.222222222219</v>
      </c>
      <c r="R324" s="36">
        <v>8487500</v>
      </c>
      <c r="S324" s="37">
        <v>3395000</v>
      </c>
      <c r="T324" s="38">
        <v>1697500</v>
      </c>
      <c r="U324" s="27" t="s">
        <v>38</v>
      </c>
    </row>
    <row r="325" spans="1:21">
      <c r="A325" s="27" t="s">
        <v>112</v>
      </c>
      <c r="B325" s="50" t="s">
        <v>518</v>
      </c>
      <c r="C325" s="28">
        <v>9177166.5999999996</v>
      </c>
      <c r="D325" s="29">
        <v>0.25</v>
      </c>
      <c r="E325" s="30">
        <v>0.1</v>
      </c>
      <c r="F325" s="31">
        <v>0.05</v>
      </c>
      <c r="G325" s="32">
        <v>780</v>
      </c>
      <c r="H325" s="54"/>
      <c r="I325" s="33" t="b">
        <v>1</v>
      </c>
      <c r="J325" s="34" t="b">
        <v>1</v>
      </c>
      <c r="K325" s="35" t="b">
        <v>1</v>
      </c>
      <c r="L325" s="27" t="s">
        <v>516</v>
      </c>
      <c r="M325" s="27" t="s">
        <v>34</v>
      </c>
      <c r="N325" s="33">
        <v>195</v>
      </c>
      <c r="O325" s="34">
        <v>78</v>
      </c>
      <c r="P325" s="35">
        <v>39</v>
      </c>
      <c r="Q325" s="28">
        <v>11765.598205128201</v>
      </c>
      <c r="R325" s="36">
        <v>2294291.65</v>
      </c>
      <c r="S325" s="37">
        <v>917716.65999999992</v>
      </c>
      <c r="T325" s="38">
        <v>458858.33</v>
      </c>
      <c r="U325" s="27" t="s">
        <v>39</v>
      </c>
    </row>
    <row r="326" spans="1:21">
      <c r="A326" s="39" t="s">
        <v>112</v>
      </c>
      <c r="B326" s="62" t="s">
        <v>519</v>
      </c>
      <c r="C326" s="40">
        <v>1000000</v>
      </c>
      <c r="D326" s="41">
        <v>1</v>
      </c>
      <c r="E326" s="41">
        <v>0.1</v>
      </c>
      <c r="F326" s="41">
        <v>0.05</v>
      </c>
      <c r="G326" s="42">
        <v>100</v>
      </c>
      <c r="H326" s="55" t="s">
        <v>9</v>
      </c>
      <c r="I326" s="42" t="b">
        <v>1</v>
      </c>
      <c r="J326" s="42" t="b">
        <v>1</v>
      </c>
      <c r="K326" s="42" t="b">
        <v>1</v>
      </c>
      <c r="L326" s="39" t="s">
        <v>516</v>
      </c>
      <c r="M326" s="39" t="s">
        <v>34</v>
      </c>
      <c r="N326" s="42">
        <v>100</v>
      </c>
      <c r="O326" s="42">
        <v>10</v>
      </c>
      <c r="P326" s="42">
        <v>5</v>
      </c>
      <c r="Q326" s="40">
        <v>10000</v>
      </c>
      <c r="R326" s="40">
        <v>1000000</v>
      </c>
      <c r="S326" s="40">
        <v>100000</v>
      </c>
      <c r="T326" s="40">
        <v>50000</v>
      </c>
      <c r="U326" s="39" t="s">
        <v>39</v>
      </c>
    </row>
    <row r="327" spans="1:21">
      <c r="A327" s="39" t="s">
        <v>112</v>
      </c>
      <c r="B327" s="64" t="s">
        <v>520</v>
      </c>
      <c r="C327" s="40">
        <v>2500000</v>
      </c>
      <c r="D327" s="41">
        <v>0.25</v>
      </c>
      <c r="E327" s="41">
        <v>0.1</v>
      </c>
      <c r="F327" s="41">
        <v>0.05</v>
      </c>
      <c r="G327" s="42">
        <v>100</v>
      </c>
      <c r="H327" s="55" t="s">
        <v>13</v>
      </c>
      <c r="I327" s="42" t="b">
        <v>1</v>
      </c>
      <c r="J327" s="42" t="b">
        <v>1</v>
      </c>
      <c r="K327" s="42" t="b">
        <v>1</v>
      </c>
      <c r="L327" s="39" t="s">
        <v>516</v>
      </c>
      <c r="M327" s="39" t="s">
        <v>34</v>
      </c>
      <c r="N327" s="42">
        <v>25</v>
      </c>
      <c r="O327" s="42">
        <v>10</v>
      </c>
      <c r="P327" s="42">
        <v>5</v>
      </c>
      <c r="Q327" s="40">
        <v>25000</v>
      </c>
      <c r="R327" s="40">
        <v>625000</v>
      </c>
      <c r="S327" s="40">
        <v>250000</v>
      </c>
      <c r="T327" s="40">
        <v>125000</v>
      </c>
      <c r="U327" s="39" t="s">
        <v>39</v>
      </c>
    </row>
    <row r="328" spans="1:21">
      <c r="A328" s="27" t="s">
        <v>112</v>
      </c>
      <c r="B328" s="50" t="s">
        <v>521</v>
      </c>
      <c r="C328" s="28">
        <v>7700000</v>
      </c>
      <c r="D328" s="29">
        <v>0.25</v>
      </c>
      <c r="E328" s="30">
        <v>0.1</v>
      </c>
      <c r="F328" s="31">
        <v>0.05</v>
      </c>
      <c r="G328" s="32">
        <v>80</v>
      </c>
      <c r="H328" s="54"/>
      <c r="I328" s="33" t="b">
        <v>1</v>
      </c>
      <c r="J328" s="34" t="b">
        <v>1</v>
      </c>
      <c r="K328" s="35" t="b">
        <v>1</v>
      </c>
      <c r="L328" s="27" t="s">
        <v>516</v>
      </c>
      <c r="M328" s="27" t="s">
        <v>34</v>
      </c>
      <c r="N328" s="33">
        <v>20</v>
      </c>
      <c r="O328" s="34">
        <v>8</v>
      </c>
      <c r="P328" s="35">
        <v>4</v>
      </c>
      <c r="Q328" s="28">
        <v>96250</v>
      </c>
      <c r="R328" s="36">
        <v>1925000</v>
      </c>
      <c r="S328" s="37">
        <v>770000</v>
      </c>
      <c r="T328" s="38">
        <v>385000</v>
      </c>
      <c r="U328" s="27" t="s">
        <v>37</v>
      </c>
    </row>
    <row r="329" spans="1:21">
      <c r="A329" s="27" t="s">
        <v>112</v>
      </c>
      <c r="B329" s="50" t="s">
        <v>522</v>
      </c>
      <c r="C329" s="28">
        <v>1800000</v>
      </c>
      <c r="D329" s="29">
        <v>0.25</v>
      </c>
      <c r="E329" s="30">
        <v>0.1</v>
      </c>
      <c r="F329" s="31">
        <v>0.05</v>
      </c>
      <c r="G329" s="32">
        <v>6</v>
      </c>
      <c r="H329" s="54"/>
      <c r="I329" s="33" t="b">
        <v>1</v>
      </c>
      <c r="J329" s="34" t="b">
        <v>1</v>
      </c>
      <c r="K329" s="35" t="b">
        <v>1</v>
      </c>
      <c r="L329" s="27" t="s">
        <v>516</v>
      </c>
      <c r="M329" s="27" t="s">
        <v>34</v>
      </c>
      <c r="N329" s="33">
        <v>2</v>
      </c>
      <c r="O329" s="34">
        <v>1</v>
      </c>
      <c r="P329" s="35">
        <v>0</v>
      </c>
      <c r="Q329" s="28">
        <v>300000</v>
      </c>
      <c r="R329" s="36">
        <v>600000</v>
      </c>
      <c r="S329" s="37">
        <v>300000</v>
      </c>
      <c r="T329" s="38">
        <v>0</v>
      </c>
      <c r="U329" s="27" t="s">
        <v>37</v>
      </c>
    </row>
    <row r="330" spans="1:21">
      <c r="A330" s="39" t="s">
        <v>113</v>
      </c>
      <c r="B330" s="60" t="s">
        <v>523</v>
      </c>
      <c r="C330" s="40">
        <v>6500000</v>
      </c>
      <c r="D330" s="41">
        <v>0.25</v>
      </c>
      <c r="E330" s="41">
        <v>0.1</v>
      </c>
      <c r="F330" s="41">
        <v>0.05</v>
      </c>
      <c r="G330" s="42">
        <v>130</v>
      </c>
      <c r="H330" s="55" t="s">
        <v>12</v>
      </c>
      <c r="I330" s="42" t="b">
        <v>1</v>
      </c>
      <c r="J330" s="42" t="b">
        <v>1</v>
      </c>
      <c r="K330" s="42" t="b">
        <v>1</v>
      </c>
      <c r="L330" s="39" t="s">
        <v>524</v>
      </c>
      <c r="M330" s="39" t="s">
        <v>34</v>
      </c>
      <c r="N330" s="42">
        <v>32</v>
      </c>
      <c r="O330" s="42">
        <v>13</v>
      </c>
      <c r="P330" s="42">
        <v>6</v>
      </c>
      <c r="Q330" s="40">
        <v>50000</v>
      </c>
      <c r="R330" s="40">
        <v>1600000</v>
      </c>
      <c r="S330" s="40">
        <v>650000</v>
      </c>
      <c r="T330" s="40">
        <v>300000</v>
      </c>
      <c r="U330" s="39" t="s">
        <v>38</v>
      </c>
    </row>
    <row r="331" spans="1:21">
      <c r="A331" s="27" t="s">
        <v>113</v>
      </c>
      <c r="B331" s="50" t="s">
        <v>525</v>
      </c>
      <c r="C331" s="28">
        <v>12000000</v>
      </c>
      <c r="D331" s="29">
        <v>0.25</v>
      </c>
      <c r="E331" s="30">
        <v>0.1</v>
      </c>
      <c r="F331" s="31">
        <v>0.05</v>
      </c>
      <c r="G331" s="32">
        <v>110</v>
      </c>
      <c r="H331" s="54"/>
      <c r="I331" s="33" t="b">
        <v>1</v>
      </c>
      <c r="J331" s="34" t="b">
        <v>1</v>
      </c>
      <c r="K331" s="35" t="b">
        <v>1</v>
      </c>
      <c r="L331" s="27" t="s">
        <v>524</v>
      </c>
      <c r="M331" s="27" t="s">
        <v>34</v>
      </c>
      <c r="N331" s="33">
        <v>28</v>
      </c>
      <c r="O331" s="34">
        <v>11</v>
      </c>
      <c r="P331" s="35">
        <v>6</v>
      </c>
      <c r="Q331" s="28">
        <v>109090.9090909091</v>
      </c>
      <c r="R331" s="36">
        <v>3054545.4545454551</v>
      </c>
      <c r="S331" s="37">
        <v>1200000</v>
      </c>
      <c r="T331" s="38">
        <v>654545.45454545459</v>
      </c>
      <c r="U331" s="27" t="s">
        <v>38</v>
      </c>
    </row>
    <row r="332" spans="1:21">
      <c r="A332" s="27" t="s">
        <v>113</v>
      </c>
      <c r="B332" s="50" t="s">
        <v>526</v>
      </c>
      <c r="C332" s="28">
        <v>2248000</v>
      </c>
      <c r="D332" s="29">
        <v>0.25</v>
      </c>
      <c r="E332" s="30">
        <v>0.1</v>
      </c>
      <c r="F332" s="31">
        <v>0.05</v>
      </c>
      <c r="G332" s="32">
        <v>251</v>
      </c>
      <c r="H332" s="54"/>
      <c r="I332" s="33" t="b">
        <v>1</v>
      </c>
      <c r="J332" s="34" t="b">
        <v>1</v>
      </c>
      <c r="K332" s="35" t="b">
        <v>1</v>
      </c>
      <c r="L332" s="27" t="s">
        <v>524</v>
      </c>
      <c r="M332" s="27" t="s">
        <v>34</v>
      </c>
      <c r="N332" s="33">
        <v>63</v>
      </c>
      <c r="O332" s="34">
        <v>25</v>
      </c>
      <c r="P332" s="35">
        <v>13</v>
      </c>
      <c r="Q332" s="28">
        <v>8956.1752988047811</v>
      </c>
      <c r="R332" s="36">
        <v>564239.04382470122</v>
      </c>
      <c r="S332" s="37">
        <v>223904.38247011951</v>
      </c>
      <c r="T332" s="38">
        <v>116430.2788844622</v>
      </c>
      <c r="U332" s="27" t="s">
        <v>39</v>
      </c>
    </row>
    <row r="333" spans="1:21">
      <c r="A333" s="27" t="s">
        <v>113</v>
      </c>
      <c r="B333" s="50" t="s">
        <v>527</v>
      </c>
      <c r="C333" s="28">
        <v>2700000</v>
      </c>
      <c r="D333" s="29">
        <v>0.25</v>
      </c>
      <c r="E333" s="30">
        <v>0.1</v>
      </c>
      <c r="F333" s="31">
        <v>0.05</v>
      </c>
      <c r="G333" s="32">
        <v>27</v>
      </c>
      <c r="H333" s="54"/>
      <c r="I333" s="33" t="b">
        <v>1</v>
      </c>
      <c r="J333" s="34" t="b">
        <v>1</v>
      </c>
      <c r="K333" s="35" t="b">
        <v>1</v>
      </c>
      <c r="L333" s="27" t="s">
        <v>524</v>
      </c>
      <c r="M333" s="27" t="s">
        <v>34</v>
      </c>
      <c r="N333" s="33">
        <v>7</v>
      </c>
      <c r="O333" s="34">
        <v>3</v>
      </c>
      <c r="P333" s="35">
        <v>1</v>
      </c>
      <c r="Q333" s="28">
        <v>100000</v>
      </c>
      <c r="R333" s="36">
        <v>700000</v>
      </c>
      <c r="S333" s="37">
        <v>300000</v>
      </c>
      <c r="T333" s="38">
        <v>100000</v>
      </c>
      <c r="U333" s="27" t="s">
        <v>37</v>
      </c>
    </row>
    <row r="334" spans="1:21">
      <c r="A334" s="27" t="s">
        <v>113</v>
      </c>
      <c r="B334" s="50" t="s">
        <v>528</v>
      </c>
      <c r="C334" s="28">
        <v>600000</v>
      </c>
      <c r="D334" s="29">
        <v>0.25</v>
      </c>
      <c r="E334" s="30">
        <v>0.1</v>
      </c>
      <c r="F334" s="31">
        <v>0.05</v>
      </c>
      <c r="G334" s="32">
        <v>2</v>
      </c>
      <c r="H334" s="54"/>
      <c r="I334" s="33" t="b">
        <v>1</v>
      </c>
      <c r="J334" s="34" t="b">
        <v>1</v>
      </c>
      <c r="K334" s="35" t="b">
        <v>1</v>
      </c>
      <c r="L334" s="27" t="s">
        <v>524</v>
      </c>
      <c r="M334" s="27" t="s">
        <v>34</v>
      </c>
      <c r="N334" s="33">
        <v>0</v>
      </c>
      <c r="O334" s="34">
        <v>0</v>
      </c>
      <c r="P334" s="35">
        <v>0</v>
      </c>
      <c r="Q334" s="28">
        <v>300000</v>
      </c>
      <c r="R334" s="36">
        <v>0</v>
      </c>
      <c r="S334" s="37">
        <v>0</v>
      </c>
      <c r="T334" s="38">
        <v>0</v>
      </c>
      <c r="U334" s="27" t="s">
        <v>37</v>
      </c>
    </row>
    <row r="335" spans="1:21">
      <c r="A335" s="27" t="s">
        <v>70</v>
      </c>
      <c r="B335" s="50" t="s">
        <v>529</v>
      </c>
      <c r="C335" s="28">
        <v>3980000</v>
      </c>
      <c r="D335" s="29">
        <v>0.25</v>
      </c>
      <c r="E335" s="30">
        <v>0.1</v>
      </c>
      <c r="F335" s="31">
        <v>0.05</v>
      </c>
      <c r="G335" s="32">
        <v>55</v>
      </c>
      <c r="H335" s="54"/>
      <c r="I335" s="33" t="b">
        <v>1</v>
      </c>
      <c r="J335" s="34" t="b">
        <v>1</v>
      </c>
      <c r="K335" s="35" t="b">
        <v>1</v>
      </c>
      <c r="L335" s="27" t="s">
        <v>530</v>
      </c>
      <c r="M335" s="27" t="s">
        <v>33</v>
      </c>
      <c r="N335" s="33">
        <v>14</v>
      </c>
      <c r="O335" s="34">
        <v>6</v>
      </c>
      <c r="P335" s="35">
        <v>3</v>
      </c>
      <c r="Q335" s="28">
        <v>72363.636363636368</v>
      </c>
      <c r="R335" s="36">
        <v>1013090.9090909089</v>
      </c>
      <c r="S335" s="37">
        <v>434181.81818181818</v>
      </c>
      <c r="T335" s="38">
        <v>217090.90909090909</v>
      </c>
      <c r="U335" s="27" t="s">
        <v>39</v>
      </c>
    </row>
    <row r="336" spans="1:21">
      <c r="A336" s="27" t="s">
        <v>70</v>
      </c>
      <c r="B336" s="50" t="s">
        <v>531</v>
      </c>
      <c r="C336" s="28">
        <v>1000000</v>
      </c>
      <c r="D336" s="29">
        <v>0.25</v>
      </c>
      <c r="E336" s="30">
        <v>0.1</v>
      </c>
      <c r="F336" s="31">
        <v>0.05</v>
      </c>
      <c r="G336" s="32">
        <v>50</v>
      </c>
      <c r="H336" s="54"/>
      <c r="I336" s="33" t="b">
        <v>1</v>
      </c>
      <c r="J336" s="34" t="b">
        <v>1</v>
      </c>
      <c r="K336" s="35" t="b">
        <v>1</v>
      </c>
      <c r="L336" s="27" t="s">
        <v>530</v>
      </c>
      <c r="M336" s="27" t="s">
        <v>33</v>
      </c>
      <c r="N336" s="33">
        <v>12</v>
      </c>
      <c r="O336" s="34">
        <v>5</v>
      </c>
      <c r="P336" s="35">
        <v>2</v>
      </c>
      <c r="Q336" s="28">
        <v>20000</v>
      </c>
      <c r="R336" s="36">
        <v>240000</v>
      </c>
      <c r="S336" s="37">
        <v>100000</v>
      </c>
      <c r="T336" s="38">
        <v>40000</v>
      </c>
      <c r="U336" s="27" t="s">
        <v>39</v>
      </c>
    </row>
    <row r="337" spans="1:21">
      <c r="A337" s="27" t="s">
        <v>70</v>
      </c>
      <c r="B337" s="50" t="s">
        <v>532</v>
      </c>
      <c r="C337" s="28">
        <v>1800000</v>
      </c>
      <c r="D337" s="29">
        <v>0.25</v>
      </c>
      <c r="E337" s="30">
        <v>0.1</v>
      </c>
      <c r="F337" s="31">
        <v>0.05</v>
      </c>
      <c r="G337" s="32">
        <v>30</v>
      </c>
      <c r="H337" s="54"/>
      <c r="I337" s="33" t="b">
        <v>1</v>
      </c>
      <c r="J337" s="34" t="b">
        <v>1</v>
      </c>
      <c r="K337" s="35" t="b">
        <v>1</v>
      </c>
      <c r="L337" s="27" t="s">
        <v>530</v>
      </c>
      <c r="M337" s="27" t="s">
        <v>33</v>
      </c>
      <c r="N337" s="33">
        <v>8</v>
      </c>
      <c r="O337" s="34">
        <v>3</v>
      </c>
      <c r="P337" s="35">
        <v>2</v>
      </c>
      <c r="Q337" s="28">
        <v>60000</v>
      </c>
      <c r="R337" s="36">
        <v>480000</v>
      </c>
      <c r="S337" s="37">
        <v>180000</v>
      </c>
      <c r="T337" s="38">
        <v>120000</v>
      </c>
      <c r="U337" s="27" t="s">
        <v>37</v>
      </c>
    </row>
    <row r="338" spans="1:21">
      <c r="A338" s="27" t="s">
        <v>70</v>
      </c>
      <c r="B338" s="50" t="s">
        <v>533</v>
      </c>
      <c r="C338" s="28">
        <v>1036000</v>
      </c>
      <c r="D338" s="29">
        <v>0.25</v>
      </c>
      <c r="E338" s="30">
        <v>0.1</v>
      </c>
      <c r="F338" s="31">
        <v>0.05</v>
      </c>
      <c r="G338" s="32">
        <v>97</v>
      </c>
      <c r="H338" s="54"/>
      <c r="I338" s="33" t="b">
        <v>1</v>
      </c>
      <c r="J338" s="34" t="b">
        <v>1</v>
      </c>
      <c r="K338" s="35" t="b">
        <v>1</v>
      </c>
      <c r="L338" s="27" t="s">
        <v>530</v>
      </c>
      <c r="M338" s="27" t="s">
        <v>33</v>
      </c>
      <c r="N338" s="33">
        <v>24</v>
      </c>
      <c r="O338" s="34">
        <v>10</v>
      </c>
      <c r="P338" s="35">
        <v>5</v>
      </c>
      <c r="Q338" s="28">
        <v>10680.41237113402</v>
      </c>
      <c r="R338" s="36">
        <v>256329.89690721649</v>
      </c>
      <c r="S338" s="37">
        <v>106804.1237113402</v>
      </c>
      <c r="T338" s="38">
        <v>53402.061855670101</v>
      </c>
      <c r="U338" s="27" t="s">
        <v>39</v>
      </c>
    </row>
    <row r="339" spans="1:21">
      <c r="A339" s="27" t="s">
        <v>70</v>
      </c>
      <c r="B339" s="50" t="s">
        <v>534</v>
      </c>
      <c r="C339" s="28">
        <v>780000</v>
      </c>
      <c r="D339" s="29">
        <v>0</v>
      </c>
      <c r="E339" s="30">
        <v>0</v>
      </c>
      <c r="F339" s="31">
        <v>0</v>
      </c>
      <c r="G339" s="32">
        <v>1</v>
      </c>
      <c r="H339" s="54"/>
      <c r="I339" s="33" t="b">
        <v>1</v>
      </c>
      <c r="J339" s="34" t="b">
        <v>1</v>
      </c>
      <c r="K339" s="35" t="b">
        <v>1</v>
      </c>
      <c r="L339" s="27" t="s">
        <v>530</v>
      </c>
      <c r="M339" s="27" t="s">
        <v>33</v>
      </c>
      <c r="N339" s="33">
        <v>0</v>
      </c>
      <c r="O339" s="34">
        <v>0</v>
      </c>
      <c r="P339" s="35">
        <v>0</v>
      </c>
      <c r="Q339" s="28">
        <v>780000</v>
      </c>
      <c r="R339" s="36">
        <v>0</v>
      </c>
      <c r="S339" s="37">
        <v>0</v>
      </c>
      <c r="T339" s="38">
        <v>0</v>
      </c>
      <c r="U339" s="27" t="s">
        <v>37</v>
      </c>
    </row>
    <row r="340" spans="1:21">
      <c r="A340" s="27" t="s">
        <v>71</v>
      </c>
      <c r="B340" s="50" t="s">
        <v>535</v>
      </c>
      <c r="C340" s="28">
        <v>2121592.46</v>
      </c>
      <c r="D340" s="29">
        <v>0.25</v>
      </c>
      <c r="E340" s="30">
        <v>0.1</v>
      </c>
      <c r="F340" s="31">
        <v>0.05</v>
      </c>
      <c r="G340" s="32">
        <v>64</v>
      </c>
      <c r="H340" s="54"/>
      <c r="I340" s="33" t="b">
        <v>1</v>
      </c>
      <c r="J340" s="34" t="b">
        <v>1</v>
      </c>
      <c r="K340" s="35" t="b">
        <v>1</v>
      </c>
      <c r="L340" s="27" t="s">
        <v>536</v>
      </c>
      <c r="M340" s="27" t="s">
        <v>33</v>
      </c>
      <c r="N340" s="33">
        <v>16</v>
      </c>
      <c r="O340" s="34">
        <v>6</v>
      </c>
      <c r="P340" s="35">
        <v>3</v>
      </c>
      <c r="Q340" s="28">
        <v>33149.882187499999</v>
      </c>
      <c r="R340" s="36">
        <v>530398.11499999999</v>
      </c>
      <c r="S340" s="37">
        <v>198899.293125</v>
      </c>
      <c r="T340" s="38">
        <v>99449.646562499998</v>
      </c>
      <c r="U340" s="27" t="s">
        <v>38</v>
      </c>
    </row>
    <row r="341" spans="1:21">
      <c r="A341" s="27" t="s">
        <v>71</v>
      </c>
      <c r="B341" s="50" t="s">
        <v>537</v>
      </c>
      <c r="C341" s="28">
        <v>510000</v>
      </c>
      <c r="D341" s="29">
        <v>0.25</v>
      </c>
      <c r="E341" s="30">
        <v>0.1</v>
      </c>
      <c r="F341" s="31">
        <v>0.05</v>
      </c>
      <c r="G341" s="32">
        <v>26</v>
      </c>
      <c r="H341" s="54"/>
      <c r="I341" s="33" t="b">
        <v>1</v>
      </c>
      <c r="J341" s="34" t="b">
        <v>1</v>
      </c>
      <c r="K341" s="35" t="b">
        <v>1</v>
      </c>
      <c r="L341" s="27" t="s">
        <v>536</v>
      </c>
      <c r="M341" s="27" t="s">
        <v>33</v>
      </c>
      <c r="N341" s="33">
        <v>6</v>
      </c>
      <c r="O341" s="34">
        <v>3</v>
      </c>
      <c r="P341" s="35">
        <v>1</v>
      </c>
      <c r="Q341" s="28">
        <v>19615.384615384621</v>
      </c>
      <c r="R341" s="36">
        <v>117692.3076923077</v>
      </c>
      <c r="S341" s="37">
        <v>58846.153846153851</v>
      </c>
      <c r="T341" s="38">
        <v>19615.384615384621</v>
      </c>
      <c r="U341" s="27" t="s">
        <v>37</v>
      </c>
    </row>
    <row r="342" spans="1:21">
      <c r="A342" s="27" t="s">
        <v>71</v>
      </c>
      <c r="B342" s="50" t="s">
        <v>538</v>
      </c>
      <c r="C342" s="28">
        <v>571216.27</v>
      </c>
      <c r="D342" s="29">
        <v>0.25</v>
      </c>
      <c r="E342" s="30">
        <v>0.1</v>
      </c>
      <c r="F342" s="31">
        <v>0.05</v>
      </c>
      <c r="G342" s="32">
        <v>6</v>
      </c>
      <c r="H342" s="54"/>
      <c r="I342" s="33" t="b">
        <v>1</v>
      </c>
      <c r="J342" s="34" t="b">
        <v>1</v>
      </c>
      <c r="K342" s="35" t="b">
        <v>1</v>
      </c>
      <c r="L342" s="27" t="s">
        <v>536</v>
      </c>
      <c r="M342" s="27" t="s">
        <v>33</v>
      </c>
      <c r="N342" s="33">
        <v>2</v>
      </c>
      <c r="O342" s="34">
        <v>1</v>
      </c>
      <c r="P342" s="35">
        <v>0</v>
      </c>
      <c r="Q342" s="28">
        <v>95202.71166666667</v>
      </c>
      <c r="R342" s="36">
        <v>190405.42333333331</v>
      </c>
      <c r="S342" s="37">
        <v>95202.71166666667</v>
      </c>
      <c r="T342" s="38">
        <v>0</v>
      </c>
      <c r="U342" s="27" t="s">
        <v>37</v>
      </c>
    </row>
    <row r="343" spans="1:21">
      <c r="A343" s="27" t="s">
        <v>71</v>
      </c>
      <c r="B343" s="50" t="s">
        <v>539</v>
      </c>
      <c r="C343" s="28">
        <v>470000</v>
      </c>
      <c r="D343" s="29">
        <v>0.19</v>
      </c>
      <c r="E343" s="30">
        <v>0.19</v>
      </c>
      <c r="F343" s="31">
        <v>0.05</v>
      </c>
      <c r="G343" s="32">
        <v>21</v>
      </c>
      <c r="H343" s="54"/>
      <c r="I343" s="33" t="b">
        <v>0</v>
      </c>
      <c r="J343" s="34" t="b">
        <v>1</v>
      </c>
      <c r="K343" s="35" t="b">
        <v>1</v>
      </c>
      <c r="L343" s="27" t="s">
        <v>536</v>
      </c>
      <c r="M343" s="27" t="s">
        <v>33</v>
      </c>
      <c r="N343" s="33">
        <v>4</v>
      </c>
      <c r="O343" s="34">
        <v>4</v>
      </c>
      <c r="P343" s="35">
        <v>1</v>
      </c>
      <c r="Q343" s="28">
        <v>22380.952380952382</v>
      </c>
      <c r="R343" s="36">
        <v>89523.809523809527</v>
      </c>
      <c r="S343" s="37">
        <v>89523.809523809527</v>
      </c>
      <c r="T343" s="38">
        <v>22380.952380952382</v>
      </c>
      <c r="U343" s="27" t="s">
        <v>40</v>
      </c>
    </row>
    <row r="344" spans="1:21">
      <c r="A344" s="27" t="s">
        <v>72</v>
      </c>
      <c r="B344" s="50" t="s">
        <v>540</v>
      </c>
      <c r="C344" s="28">
        <v>500000</v>
      </c>
      <c r="D344" s="29">
        <v>0.3</v>
      </c>
      <c r="E344" s="30">
        <v>0.1</v>
      </c>
      <c r="F344" s="31">
        <v>0.05</v>
      </c>
      <c r="G344" s="32">
        <v>10</v>
      </c>
      <c r="H344" s="54"/>
      <c r="I344" s="33" t="b">
        <v>1</v>
      </c>
      <c r="J344" s="34" t="b">
        <v>1</v>
      </c>
      <c r="K344" s="35" t="b">
        <v>1</v>
      </c>
      <c r="L344" s="27" t="s">
        <v>541</v>
      </c>
      <c r="M344" s="27" t="s">
        <v>33</v>
      </c>
      <c r="N344" s="33">
        <v>3</v>
      </c>
      <c r="O344" s="34">
        <v>1</v>
      </c>
      <c r="P344" s="35">
        <v>0</v>
      </c>
      <c r="Q344" s="28">
        <v>50000</v>
      </c>
      <c r="R344" s="36">
        <v>150000</v>
      </c>
      <c r="S344" s="37">
        <v>50000</v>
      </c>
      <c r="T344" s="38">
        <v>0</v>
      </c>
      <c r="U344" s="27" t="s">
        <v>38</v>
      </c>
    </row>
    <row r="345" spans="1:21">
      <c r="A345" s="27" t="s">
        <v>72</v>
      </c>
      <c r="B345" s="50" t="s">
        <v>542</v>
      </c>
      <c r="C345" s="28">
        <v>2099141.2999999998</v>
      </c>
      <c r="D345" s="29">
        <v>0.3</v>
      </c>
      <c r="E345" s="30">
        <v>0.1</v>
      </c>
      <c r="F345" s="31">
        <v>0.05</v>
      </c>
      <c r="G345" s="32"/>
      <c r="H345" s="54"/>
      <c r="I345" s="33" t="b">
        <v>1</v>
      </c>
      <c r="J345" s="34" t="b">
        <v>1</v>
      </c>
      <c r="K345" s="35" t="b">
        <v>1</v>
      </c>
      <c r="L345" s="27" t="s">
        <v>541</v>
      </c>
      <c r="M345" s="27" t="s">
        <v>33</v>
      </c>
      <c r="N345" s="33"/>
      <c r="O345" s="34"/>
      <c r="P345" s="35"/>
      <c r="Q345" s="28"/>
      <c r="R345" s="36">
        <v>629742.3899999999</v>
      </c>
      <c r="S345" s="37">
        <v>209914.13</v>
      </c>
      <c r="T345" s="38">
        <v>104957.065</v>
      </c>
      <c r="U345" s="27" t="s">
        <v>38</v>
      </c>
    </row>
    <row r="346" spans="1:21">
      <c r="A346" s="27" t="s">
        <v>72</v>
      </c>
      <c r="B346" s="50" t="s">
        <v>543</v>
      </c>
      <c r="C346" s="28">
        <v>2800000</v>
      </c>
      <c r="D346" s="29">
        <v>0.3</v>
      </c>
      <c r="E346" s="30">
        <v>0.1</v>
      </c>
      <c r="F346" s="31">
        <v>0.05</v>
      </c>
      <c r="G346" s="32">
        <v>36</v>
      </c>
      <c r="H346" s="54"/>
      <c r="I346" s="33" t="b">
        <v>1</v>
      </c>
      <c r="J346" s="34" t="b">
        <v>1</v>
      </c>
      <c r="K346" s="35" t="b">
        <v>1</v>
      </c>
      <c r="L346" s="27" t="s">
        <v>541</v>
      </c>
      <c r="M346" s="27" t="s">
        <v>33</v>
      </c>
      <c r="N346" s="33">
        <v>11</v>
      </c>
      <c r="O346" s="34">
        <v>4</v>
      </c>
      <c r="P346" s="35">
        <v>2</v>
      </c>
      <c r="Q346" s="28">
        <v>77777.777777777781</v>
      </c>
      <c r="R346" s="36">
        <v>855555.55555555562</v>
      </c>
      <c r="S346" s="37">
        <v>311111.11111111112</v>
      </c>
      <c r="T346" s="38">
        <v>155555.55555555559</v>
      </c>
      <c r="U346" s="27" t="s">
        <v>37</v>
      </c>
    </row>
    <row r="347" spans="1:21">
      <c r="A347" s="27" t="s">
        <v>72</v>
      </c>
      <c r="B347" s="50" t="s">
        <v>544</v>
      </c>
      <c r="C347" s="28">
        <v>4747853.3</v>
      </c>
      <c r="D347" s="29">
        <v>0.3</v>
      </c>
      <c r="E347" s="30">
        <v>0.1</v>
      </c>
      <c r="F347" s="31">
        <v>0.05</v>
      </c>
      <c r="G347" s="32"/>
      <c r="H347" s="54"/>
      <c r="I347" s="33" t="b">
        <v>1</v>
      </c>
      <c r="J347" s="34" t="b">
        <v>1</v>
      </c>
      <c r="K347" s="35" t="b">
        <v>1</v>
      </c>
      <c r="L347" s="27" t="s">
        <v>541</v>
      </c>
      <c r="M347" s="27" t="s">
        <v>33</v>
      </c>
      <c r="N347" s="33"/>
      <c r="O347" s="34"/>
      <c r="P347" s="35"/>
      <c r="Q347" s="28"/>
      <c r="R347" s="36">
        <v>1424355.99</v>
      </c>
      <c r="S347" s="37">
        <v>474785.33</v>
      </c>
      <c r="T347" s="38">
        <v>237392.66500000001</v>
      </c>
      <c r="U347" s="27" t="s">
        <v>38</v>
      </c>
    </row>
    <row r="348" spans="1:21">
      <c r="A348" s="27" t="s">
        <v>73</v>
      </c>
      <c r="B348" s="50" t="s">
        <v>545</v>
      </c>
      <c r="C348" s="28">
        <v>976000</v>
      </c>
      <c r="D348" s="29">
        <v>0.25</v>
      </c>
      <c r="E348" s="30">
        <v>0</v>
      </c>
      <c r="F348" s="31">
        <v>0.05</v>
      </c>
      <c r="G348" s="32">
        <v>49</v>
      </c>
      <c r="H348" s="54"/>
      <c r="I348" s="33" t="b">
        <v>1</v>
      </c>
      <c r="J348" s="34" t="b">
        <v>1</v>
      </c>
      <c r="K348" s="35" t="b">
        <v>1</v>
      </c>
      <c r="L348" s="27" t="s">
        <v>546</v>
      </c>
      <c r="M348" s="27" t="s">
        <v>33</v>
      </c>
      <c r="N348" s="33">
        <v>12</v>
      </c>
      <c r="O348" s="34">
        <v>0</v>
      </c>
      <c r="P348" s="35">
        <v>2</v>
      </c>
      <c r="Q348" s="28">
        <v>19918.36734693878</v>
      </c>
      <c r="R348" s="36">
        <v>239020.4081632653</v>
      </c>
      <c r="S348" s="37">
        <v>0</v>
      </c>
      <c r="T348" s="38">
        <v>39836.734693877552</v>
      </c>
      <c r="U348" s="27" t="s">
        <v>36</v>
      </c>
    </row>
    <row r="349" spans="1:21">
      <c r="A349" s="27" t="s">
        <v>73</v>
      </c>
      <c r="B349" s="50" t="s">
        <v>547</v>
      </c>
      <c r="C349" s="28">
        <v>230000</v>
      </c>
      <c r="D349" s="29">
        <v>0.2</v>
      </c>
      <c r="E349" s="30">
        <v>0</v>
      </c>
      <c r="F349" s="31">
        <v>0.05</v>
      </c>
      <c r="G349" s="32">
        <v>23</v>
      </c>
      <c r="H349" s="55" t="s">
        <v>18</v>
      </c>
      <c r="I349" s="33" t="b">
        <v>1</v>
      </c>
      <c r="J349" s="34" t="b">
        <v>1</v>
      </c>
      <c r="K349" s="35" t="b">
        <v>1</v>
      </c>
      <c r="L349" s="27" t="s">
        <v>546</v>
      </c>
      <c r="M349" s="27" t="s">
        <v>33</v>
      </c>
      <c r="N349" s="33">
        <v>5</v>
      </c>
      <c r="O349" s="34">
        <v>0</v>
      </c>
      <c r="P349" s="35">
        <v>1</v>
      </c>
      <c r="Q349" s="28">
        <v>10000</v>
      </c>
      <c r="R349" s="36">
        <v>50000</v>
      </c>
      <c r="S349" s="37">
        <v>0</v>
      </c>
      <c r="T349" s="38">
        <v>10000</v>
      </c>
      <c r="U349" s="27" t="s">
        <v>38</v>
      </c>
    </row>
    <row r="350" spans="1:21">
      <c r="A350" s="27" t="s">
        <v>73</v>
      </c>
      <c r="B350" s="50" t="s">
        <v>548</v>
      </c>
      <c r="C350" s="28">
        <v>800000</v>
      </c>
      <c r="D350" s="29">
        <v>0.25</v>
      </c>
      <c r="E350" s="30">
        <v>0.1</v>
      </c>
      <c r="F350" s="31">
        <v>0.05</v>
      </c>
      <c r="G350" s="32">
        <v>32</v>
      </c>
      <c r="H350" s="54"/>
      <c r="I350" s="33" t="b">
        <v>1</v>
      </c>
      <c r="J350" s="34" t="b">
        <v>1</v>
      </c>
      <c r="K350" s="35" t="b">
        <v>1</v>
      </c>
      <c r="L350" s="27" t="s">
        <v>546</v>
      </c>
      <c r="M350" s="27" t="s">
        <v>33</v>
      </c>
      <c r="N350" s="33">
        <v>8</v>
      </c>
      <c r="O350" s="34">
        <v>3</v>
      </c>
      <c r="P350" s="35">
        <v>2</v>
      </c>
      <c r="Q350" s="28">
        <v>25000</v>
      </c>
      <c r="R350" s="36">
        <v>200000</v>
      </c>
      <c r="S350" s="37">
        <v>75000</v>
      </c>
      <c r="T350" s="38">
        <v>50000</v>
      </c>
      <c r="U350" s="27" t="s">
        <v>37</v>
      </c>
    </row>
    <row r="351" spans="1:21">
      <c r="A351" s="39" t="s">
        <v>73</v>
      </c>
      <c r="B351" s="46" t="s">
        <v>549</v>
      </c>
      <c r="C351" s="40">
        <v>220000</v>
      </c>
      <c r="D351" s="41">
        <v>0</v>
      </c>
      <c r="E351" s="41">
        <v>1</v>
      </c>
      <c r="F351" s="41">
        <v>0</v>
      </c>
      <c r="G351" s="42">
        <v>22</v>
      </c>
      <c r="H351" s="55" t="s">
        <v>168</v>
      </c>
      <c r="I351" s="42" t="b">
        <v>1</v>
      </c>
      <c r="J351" s="42" t="b">
        <v>1</v>
      </c>
      <c r="K351" s="42" t="b">
        <v>0</v>
      </c>
      <c r="L351" s="39" t="s">
        <v>546</v>
      </c>
      <c r="M351" s="39" t="s">
        <v>33</v>
      </c>
      <c r="N351" s="42">
        <v>0</v>
      </c>
      <c r="O351" s="42">
        <v>22</v>
      </c>
      <c r="P351" s="42">
        <v>0</v>
      </c>
      <c r="Q351" s="40">
        <v>10000</v>
      </c>
      <c r="R351" s="40">
        <v>0</v>
      </c>
      <c r="S351" s="40">
        <v>220000</v>
      </c>
      <c r="T351" s="40">
        <v>0</v>
      </c>
      <c r="U351" s="39" t="s">
        <v>39</v>
      </c>
    </row>
    <row r="352" spans="1:21">
      <c r="A352" s="39" t="s">
        <v>73</v>
      </c>
      <c r="B352" s="46" t="s">
        <v>550</v>
      </c>
      <c r="C352" s="40">
        <v>220000</v>
      </c>
      <c r="D352" s="41">
        <v>0.2</v>
      </c>
      <c r="E352" s="41">
        <v>0</v>
      </c>
      <c r="F352" s="41">
        <v>0.05</v>
      </c>
      <c r="G352" s="42">
        <v>22</v>
      </c>
      <c r="H352" s="55" t="s">
        <v>6</v>
      </c>
      <c r="I352" s="42" t="b">
        <v>1</v>
      </c>
      <c r="J352" s="42" t="b">
        <v>1</v>
      </c>
      <c r="K352" s="42" t="b">
        <v>1</v>
      </c>
      <c r="L352" s="39" t="s">
        <v>546</v>
      </c>
      <c r="M352" s="39" t="s">
        <v>33</v>
      </c>
      <c r="N352" s="42">
        <v>4</v>
      </c>
      <c r="O352" s="42">
        <v>0</v>
      </c>
      <c r="P352" s="42">
        <v>1</v>
      </c>
      <c r="Q352" s="40">
        <v>10000</v>
      </c>
      <c r="R352" s="40">
        <v>40000</v>
      </c>
      <c r="S352" s="40">
        <v>0</v>
      </c>
      <c r="T352" s="40">
        <v>10000</v>
      </c>
      <c r="U352" s="39" t="s">
        <v>39</v>
      </c>
    </row>
    <row r="353" spans="1:21">
      <c r="A353" s="27" t="s">
        <v>73</v>
      </c>
      <c r="B353" s="50" t="s">
        <v>551</v>
      </c>
      <c r="C353" s="28">
        <v>960000</v>
      </c>
      <c r="D353" s="29">
        <v>0.25</v>
      </c>
      <c r="E353" s="30">
        <v>0.1</v>
      </c>
      <c r="F353" s="31">
        <v>0.05</v>
      </c>
      <c r="G353" s="32">
        <v>32</v>
      </c>
      <c r="H353" s="54"/>
      <c r="I353" s="33" t="b">
        <v>1</v>
      </c>
      <c r="J353" s="34" t="b">
        <v>1</v>
      </c>
      <c r="K353" s="35" t="b">
        <v>1</v>
      </c>
      <c r="L353" s="27" t="s">
        <v>546</v>
      </c>
      <c r="M353" s="27" t="s">
        <v>33</v>
      </c>
      <c r="N353" s="33">
        <v>8</v>
      </c>
      <c r="O353" s="34">
        <v>3</v>
      </c>
      <c r="P353" s="35">
        <v>2</v>
      </c>
      <c r="Q353" s="28">
        <v>30000</v>
      </c>
      <c r="R353" s="36">
        <v>240000</v>
      </c>
      <c r="S353" s="37">
        <v>90000</v>
      </c>
      <c r="T353" s="38">
        <v>60000</v>
      </c>
      <c r="U353" s="27" t="s">
        <v>37</v>
      </c>
    </row>
    <row r="354" spans="1:21">
      <c r="A354" s="27" t="s">
        <v>73</v>
      </c>
      <c r="B354" s="50" t="s">
        <v>552</v>
      </c>
      <c r="C354" s="28">
        <v>682000</v>
      </c>
      <c r="D354" s="29">
        <v>0.2</v>
      </c>
      <c r="E354" s="30">
        <v>0</v>
      </c>
      <c r="F354" s="31">
        <v>0.05</v>
      </c>
      <c r="G354" s="32">
        <v>34</v>
      </c>
      <c r="H354" s="54"/>
      <c r="I354" s="33" t="b">
        <v>1</v>
      </c>
      <c r="J354" s="34" t="b">
        <v>0</v>
      </c>
      <c r="K354" s="35" t="b">
        <v>1</v>
      </c>
      <c r="L354" s="27" t="s">
        <v>546</v>
      </c>
      <c r="M354" s="27" t="s">
        <v>33</v>
      </c>
      <c r="N354" s="33">
        <v>7</v>
      </c>
      <c r="O354" s="34">
        <v>0</v>
      </c>
      <c r="P354" s="35">
        <v>2</v>
      </c>
      <c r="Q354" s="28">
        <v>20058.823529411769</v>
      </c>
      <c r="R354" s="36">
        <v>140411.76470588229</v>
      </c>
      <c r="S354" s="37">
        <v>0</v>
      </c>
      <c r="T354" s="38">
        <v>40117.647058823532</v>
      </c>
      <c r="U354" s="27" t="s">
        <v>38</v>
      </c>
    </row>
    <row r="355" spans="1:21">
      <c r="A355" s="27" t="s">
        <v>114</v>
      </c>
      <c r="B355" s="50" t="s">
        <v>553</v>
      </c>
      <c r="C355" s="28">
        <v>17730000</v>
      </c>
      <c r="D355" s="29">
        <v>0.25</v>
      </c>
      <c r="E355" s="30">
        <v>0.1</v>
      </c>
      <c r="F355" s="31">
        <v>0.05</v>
      </c>
      <c r="G355" s="32">
        <v>373</v>
      </c>
      <c r="H355" s="54"/>
      <c r="I355" s="33" t="b">
        <v>1</v>
      </c>
      <c r="J355" s="34" t="b">
        <v>1</v>
      </c>
      <c r="K355" s="35" t="b">
        <v>1</v>
      </c>
      <c r="L355" s="27" t="s">
        <v>554</v>
      </c>
      <c r="M355" s="27" t="s">
        <v>34</v>
      </c>
      <c r="N355" s="33">
        <v>93</v>
      </c>
      <c r="O355" s="34">
        <v>37</v>
      </c>
      <c r="P355" s="35">
        <v>19</v>
      </c>
      <c r="Q355" s="28">
        <v>47533.512064343173</v>
      </c>
      <c r="R355" s="36">
        <v>4420616.6219839146</v>
      </c>
      <c r="S355" s="37">
        <v>1758739.946380697</v>
      </c>
      <c r="T355" s="38">
        <v>903136.72922252014</v>
      </c>
      <c r="U355" s="27" t="s">
        <v>37</v>
      </c>
    </row>
    <row r="356" spans="1:21">
      <c r="A356" s="27" t="s">
        <v>114</v>
      </c>
      <c r="B356" s="50" t="s">
        <v>555</v>
      </c>
      <c r="C356" s="28">
        <v>4800000</v>
      </c>
      <c r="D356" s="29">
        <v>0</v>
      </c>
      <c r="E356" s="30">
        <v>0</v>
      </c>
      <c r="F356" s="31">
        <v>0</v>
      </c>
      <c r="G356" s="32">
        <v>2</v>
      </c>
      <c r="H356" s="54"/>
      <c r="I356" s="33" t="b">
        <v>1</v>
      </c>
      <c r="J356" s="34" t="b">
        <v>1</v>
      </c>
      <c r="K356" s="35" t="b">
        <v>1</v>
      </c>
      <c r="L356" s="27" t="s">
        <v>554</v>
      </c>
      <c r="M356" s="27" t="s">
        <v>34</v>
      </c>
      <c r="N356" s="33">
        <v>0</v>
      </c>
      <c r="O356" s="34">
        <v>0</v>
      </c>
      <c r="P356" s="35">
        <v>0</v>
      </c>
      <c r="Q356" s="28">
        <v>2400000</v>
      </c>
      <c r="R356" s="36">
        <v>0</v>
      </c>
      <c r="S356" s="37">
        <v>0</v>
      </c>
      <c r="T356" s="38">
        <v>0</v>
      </c>
      <c r="U356" s="27" t="s">
        <v>37</v>
      </c>
    </row>
    <row r="357" spans="1:21">
      <c r="A357" s="27" t="s">
        <v>114</v>
      </c>
      <c r="B357" s="50" t="s">
        <v>556</v>
      </c>
      <c r="C357" s="28">
        <v>5000000</v>
      </c>
      <c r="D357" s="29">
        <v>0.25</v>
      </c>
      <c r="E357" s="30">
        <v>0.1</v>
      </c>
      <c r="F357" s="31">
        <v>0.05</v>
      </c>
      <c r="G357" s="32">
        <v>55</v>
      </c>
      <c r="H357" s="54"/>
      <c r="I357" s="33" t="b">
        <v>1</v>
      </c>
      <c r="J357" s="34" t="b">
        <v>1</v>
      </c>
      <c r="K357" s="35" t="b">
        <v>1</v>
      </c>
      <c r="L357" s="27" t="s">
        <v>554</v>
      </c>
      <c r="M357" s="27" t="s">
        <v>34</v>
      </c>
      <c r="N357" s="33">
        <v>14</v>
      </c>
      <c r="O357" s="34">
        <v>6</v>
      </c>
      <c r="P357" s="35">
        <v>3</v>
      </c>
      <c r="Q357" s="28">
        <v>90909.090909090912</v>
      </c>
      <c r="R357" s="36">
        <v>1272727.2727272729</v>
      </c>
      <c r="S357" s="37">
        <v>545454.54545454541</v>
      </c>
      <c r="T357" s="38">
        <v>272727.27272727271</v>
      </c>
      <c r="U357" s="27" t="s">
        <v>38</v>
      </c>
    </row>
    <row r="358" spans="1:21">
      <c r="A358" s="27" t="s">
        <v>114</v>
      </c>
      <c r="B358" s="50" t="s">
        <v>557</v>
      </c>
      <c r="C358" s="28">
        <v>21000000</v>
      </c>
      <c r="D358" s="29">
        <v>0.25</v>
      </c>
      <c r="E358" s="30">
        <v>0.1</v>
      </c>
      <c r="F358" s="31">
        <v>0.05</v>
      </c>
      <c r="G358" s="32">
        <v>300</v>
      </c>
      <c r="H358" s="54"/>
      <c r="I358" s="33" t="b">
        <v>1</v>
      </c>
      <c r="J358" s="34" t="b">
        <v>1</v>
      </c>
      <c r="K358" s="35" t="b">
        <v>1</v>
      </c>
      <c r="L358" s="27" t="s">
        <v>554</v>
      </c>
      <c r="M358" s="27" t="s">
        <v>34</v>
      </c>
      <c r="N358" s="33">
        <v>75</v>
      </c>
      <c r="O358" s="34">
        <v>30</v>
      </c>
      <c r="P358" s="35">
        <v>15</v>
      </c>
      <c r="Q358" s="28">
        <v>70000</v>
      </c>
      <c r="R358" s="36">
        <v>5250000</v>
      </c>
      <c r="S358" s="37">
        <v>2100000</v>
      </c>
      <c r="T358" s="38">
        <v>1050000</v>
      </c>
      <c r="U358" s="27" t="s">
        <v>38</v>
      </c>
    </row>
    <row r="359" spans="1:21">
      <c r="A359" s="27" t="s">
        <v>114</v>
      </c>
      <c r="B359" s="50" t="s">
        <v>558</v>
      </c>
      <c r="C359" s="28">
        <v>21000000</v>
      </c>
      <c r="D359" s="29">
        <v>0.25</v>
      </c>
      <c r="E359" s="30">
        <v>0.1</v>
      </c>
      <c r="F359" s="31">
        <v>0.05</v>
      </c>
      <c r="G359" s="32">
        <v>92</v>
      </c>
      <c r="H359" s="54"/>
      <c r="I359" s="33" t="b">
        <v>1</v>
      </c>
      <c r="J359" s="34" t="b">
        <v>1</v>
      </c>
      <c r="K359" s="35" t="b">
        <v>1</v>
      </c>
      <c r="L359" s="27" t="s">
        <v>554</v>
      </c>
      <c r="M359" s="27" t="s">
        <v>34</v>
      </c>
      <c r="N359" s="33">
        <v>23</v>
      </c>
      <c r="O359" s="34">
        <v>9</v>
      </c>
      <c r="P359" s="35">
        <v>5</v>
      </c>
      <c r="Q359" s="28">
        <v>228260.86956521741</v>
      </c>
      <c r="R359" s="36">
        <v>5250000</v>
      </c>
      <c r="S359" s="37">
        <v>2054347.8260869561</v>
      </c>
      <c r="T359" s="38">
        <v>1141304.3478260869</v>
      </c>
      <c r="U359" s="27" t="s">
        <v>38</v>
      </c>
    </row>
    <row r="360" spans="1:21">
      <c r="A360" s="27" t="s">
        <v>114</v>
      </c>
      <c r="B360" s="50" t="s">
        <v>559</v>
      </c>
      <c r="C360" s="28">
        <v>6500000</v>
      </c>
      <c r="D360" s="29">
        <v>0.25</v>
      </c>
      <c r="E360" s="30">
        <v>0.1</v>
      </c>
      <c r="F360" s="31">
        <v>0.05</v>
      </c>
      <c r="G360" s="32">
        <v>30</v>
      </c>
      <c r="H360" s="54"/>
      <c r="I360" s="33" t="b">
        <v>1</v>
      </c>
      <c r="J360" s="34" t="b">
        <v>1</v>
      </c>
      <c r="K360" s="35" t="b">
        <v>1</v>
      </c>
      <c r="L360" s="27" t="s">
        <v>554</v>
      </c>
      <c r="M360" s="27" t="s">
        <v>34</v>
      </c>
      <c r="N360" s="33">
        <v>8</v>
      </c>
      <c r="O360" s="34">
        <v>3</v>
      </c>
      <c r="P360" s="35">
        <v>2</v>
      </c>
      <c r="Q360" s="28">
        <v>216666.66666666669</v>
      </c>
      <c r="R360" s="36">
        <v>1733333.333333333</v>
      </c>
      <c r="S360" s="37">
        <v>650000</v>
      </c>
      <c r="T360" s="38">
        <v>433333.33333333331</v>
      </c>
      <c r="U360" s="27" t="s">
        <v>38</v>
      </c>
    </row>
    <row r="361" spans="1:21">
      <c r="A361" s="39" t="s">
        <v>114</v>
      </c>
      <c r="B361" s="46" t="s">
        <v>560</v>
      </c>
      <c r="C361" s="40">
        <v>11000000</v>
      </c>
      <c r="D361" s="41">
        <v>0.25</v>
      </c>
      <c r="E361" s="41">
        <v>0.1</v>
      </c>
      <c r="F361" s="41">
        <v>0.05</v>
      </c>
      <c r="G361" s="42">
        <v>200</v>
      </c>
      <c r="H361" s="55" t="s">
        <v>12</v>
      </c>
      <c r="I361" s="42" t="b">
        <v>1</v>
      </c>
      <c r="J361" s="42" t="b">
        <v>1</v>
      </c>
      <c r="K361" s="42" t="b">
        <v>1</v>
      </c>
      <c r="L361" s="39" t="s">
        <v>554</v>
      </c>
      <c r="M361" s="39" t="s">
        <v>34</v>
      </c>
      <c r="N361" s="42">
        <v>50</v>
      </c>
      <c r="O361" s="42">
        <v>20</v>
      </c>
      <c r="P361" s="42">
        <v>10</v>
      </c>
      <c r="Q361" s="40">
        <v>55000</v>
      </c>
      <c r="R361" s="40">
        <v>2750000</v>
      </c>
      <c r="S361" s="40">
        <v>1100000</v>
      </c>
      <c r="T361" s="40">
        <v>550000</v>
      </c>
      <c r="U361" s="39" t="s">
        <v>38</v>
      </c>
    </row>
    <row r="362" spans="1:21">
      <c r="A362" s="27" t="s">
        <v>74</v>
      </c>
      <c r="B362" s="50" t="s">
        <v>561</v>
      </c>
      <c r="C362" s="28">
        <v>6600000</v>
      </c>
      <c r="D362" s="29">
        <v>0.25</v>
      </c>
      <c r="E362" s="30">
        <v>0.1</v>
      </c>
      <c r="F362" s="31">
        <v>0.05</v>
      </c>
      <c r="G362" s="32">
        <v>30</v>
      </c>
      <c r="H362" s="54"/>
      <c r="I362" s="33" t="b">
        <v>1</v>
      </c>
      <c r="J362" s="34" t="b">
        <v>1</v>
      </c>
      <c r="K362" s="35" t="b">
        <v>1</v>
      </c>
      <c r="L362" s="27" t="s">
        <v>562</v>
      </c>
      <c r="M362" s="27" t="s">
        <v>33</v>
      </c>
      <c r="N362" s="33">
        <v>8</v>
      </c>
      <c r="O362" s="34">
        <v>3</v>
      </c>
      <c r="P362" s="35">
        <v>2</v>
      </c>
      <c r="Q362" s="28">
        <v>220000</v>
      </c>
      <c r="R362" s="36">
        <v>1760000</v>
      </c>
      <c r="S362" s="37">
        <v>660000</v>
      </c>
      <c r="T362" s="38">
        <v>440000</v>
      </c>
      <c r="U362" s="27" t="s">
        <v>37</v>
      </c>
    </row>
    <row r="363" spans="1:21">
      <c r="A363" s="27" t="s">
        <v>74</v>
      </c>
      <c r="B363" s="50" t="s">
        <v>563</v>
      </c>
      <c r="C363" s="28">
        <v>25000000</v>
      </c>
      <c r="D363" s="29">
        <v>0.2</v>
      </c>
      <c r="E363" s="30">
        <v>0.1</v>
      </c>
      <c r="F363" s="31">
        <v>0.05</v>
      </c>
      <c r="G363" s="32">
        <v>162</v>
      </c>
      <c r="H363" s="54"/>
      <c r="I363" s="33" t="b">
        <v>1</v>
      </c>
      <c r="J363" s="34" t="b">
        <v>1</v>
      </c>
      <c r="K363" s="35" t="b">
        <v>1</v>
      </c>
      <c r="L363" s="27" t="s">
        <v>562</v>
      </c>
      <c r="M363" s="27" t="s">
        <v>33</v>
      </c>
      <c r="N363" s="33">
        <v>32</v>
      </c>
      <c r="O363" s="34">
        <v>16</v>
      </c>
      <c r="P363" s="35">
        <v>8</v>
      </c>
      <c r="Q363" s="28">
        <v>154320.98765432101</v>
      </c>
      <c r="R363" s="36">
        <v>4938271.6049382715</v>
      </c>
      <c r="S363" s="37">
        <v>2469135.8024691362</v>
      </c>
      <c r="T363" s="38">
        <v>1234567.9012345681</v>
      </c>
      <c r="U363" s="27" t="s">
        <v>38</v>
      </c>
    </row>
    <row r="364" spans="1:21">
      <c r="A364" s="27" t="s">
        <v>74</v>
      </c>
      <c r="B364" s="50" t="s">
        <v>564</v>
      </c>
      <c r="C364" s="28">
        <v>2840000</v>
      </c>
      <c r="D364" s="29">
        <v>0.25</v>
      </c>
      <c r="E364" s="30">
        <v>0.1</v>
      </c>
      <c r="F364" s="31">
        <v>0.05</v>
      </c>
      <c r="G364" s="32">
        <v>21</v>
      </c>
      <c r="H364" s="54"/>
      <c r="I364" s="33" t="b">
        <v>1</v>
      </c>
      <c r="J364" s="34" t="b">
        <v>1</v>
      </c>
      <c r="K364" s="35" t="b">
        <v>1</v>
      </c>
      <c r="L364" s="27" t="s">
        <v>562</v>
      </c>
      <c r="M364" s="27" t="s">
        <v>33</v>
      </c>
      <c r="N364" s="33">
        <v>5</v>
      </c>
      <c r="O364" s="34">
        <v>2</v>
      </c>
      <c r="P364" s="35">
        <v>1</v>
      </c>
      <c r="Q364" s="28">
        <v>135238.09523809521</v>
      </c>
      <c r="R364" s="36">
        <v>676190.47619047621</v>
      </c>
      <c r="S364" s="37">
        <v>270476.19047619047</v>
      </c>
      <c r="T364" s="38">
        <v>135238.09523809521</v>
      </c>
      <c r="U364" s="27" t="s">
        <v>37</v>
      </c>
    </row>
    <row r="365" spans="1:21">
      <c r="A365" s="27" t="s">
        <v>74</v>
      </c>
      <c r="B365" s="50" t="s">
        <v>565</v>
      </c>
      <c r="C365" s="28">
        <v>600000</v>
      </c>
      <c r="D365" s="29">
        <v>0</v>
      </c>
      <c r="E365" s="30">
        <v>0</v>
      </c>
      <c r="F365" s="31">
        <v>0</v>
      </c>
      <c r="G365" s="32">
        <v>1</v>
      </c>
      <c r="H365" s="54"/>
      <c r="I365" s="33" t="b">
        <v>1</v>
      </c>
      <c r="J365" s="34" t="b">
        <v>1</v>
      </c>
      <c r="K365" s="35" t="b">
        <v>1</v>
      </c>
      <c r="L365" s="27" t="s">
        <v>562</v>
      </c>
      <c r="M365" s="27" t="s">
        <v>33</v>
      </c>
      <c r="N365" s="33">
        <v>0</v>
      </c>
      <c r="O365" s="34">
        <v>0</v>
      </c>
      <c r="P365" s="35">
        <v>0</v>
      </c>
      <c r="Q365" s="28">
        <v>600000</v>
      </c>
      <c r="R365" s="36">
        <v>0</v>
      </c>
      <c r="S365" s="37">
        <v>0</v>
      </c>
      <c r="T365" s="38">
        <v>0</v>
      </c>
      <c r="U365" s="27" t="s">
        <v>37</v>
      </c>
    </row>
    <row r="366" spans="1:21">
      <c r="A366" s="27" t="s">
        <v>74</v>
      </c>
      <c r="B366" s="50" t="s">
        <v>566</v>
      </c>
      <c r="C366" s="28">
        <v>700000</v>
      </c>
      <c r="D366" s="29">
        <v>0.25</v>
      </c>
      <c r="E366" s="30">
        <v>0.1</v>
      </c>
      <c r="F366" s="31">
        <v>0.05</v>
      </c>
      <c r="G366" s="32"/>
      <c r="H366" s="54"/>
      <c r="I366" s="33" t="b">
        <v>1</v>
      </c>
      <c r="J366" s="34" t="b">
        <v>1</v>
      </c>
      <c r="K366" s="35" t="b">
        <v>1</v>
      </c>
      <c r="L366" s="27" t="s">
        <v>562</v>
      </c>
      <c r="M366" s="27" t="s">
        <v>33</v>
      </c>
      <c r="N366" s="33"/>
      <c r="O366" s="34"/>
      <c r="P366" s="35"/>
      <c r="Q366" s="28"/>
      <c r="R366" s="36">
        <v>175000</v>
      </c>
      <c r="S366" s="37">
        <v>70000</v>
      </c>
      <c r="T366" s="38">
        <v>35000</v>
      </c>
      <c r="U366" s="27" t="s">
        <v>38</v>
      </c>
    </row>
    <row r="367" spans="1:21">
      <c r="A367" s="27" t="s">
        <v>74</v>
      </c>
      <c r="B367" s="50" t="s">
        <v>567</v>
      </c>
      <c r="C367" s="28">
        <v>1000000</v>
      </c>
      <c r="D367" s="29">
        <v>0.25</v>
      </c>
      <c r="E367" s="30">
        <v>0.1</v>
      </c>
      <c r="F367" s="31">
        <v>0.05</v>
      </c>
      <c r="G367" s="32"/>
      <c r="H367" s="54"/>
      <c r="I367" s="33" t="b">
        <v>1</v>
      </c>
      <c r="J367" s="34" t="b">
        <v>1</v>
      </c>
      <c r="K367" s="35" t="b">
        <v>1</v>
      </c>
      <c r="L367" s="27" t="s">
        <v>562</v>
      </c>
      <c r="M367" s="27" t="s">
        <v>33</v>
      </c>
      <c r="N367" s="33"/>
      <c r="O367" s="34"/>
      <c r="P367" s="35"/>
      <c r="Q367" s="28"/>
      <c r="R367" s="36">
        <v>250000</v>
      </c>
      <c r="S367" s="37">
        <v>100000</v>
      </c>
      <c r="T367" s="38">
        <v>50000</v>
      </c>
      <c r="U367" s="27" t="s">
        <v>38</v>
      </c>
    </row>
    <row r="368" spans="1:21">
      <c r="A368" s="27" t="s">
        <v>74</v>
      </c>
      <c r="B368" s="50" t="s">
        <v>568</v>
      </c>
      <c r="C368" s="28">
        <v>425000</v>
      </c>
      <c r="D368" s="29">
        <v>0.3</v>
      </c>
      <c r="E368" s="30">
        <v>0.1</v>
      </c>
      <c r="F368" s="31">
        <v>0.1</v>
      </c>
      <c r="G368" s="32">
        <v>20</v>
      </c>
      <c r="H368" s="54"/>
      <c r="I368" s="33" t="b">
        <v>1</v>
      </c>
      <c r="J368" s="34" t="b">
        <v>1</v>
      </c>
      <c r="K368" s="35" t="b">
        <v>1</v>
      </c>
      <c r="L368" s="27" t="s">
        <v>562</v>
      </c>
      <c r="M368" s="27" t="s">
        <v>33</v>
      </c>
      <c r="N368" s="33">
        <v>6</v>
      </c>
      <c r="O368" s="34">
        <v>2</v>
      </c>
      <c r="P368" s="35">
        <v>2</v>
      </c>
      <c r="Q368" s="28">
        <v>21250</v>
      </c>
      <c r="R368" s="36">
        <v>127500</v>
      </c>
      <c r="S368" s="37">
        <v>42500</v>
      </c>
      <c r="T368" s="38">
        <v>42500</v>
      </c>
      <c r="U368" s="27" t="s">
        <v>38</v>
      </c>
    </row>
    <row r="369" spans="1:21">
      <c r="A369" s="27" t="s">
        <v>115</v>
      </c>
      <c r="B369" s="50" t="s">
        <v>569</v>
      </c>
      <c r="C369" s="28">
        <v>1480000</v>
      </c>
      <c r="D369" s="29">
        <v>0.25</v>
      </c>
      <c r="E369" s="30">
        <v>0.1</v>
      </c>
      <c r="F369" s="31">
        <v>0.05</v>
      </c>
      <c r="G369" s="32">
        <v>34</v>
      </c>
      <c r="H369" s="54"/>
      <c r="I369" s="33" t="b">
        <v>1</v>
      </c>
      <c r="J369" s="34" t="b">
        <v>1</v>
      </c>
      <c r="K369" s="35" t="b">
        <v>1</v>
      </c>
      <c r="L369" s="27" t="s">
        <v>570</v>
      </c>
      <c r="M369" s="27" t="s">
        <v>34</v>
      </c>
      <c r="N369" s="33">
        <v>8</v>
      </c>
      <c r="O369" s="34">
        <v>3</v>
      </c>
      <c r="P369" s="35">
        <v>2</v>
      </c>
      <c r="Q369" s="28">
        <v>43529.411764705881</v>
      </c>
      <c r="R369" s="36">
        <v>348235.29411764699</v>
      </c>
      <c r="S369" s="37">
        <v>130588.23529411769</v>
      </c>
      <c r="T369" s="38">
        <v>87058.823529411762</v>
      </c>
      <c r="U369" s="27" t="s">
        <v>38</v>
      </c>
    </row>
    <row r="370" spans="1:21">
      <c r="A370" s="27" t="s">
        <v>115</v>
      </c>
      <c r="B370" s="50" t="s">
        <v>571</v>
      </c>
      <c r="C370" s="28">
        <v>1240000</v>
      </c>
      <c r="D370" s="29">
        <v>0.25</v>
      </c>
      <c r="E370" s="30">
        <v>0.1</v>
      </c>
      <c r="F370" s="31">
        <v>0.05</v>
      </c>
      <c r="G370" s="32">
        <v>34</v>
      </c>
      <c r="H370" s="54"/>
      <c r="I370" s="33" t="b">
        <v>1</v>
      </c>
      <c r="J370" s="34" t="b">
        <v>1</v>
      </c>
      <c r="K370" s="35" t="b">
        <v>1</v>
      </c>
      <c r="L370" s="27" t="s">
        <v>570</v>
      </c>
      <c r="M370" s="27" t="s">
        <v>34</v>
      </c>
      <c r="N370" s="33">
        <v>8</v>
      </c>
      <c r="O370" s="34">
        <v>3</v>
      </c>
      <c r="P370" s="35">
        <v>2</v>
      </c>
      <c r="Q370" s="28">
        <v>36470.588235294119</v>
      </c>
      <c r="R370" s="36">
        <v>291764.70588235301</v>
      </c>
      <c r="S370" s="37">
        <v>109411.76470588231</v>
      </c>
      <c r="T370" s="38">
        <v>72941.176470588238</v>
      </c>
      <c r="U370" s="27" t="s">
        <v>38</v>
      </c>
    </row>
    <row r="371" spans="1:21">
      <c r="A371" s="27" t="s">
        <v>115</v>
      </c>
      <c r="B371" s="50" t="s">
        <v>572</v>
      </c>
      <c r="C371" s="28">
        <v>1360000</v>
      </c>
      <c r="D371" s="29">
        <v>0.25</v>
      </c>
      <c r="E371" s="30">
        <v>0.1</v>
      </c>
      <c r="F371" s="31">
        <v>0.05</v>
      </c>
      <c r="G371" s="32">
        <v>66</v>
      </c>
      <c r="H371" s="54"/>
      <c r="I371" s="33" t="b">
        <v>1</v>
      </c>
      <c r="J371" s="34" t="b">
        <v>1</v>
      </c>
      <c r="K371" s="35" t="b">
        <v>1</v>
      </c>
      <c r="L371" s="27" t="s">
        <v>570</v>
      </c>
      <c r="M371" s="27" t="s">
        <v>34</v>
      </c>
      <c r="N371" s="33">
        <v>16</v>
      </c>
      <c r="O371" s="34">
        <v>7</v>
      </c>
      <c r="P371" s="35">
        <v>3</v>
      </c>
      <c r="Q371" s="28">
        <v>20606.060606060611</v>
      </c>
      <c r="R371" s="36">
        <v>329696.96969696973</v>
      </c>
      <c r="S371" s="37">
        <v>144242.42424242431</v>
      </c>
      <c r="T371" s="38">
        <v>61818.181818181823</v>
      </c>
      <c r="U371" s="27" t="s">
        <v>38</v>
      </c>
    </row>
    <row r="372" spans="1:21">
      <c r="A372" s="27" t="s">
        <v>115</v>
      </c>
      <c r="B372" s="50" t="s">
        <v>573</v>
      </c>
      <c r="C372" s="28">
        <v>1800000</v>
      </c>
      <c r="D372" s="29">
        <v>0.25</v>
      </c>
      <c r="E372" s="30">
        <v>0.1</v>
      </c>
      <c r="F372" s="31">
        <v>0.05</v>
      </c>
      <c r="G372" s="32">
        <v>47</v>
      </c>
      <c r="H372" s="54"/>
      <c r="I372" s="33" t="b">
        <v>1</v>
      </c>
      <c r="J372" s="34" t="b">
        <v>1</v>
      </c>
      <c r="K372" s="35" t="b">
        <v>1</v>
      </c>
      <c r="L372" s="27" t="s">
        <v>570</v>
      </c>
      <c r="M372" s="27" t="s">
        <v>34</v>
      </c>
      <c r="N372" s="33">
        <v>12</v>
      </c>
      <c r="O372" s="34">
        <v>5</v>
      </c>
      <c r="P372" s="35">
        <v>2</v>
      </c>
      <c r="Q372" s="28">
        <v>38297.872340425529</v>
      </c>
      <c r="R372" s="36">
        <v>459574.46808510629</v>
      </c>
      <c r="S372" s="37">
        <v>191489.36170212759</v>
      </c>
      <c r="T372" s="38">
        <v>76595.744680851058</v>
      </c>
      <c r="U372" s="27" t="s">
        <v>38</v>
      </c>
    </row>
    <row r="373" spans="1:21">
      <c r="A373" s="27" t="s">
        <v>115</v>
      </c>
      <c r="B373" s="50" t="s">
        <v>574</v>
      </c>
      <c r="C373" s="28">
        <v>920000</v>
      </c>
      <c r="D373" s="29">
        <v>0.25</v>
      </c>
      <c r="E373" s="30">
        <v>0.1</v>
      </c>
      <c r="F373" s="31">
        <v>0.05</v>
      </c>
      <c r="G373" s="32">
        <v>38</v>
      </c>
      <c r="H373" s="54"/>
      <c r="I373" s="33" t="b">
        <v>1</v>
      </c>
      <c r="J373" s="34" t="b">
        <v>1</v>
      </c>
      <c r="K373" s="35" t="b">
        <v>1</v>
      </c>
      <c r="L373" s="27" t="s">
        <v>570</v>
      </c>
      <c r="M373" s="27" t="s">
        <v>34</v>
      </c>
      <c r="N373" s="33">
        <v>10</v>
      </c>
      <c r="O373" s="34">
        <v>4</v>
      </c>
      <c r="P373" s="35">
        <v>2</v>
      </c>
      <c r="Q373" s="28">
        <v>24210.52631578947</v>
      </c>
      <c r="R373" s="36">
        <v>242105.26315789469</v>
      </c>
      <c r="S373" s="37">
        <v>96842.105263157893</v>
      </c>
      <c r="T373" s="38">
        <v>48421.052631578947</v>
      </c>
      <c r="U373" s="27" t="s">
        <v>38</v>
      </c>
    </row>
    <row r="374" spans="1:21">
      <c r="A374" s="27" t="s">
        <v>115</v>
      </c>
      <c r="B374" s="50" t="s">
        <v>575</v>
      </c>
      <c r="C374" s="28">
        <v>1680000</v>
      </c>
      <c r="D374" s="29">
        <v>0.25</v>
      </c>
      <c r="E374" s="30">
        <v>0.1</v>
      </c>
      <c r="F374" s="31">
        <v>0.05</v>
      </c>
      <c r="G374" s="32">
        <v>58</v>
      </c>
      <c r="H374" s="54"/>
      <c r="I374" s="33" t="b">
        <v>1</v>
      </c>
      <c r="J374" s="34" t="b">
        <v>1</v>
      </c>
      <c r="K374" s="35" t="b">
        <v>1</v>
      </c>
      <c r="L374" s="27" t="s">
        <v>570</v>
      </c>
      <c r="M374" s="27" t="s">
        <v>34</v>
      </c>
      <c r="N374" s="33">
        <v>14</v>
      </c>
      <c r="O374" s="34">
        <v>6</v>
      </c>
      <c r="P374" s="35">
        <v>3</v>
      </c>
      <c r="Q374" s="28">
        <v>28965.517241379312</v>
      </c>
      <c r="R374" s="36">
        <v>405517.24137931038</v>
      </c>
      <c r="S374" s="37">
        <v>173793.10344827591</v>
      </c>
      <c r="T374" s="38">
        <v>86896.551724137942</v>
      </c>
      <c r="U374" s="27" t="s">
        <v>38</v>
      </c>
    </row>
    <row r="375" spans="1:21">
      <c r="A375" s="27" t="s">
        <v>115</v>
      </c>
      <c r="B375" s="50" t="s">
        <v>576</v>
      </c>
      <c r="C375" s="28">
        <v>1480000</v>
      </c>
      <c r="D375" s="29">
        <v>0.25</v>
      </c>
      <c r="E375" s="30">
        <v>0.1</v>
      </c>
      <c r="F375" s="31">
        <v>0.05</v>
      </c>
      <c r="G375" s="32">
        <v>62</v>
      </c>
      <c r="H375" s="54"/>
      <c r="I375" s="33" t="b">
        <v>1</v>
      </c>
      <c r="J375" s="34" t="b">
        <v>1</v>
      </c>
      <c r="K375" s="35" t="b">
        <v>1</v>
      </c>
      <c r="L375" s="27" t="s">
        <v>570</v>
      </c>
      <c r="M375" s="27" t="s">
        <v>34</v>
      </c>
      <c r="N375" s="33">
        <v>16</v>
      </c>
      <c r="O375" s="34">
        <v>6</v>
      </c>
      <c r="P375" s="35">
        <v>3</v>
      </c>
      <c r="Q375" s="28">
        <v>23870.967741935481</v>
      </c>
      <c r="R375" s="36">
        <v>381935.48387096782</v>
      </c>
      <c r="S375" s="37">
        <v>143225.80645161291</v>
      </c>
      <c r="T375" s="38">
        <v>71612.903225806454</v>
      </c>
      <c r="U375" s="27" t="s">
        <v>38</v>
      </c>
    </row>
    <row r="376" spans="1:21">
      <c r="A376" s="39" t="s">
        <v>115</v>
      </c>
      <c r="B376" s="65" t="s">
        <v>577</v>
      </c>
      <c r="C376" s="40">
        <v>1200000</v>
      </c>
      <c r="D376" s="41">
        <v>0.25</v>
      </c>
      <c r="E376" s="41">
        <v>0.1</v>
      </c>
      <c r="F376" s="41">
        <v>0.05</v>
      </c>
      <c r="G376" s="42">
        <v>120</v>
      </c>
      <c r="H376" s="54"/>
      <c r="I376" s="42" t="b">
        <v>1</v>
      </c>
      <c r="J376" s="42" t="b">
        <v>1</v>
      </c>
      <c r="K376" s="42" t="b">
        <v>1</v>
      </c>
      <c r="L376" s="39" t="s">
        <v>570</v>
      </c>
      <c r="M376" s="39" t="s">
        <v>34</v>
      </c>
      <c r="N376" s="42">
        <v>30</v>
      </c>
      <c r="O376" s="42">
        <v>12</v>
      </c>
      <c r="P376" s="42">
        <v>6</v>
      </c>
      <c r="Q376" s="40">
        <v>10000</v>
      </c>
      <c r="R376" s="40">
        <v>300000</v>
      </c>
      <c r="S376" s="40">
        <v>120000</v>
      </c>
      <c r="T376" s="40">
        <v>60000</v>
      </c>
      <c r="U376" s="39" t="s">
        <v>39</v>
      </c>
    </row>
    <row r="377" spans="1:21">
      <c r="A377" s="27" t="s">
        <v>115</v>
      </c>
      <c r="B377" s="50" t="s">
        <v>578</v>
      </c>
      <c r="C377" s="28">
        <v>1125000</v>
      </c>
      <c r="D377" s="29">
        <v>0.25</v>
      </c>
      <c r="E377" s="30">
        <v>0.1</v>
      </c>
      <c r="F377" s="31">
        <v>0.05</v>
      </c>
      <c r="G377" s="32">
        <v>89</v>
      </c>
      <c r="H377" s="54"/>
      <c r="I377" s="33" t="b">
        <v>1</v>
      </c>
      <c r="J377" s="34" t="b">
        <v>1</v>
      </c>
      <c r="K377" s="35" t="b">
        <v>1</v>
      </c>
      <c r="L377" s="27" t="s">
        <v>570</v>
      </c>
      <c r="M377" s="27" t="s">
        <v>34</v>
      </c>
      <c r="N377" s="33">
        <v>22</v>
      </c>
      <c r="O377" s="34">
        <v>9</v>
      </c>
      <c r="P377" s="35">
        <v>4</v>
      </c>
      <c r="Q377" s="28">
        <v>12640.449438202249</v>
      </c>
      <c r="R377" s="36">
        <v>278089.88764044951</v>
      </c>
      <c r="S377" s="37">
        <v>113764.0449438202</v>
      </c>
      <c r="T377" s="38">
        <v>50561.79775280899</v>
      </c>
      <c r="U377" s="27" t="s">
        <v>39</v>
      </c>
    </row>
    <row r="378" spans="1:21">
      <c r="A378" s="27" t="s">
        <v>115</v>
      </c>
      <c r="B378" s="50" t="s">
        <v>579</v>
      </c>
      <c r="C378" s="28">
        <v>3360000</v>
      </c>
      <c r="D378" s="29">
        <v>0.25</v>
      </c>
      <c r="E378" s="30">
        <v>0.1</v>
      </c>
      <c r="F378" s="31">
        <v>0.05</v>
      </c>
      <c r="G378" s="32">
        <v>84</v>
      </c>
      <c r="H378" s="54"/>
      <c r="I378" s="33" t="b">
        <v>1</v>
      </c>
      <c r="J378" s="34" t="b">
        <v>1</v>
      </c>
      <c r="K378" s="35" t="b">
        <v>1</v>
      </c>
      <c r="L378" s="27" t="s">
        <v>570</v>
      </c>
      <c r="M378" s="27" t="s">
        <v>34</v>
      </c>
      <c r="N378" s="33">
        <v>21</v>
      </c>
      <c r="O378" s="34">
        <v>8</v>
      </c>
      <c r="P378" s="35">
        <v>4</v>
      </c>
      <c r="Q378" s="28">
        <v>40000</v>
      </c>
      <c r="R378" s="36">
        <v>840000</v>
      </c>
      <c r="S378" s="37">
        <v>320000</v>
      </c>
      <c r="T378" s="38">
        <v>160000</v>
      </c>
      <c r="U378" s="27" t="s">
        <v>37</v>
      </c>
    </row>
    <row r="379" spans="1:21">
      <c r="A379" s="39" t="s">
        <v>115</v>
      </c>
      <c r="B379" s="60" t="s">
        <v>580</v>
      </c>
      <c r="C379" s="40">
        <v>920000</v>
      </c>
      <c r="D379" s="41">
        <v>0.25</v>
      </c>
      <c r="E379" s="41">
        <v>0.1</v>
      </c>
      <c r="F379" s="41">
        <v>0.05</v>
      </c>
      <c r="G379" s="42">
        <v>46</v>
      </c>
      <c r="H379" s="55" t="s">
        <v>12</v>
      </c>
      <c r="I379" s="42" t="b">
        <v>1</v>
      </c>
      <c r="J379" s="42" t="b">
        <v>1</v>
      </c>
      <c r="K379" s="42" t="b">
        <v>1</v>
      </c>
      <c r="L379" s="39" t="s">
        <v>570</v>
      </c>
      <c r="M379" s="39" t="s">
        <v>34</v>
      </c>
      <c r="N379" s="42">
        <v>12</v>
      </c>
      <c r="O379" s="42">
        <v>5</v>
      </c>
      <c r="P379" s="42">
        <v>2</v>
      </c>
      <c r="Q379" s="40">
        <v>20000</v>
      </c>
      <c r="R379" s="40">
        <v>240000</v>
      </c>
      <c r="S379" s="40">
        <v>100000</v>
      </c>
      <c r="T379" s="40">
        <v>40000</v>
      </c>
      <c r="U379" s="39" t="s">
        <v>38</v>
      </c>
    </row>
    <row r="380" spans="1:21">
      <c r="A380" s="27" t="s">
        <v>115</v>
      </c>
      <c r="B380" s="50" t="s">
        <v>581</v>
      </c>
      <c r="C380" s="28">
        <v>750000</v>
      </c>
      <c r="D380" s="29">
        <v>0.25</v>
      </c>
      <c r="E380" s="30">
        <v>0.1</v>
      </c>
      <c r="F380" s="31">
        <v>0.05</v>
      </c>
      <c r="G380" s="32">
        <v>110</v>
      </c>
      <c r="H380" s="54"/>
      <c r="I380" s="33" t="b">
        <v>1</v>
      </c>
      <c r="J380" s="34" t="b">
        <v>1</v>
      </c>
      <c r="K380" s="35" t="b">
        <v>1</v>
      </c>
      <c r="L380" s="27" t="s">
        <v>570</v>
      </c>
      <c r="M380" s="27" t="s">
        <v>34</v>
      </c>
      <c r="N380" s="33">
        <v>28</v>
      </c>
      <c r="O380" s="34">
        <v>11</v>
      </c>
      <c r="P380" s="35">
        <v>6</v>
      </c>
      <c r="Q380" s="28">
        <v>6818.181818181818</v>
      </c>
      <c r="R380" s="36">
        <v>190909.09090909091</v>
      </c>
      <c r="S380" s="37">
        <v>75000</v>
      </c>
      <c r="T380" s="38">
        <v>40909.090909090912</v>
      </c>
      <c r="U380" s="27" t="s">
        <v>38</v>
      </c>
    </row>
    <row r="381" spans="1:21">
      <c r="A381" s="27" t="s">
        <v>115</v>
      </c>
      <c r="B381" s="50" t="s">
        <v>582</v>
      </c>
      <c r="C381" s="28">
        <v>620000</v>
      </c>
      <c r="D381" s="29">
        <v>0.25</v>
      </c>
      <c r="E381" s="30">
        <v>0.1</v>
      </c>
      <c r="F381" s="31">
        <v>0.05</v>
      </c>
      <c r="G381" s="32">
        <v>30</v>
      </c>
      <c r="H381" s="54"/>
      <c r="I381" s="33" t="b">
        <v>1</v>
      </c>
      <c r="J381" s="34" t="b">
        <v>1</v>
      </c>
      <c r="K381" s="35" t="b">
        <v>1</v>
      </c>
      <c r="L381" s="27" t="s">
        <v>570</v>
      </c>
      <c r="M381" s="27" t="s">
        <v>34</v>
      </c>
      <c r="N381" s="33">
        <v>8</v>
      </c>
      <c r="O381" s="34">
        <v>3</v>
      </c>
      <c r="P381" s="35">
        <v>2</v>
      </c>
      <c r="Q381" s="28">
        <v>20666.666666666672</v>
      </c>
      <c r="R381" s="36">
        <v>165333.33333333331</v>
      </c>
      <c r="S381" s="37">
        <v>62000</v>
      </c>
      <c r="T381" s="38">
        <v>41333.333333333343</v>
      </c>
      <c r="U381" s="27" t="s">
        <v>38</v>
      </c>
    </row>
    <row r="382" spans="1:21">
      <c r="A382" s="39" t="s">
        <v>115</v>
      </c>
      <c r="B382" s="65" t="s">
        <v>583</v>
      </c>
      <c r="C382" s="40">
        <v>3660000</v>
      </c>
      <c r="D382" s="41">
        <v>0.25</v>
      </c>
      <c r="E382" s="41">
        <v>0.1</v>
      </c>
      <c r="F382" s="41">
        <v>0.05</v>
      </c>
      <c r="G382" s="42">
        <v>140</v>
      </c>
      <c r="H382" s="55" t="s">
        <v>13</v>
      </c>
      <c r="I382" s="42" t="b">
        <v>1</v>
      </c>
      <c r="J382" s="42" t="b">
        <v>1</v>
      </c>
      <c r="K382" s="42" t="b">
        <v>1</v>
      </c>
      <c r="L382" s="39" t="s">
        <v>570</v>
      </c>
      <c r="M382" s="39" t="s">
        <v>34</v>
      </c>
      <c r="N382" s="42">
        <v>35</v>
      </c>
      <c r="O382" s="42">
        <v>14</v>
      </c>
      <c r="P382" s="42">
        <v>7</v>
      </c>
      <c r="Q382" s="40">
        <v>26142.857142857141</v>
      </c>
      <c r="R382" s="40">
        <v>915000</v>
      </c>
      <c r="S382" s="40">
        <v>366000</v>
      </c>
      <c r="T382" s="40">
        <v>183000</v>
      </c>
      <c r="U382" s="39" t="s">
        <v>38</v>
      </c>
    </row>
    <row r="383" spans="1:21">
      <c r="A383" s="39" t="s">
        <v>115</v>
      </c>
      <c r="B383" s="60" t="s">
        <v>584</v>
      </c>
      <c r="C383" s="40">
        <v>920000</v>
      </c>
      <c r="D383" s="41">
        <v>0.25</v>
      </c>
      <c r="E383" s="41">
        <v>0.1</v>
      </c>
      <c r="F383" s="41">
        <v>0.05</v>
      </c>
      <c r="G383" s="42">
        <v>30</v>
      </c>
      <c r="H383" s="56" t="s">
        <v>183</v>
      </c>
      <c r="I383" s="42" t="b">
        <v>1</v>
      </c>
      <c r="J383" s="42" t="b">
        <v>1</v>
      </c>
      <c r="K383" s="42" t="b">
        <v>1</v>
      </c>
      <c r="L383" s="39" t="s">
        <v>570</v>
      </c>
      <c r="M383" s="39" t="s">
        <v>34</v>
      </c>
      <c r="N383" s="42">
        <v>8</v>
      </c>
      <c r="O383" s="42">
        <v>3</v>
      </c>
      <c r="P383" s="42">
        <v>2</v>
      </c>
      <c r="Q383" s="40">
        <v>30666.666666666672</v>
      </c>
      <c r="R383" s="40">
        <v>245333.33333333331</v>
      </c>
      <c r="S383" s="40">
        <v>92000</v>
      </c>
      <c r="T383" s="40">
        <v>61333.333333333343</v>
      </c>
      <c r="U383" s="39" t="s">
        <v>38</v>
      </c>
    </row>
    <row r="384" spans="1:21">
      <c r="A384" s="39" t="s">
        <v>115</v>
      </c>
      <c r="B384" s="60" t="s">
        <v>585</v>
      </c>
      <c r="C384" s="40">
        <v>400000</v>
      </c>
      <c r="D384" s="41">
        <v>0.25</v>
      </c>
      <c r="E384" s="41">
        <v>0.1</v>
      </c>
      <c r="F384" s="41">
        <v>0.05</v>
      </c>
      <c r="G384" s="42">
        <v>40</v>
      </c>
      <c r="H384" s="55" t="s">
        <v>12</v>
      </c>
      <c r="I384" s="42" t="b">
        <v>1</v>
      </c>
      <c r="J384" s="42" t="b">
        <v>1</v>
      </c>
      <c r="K384" s="42" t="b">
        <v>1</v>
      </c>
      <c r="L384" s="39" t="s">
        <v>570</v>
      </c>
      <c r="M384" s="39" t="s">
        <v>34</v>
      </c>
      <c r="N384" s="42">
        <v>10</v>
      </c>
      <c r="O384" s="42">
        <v>4</v>
      </c>
      <c r="P384" s="42">
        <v>2</v>
      </c>
      <c r="Q384" s="40">
        <v>10000</v>
      </c>
      <c r="R384" s="40">
        <v>100000</v>
      </c>
      <c r="S384" s="40">
        <v>40000</v>
      </c>
      <c r="T384" s="40">
        <v>20000</v>
      </c>
      <c r="U384" s="39" t="s">
        <v>39</v>
      </c>
    </row>
    <row r="385" spans="1:21">
      <c r="A385" s="27" t="s">
        <v>115</v>
      </c>
      <c r="B385" s="50" t="s">
        <v>586</v>
      </c>
      <c r="C385" s="28">
        <v>960000</v>
      </c>
      <c r="D385" s="29">
        <v>0.25</v>
      </c>
      <c r="E385" s="30">
        <v>0.1</v>
      </c>
      <c r="F385" s="31">
        <v>0.05</v>
      </c>
      <c r="G385" s="32">
        <v>24</v>
      </c>
      <c r="H385" s="54"/>
      <c r="I385" s="33" t="b">
        <v>1</v>
      </c>
      <c r="J385" s="34" t="b">
        <v>1</v>
      </c>
      <c r="K385" s="35" t="b">
        <v>1</v>
      </c>
      <c r="L385" s="27" t="s">
        <v>570</v>
      </c>
      <c r="M385" s="27" t="s">
        <v>34</v>
      </c>
      <c r="N385" s="33">
        <v>6</v>
      </c>
      <c r="O385" s="34">
        <v>2</v>
      </c>
      <c r="P385" s="35">
        <v>1</v>
      </c>
      <c r="Q385" s="28">
        <v>40000</v>
      </c>
      <c r="R385" s="36">
        <v>240000</v>
      </c>
      <c r="S385" s="37">
        <v>80000</v>
      </c>
      <c r="T385" s="38">
        <v>40000</v>
      </c>
      <c r="U385" s="27" t="s">
        <v>40</v>
      </c>
    </row>
    <row r="386" spans="1:21">
      <c r="A386" s="39" t="s">
        <v>115</v>
      </c>
      <c r="B386" s="64" t="s">
        <v>587</v>
      </c>
      <c r="C386" s="40">
        <v>1200000</v>
      </c>
      <c r="D386" s="41">
        <v>0</v>
      </c>
      <c r="E386" s="41">
        <v>0</v>
      </c>
      <c r="F386" s="41">
        <v>0.05</v>
      </c>
      <c r="G386" s="42">
        <v>40</v>
      </c>
      <c r="H386" s="55" t="s">
        <v>14</v>
      </c>
      <c r="I386" s="42" t="b">
        <v>1</v>
      </c>
      <c r="J386" s="42" t="b">
        <v>1</v>
      </c>
      <c r="K386" s="42" t="b">
        <v>1</v>
      </c>
      <c r="L386" s="39" t="s">
        <v>570</v>
      </c>
      <c r="M386" s="39" t="s">
        <v>34</v>
      </c>
      <c r="N386" s="42">
        <v>0</v>
      </c>
      <c r="O386" s="42">
        <v>0</v>
      </c>
      <c r="P386" s="42">
        <v>2</v>
      </c>
      <c r="Q386" s="40">
        <v>30000</v>
      </c>
      <c r="R386" s="40">
        <v>0</v>
      </c>
      <c r="S386" s="40">
        <v>0</v>
      </c>
      <c r="T386" s="40">
        <v>60000</v>
      </c>
      <c r="U386" s="39" t="s">
        <v>39</v>
      </c>
    </row>
    <row r="387" spans="1:21">
      <c r="A387" s="39" t="s">
        <v>115</v>
      </c>
      <c r="B387" s="60" t="s">
        <v>588</v>
      </c>
      <c r="C387" s="40">
        <v>660000</v>
      </c>
      <c r="D387" s="41">
        <v>0</v>
      </c>
      <c r="E387" s="41">
        <v>1</v>
      </c>
      <c r="F387" s="41">
        <v>0.05</v>
      </c>
      <c r="G387" s="42">
        <v>22</v>
      </c>
      <c r="H387" s="55" t="s">
        <v>168</v>
      </c>
      <c r="I387" s="42" t="b">
        <v>1</v>
      </c>
      <c r="J387" s="42" t="b">
        <v>1</v>
      </c>
      <c r="K387" s="42" t="b">
        <v>1</v>
      </c>
      <c r="L387" s="39" t="s">
        <v>570</v>
      </c>
      <c r="M387" s="39" t="s">
        <v>34</v>
      </c>
      <c r="N387" s="42">
        <v>0</v>
      </c>
      <c r="O387" s="42">
        <v>22</v>
      </c>
      <c r="P387" s="42">
        <v>1</v>
      </c>
      <c r="Q387" s="40">
        <v>30000</v>
      </c>
      <c r="R387" s="40">
        <v>0</v>
      </c>
      <c r="S387" s="40">
        <v>660000</v>
      </c>
      <c r="T387" s="40">
        <v>30000</v>
      </c>
      <c r="U387" s="39" t="s">
        <v>39</v>
      </c>
    </row>
    <row r="388" spans="1:21">
      <c r="A388" s="27" t="s">
        <v>115</v>
      </c>
      <c r="B388" s="50" t="s">
        <v>589</v>
      </c>
      <c r="C388" s="28">
        <v>600000</v>
      </c>
      <c r="D388" s="29">
        <v>0.5</v>
      </c>
      <c r="E388" s="30">
        <v>0</v>
      </c>
      <c r="F388" s="31">
        <v>0</v>
      </c>
      <c r="G388" s="32">
        <v>2</v>
      </c>
      <c r="H388" s="54"/>
      <c r="I388" s="33" t="b">
        <v>1</v>
      </c>
      <c r="J388" s="34" t="b">
        <v>1</v>
      </c>
      <c r="K388" s="35" t="b">
        <v>1</v>
      </c>
      <c r="L388" s="27" t="s">
        <v>570</v>
      </c>
      <c r="M388" s="27" t="s">
        <v>34</v>
      </c>
      <c r="N388" s="33">
        <v>1</v>
      </c>
      <c r="O388" s="34">
        <v>0</v>
      </c>
      <c r="P388" s="35">
        <v>0</v>
      </c>
      <c r="Q388" s="28">
        <v>300000</v>
      </c>
      <c r="R388" s="36">
        <v>300000</v>
      </c>
      <c r="S388" s="37">
        <v>0</v>
      </c>
      <c r="T388" s="38">
        <v>0</v>
      </c>
      <c r="U388" s="27" t="s">
        <v>37</v>
      </c>
    </row>
    <row r="389" spans="1:21">
      <c r="A389" s="39" t="s">
        <v>115</v>
      </c>
      <c r="B389" s="46" t="s">
        <v>590</v>
      </c>
      <c r="C389" s="40">
        <v>620000</v>
      </c>
      <c r="D389" s="41">
        <v>1</v>
      </c>
      <c r="E389" s="41">
        <v>0</v>
      </c>
      <c r="F389" s="41">
        <v>0.05</v>
      </c>
      <c r="G389" s="42">
        <v>30</v>
      </c>
      <c r="H389" s="55" t="s">
        <v>213</v>
      </c>
      <c r="I389" s="42" t="b">
        <v>1</v>
      </c>
      <c r="J389" s="42" t="b">
        <v>1</v>
      </c>
      <c r="K389" s="42" t="b">
        <v>1</v>
      </c>
      <c r="L389" s="39" t="s">
        <v>570</v>
      </c>
      <c r="M389" s="39" t="s">
        <v>34</v>
      </c>
      <c r="N389" s="42">
        <v>30</v>
      </c>
      <c r="O389" s="42">
        <v>0</v>
      </c>
      <c r="P389" s="42">
        <v>2</v>
      </c>
      <c r="Q389" s="40">
        <v>20666.666666666672</v>
      </c>
      <c r="R389" s="40">
        <v>620000</v>
      </c>
      <c r="S389" s="40">
        <v>0</v>
      </c>
      <c r="T389" s="40">
        <v>41333.333333333343</v>
      </c>
      <c r="U389" s="39" t="s">
        <v>38</v>
      </c>
    </row>
    <row r="390" spans="1:21">
      <c r="A390" s="27" t="s">
        <v>116</v>
      </c>
      <c r="B390" s="50" t="s">
        <v>591</v>
      </c>
      <c r="C390" s="28">
        <v>4100000</v>
      </c>
      <c r="D390" s="29">
        <v>0.26319999999999999</v>
      </c>
      <c r="E390" s="30">
        <v>0.1053</v>
      </c>
      <c r="F390" s="31">
        <v>5.2600000000000001E-2</v>
      </c>
      <c r="G390" s="32">
        <v>38</v>
      </c>
      <c r="H390" s="54"/>
      <c r="I390" s="33" t="b">
        <v>1</v>
      </c>
      <c r="J390" s="34" t="b">
        <v>1</v>
      </c>
      <c r="K390" s="35" t="b">
        <v>1</v>
      </c>
      <c r="L390" s="27" t="s">
        <v>592</v>
      </c>
      <c r="M390" s="27" t="s">
        <v>34</v>
      </c>
      <c r="N390" s="33">
        <v>10</v>
      </c>
      <c r="O390" s="34">
        <v>4</v>
      </c>
      <c r="P390" s="35">
        <v>2</v>
      </c>
      <c r="Q390" s="28">
        <v>107894.7368421053</v>
      </c>
      <c r="R390" s="36">
        <v>1078947.368421053</v>
      </c>
      <c r="S390" s="37">
        <v>431578.94736842113</v>
      </c>
      <c r="T390" s="38">
        <v>215789.4736842105</v>
      </c>
      <c r="U390" s="27" t="s">
        <v>38</v>
      </c>
    </row>
    <row r="391" spans="1:21">
      <c r="A391" s="39" t="s">
        <v>116</v>
      </c>
      <c r="B391" s="65" t="s">
        <v>593</v>
      </c>
      <c r="C391" s="40">
        <v>8000000</v>
      </c>
      <c r="D391" s="41">
        <v>0.25</v>
      </c>
      <c r="E391" s="41">
        <v>0.08</v>
      </c>
      <c r="F391" s="41">
        <v>0.04</v>
      </c>
      <c r="G391" s="42">
        <v>86</v>
      </c>
      <c r="H391" s="55" t="s">
        <v>13</v>
      </c>
      <c r="I391" s="42" t="b">
        <v>1</v>
      </c>
      <c r="J391" s="42" t="b">
        <v>1</v>
      </c>
      <c r="K391" s="42" t="b">
        <v>1</v>
      </c>
      <c r="L391" s="39" t="s">
        <v>592</v>
      </c>
      <c r="M391" s="39" t="s">
        <v>34</v>
      </c>
      <c r="N391" s="42">
        <v>22</v>
      </c>
      <c r="O391" s="42">
        <v>7</v>
      </c>
      <c r="P391" s="42">
        <v>3</v>
      </c>
      <c r="Q391" s="40">
        <v>93023.255813953481</v>
      </c>
      <c r="R391" s="40">
        <v>2046511.627906977</v>
      </c>
      <c r="S391" s="40">
        <v>651162.79069767438</v>
      </c>
      <c r="T391" s="40">
        <v>279069.76744186052</v>
      </c>
      <c r="U391" s="39" t="s">
        <v>38</v>
      </c>
    </row>
    <row r="392" spans="1:21">
      <c r="A392" s="27" t="s">
        <v>116</v>
      </c>
      <c r="B392" s="50" t="s">
        <v>594</v>
      </c>
      <c r="C392" s="28">
        <v>7900000</v>
      </c>
      <c r="D392" s="29">
        <v>0.26800000000000002</v>
      </c>
      <c r="E392" s="30">
        <v>0.1</v>
      </c>
      <c r="F392" s="31">
        <v>0.05</v>
      </c>
      <c r="G392" s="32">
        <v>67</v>
      </c>
      <c r="H392" s="54"/>
      <c r="I392" s="33" t="b">
        <v>1</v>
      </c>
      <c r="J392" s="34" t="b">
        <v>1</v>
      </c>
      <c r="K392" s="35" t="b">
        <v>1</v>
      </c>
      <c r="L392" s="27" t="s">
        <v>592</v>
      </c>
      <c r="M392" s="27" t="s">
        <v>34</v>
      </c>
      <c r="N392" s="33">
        <v>18</v>
      </c>
      <c r="O392" s="34">
        <v>7</v>
      </c>
      <c r="P392" s="35">
        <v>3</v>
      </c>
      <c r="Q392" s="28">
        <v>117910.44776119399</v>
      </c>
      <c r="R392" s="36">
        <v>2122388.059701493</v>
      </c>
      <c r="S392" s="37">
        <v>825373.13432835811</v>
      </c>
      <c r="T392" s="38">
        <v>353731.34328358207</v>
      </c>
      <c r="U392" s="27" t="s">
        <v>38</v>
      </c>
    </row>
    <row r="393" spans="1:21">
      <c r="A393" s="27" t="s">
        <v>116</v>
      </c>
      <c r="B393" s="50" t="s">
        <v>595</v>
      </c>
      <c r="C393" s="28">
        <v>4000000</v>
      </c>
      <c r="D393" s="29">
        <v>0.26600000000000001</v>
      </c>
      <c r="E393" s="30">
        <v>0.1</v>
      </c>
      <c r="F393" s="31">
        <v>3.3000000000000002E-2</v>
      </c>
      <c r="G393" s="32">
        <v>30</v>
      </c>
      <c r="H393" s="54"/>
      <c r="I393" s="33" t="b">
        <v>1</v>
      </c>
      <c r="J393" s="34" t="b">
        <v>1</v>
      </c>
      <c r="K393" s="35" t="b">
        <v>1</v>
      </c>
      <c r="L393" s="27" t="s">
        <v>592</v>
      </c>
      <c r="M393" s="27" t="s">
        <v>34</v>
      </c>
      <c r="N393" s="33">
        <v>8</v>
      </c>
      <c r="O393" s="34">
        <v>3</v>
      </c>
      <c r="P393" s="35">
        <v>1</v>
      </c>
      <c r="Q393" s="28">
        <v>133333.33333333331</v>
      </c>
      <c r="R393" s="36">
        <v>1066666.666666667</v>
      </c>
      <c r="S393" s="37">
        <v>400000</v>
      </c>
      <c r="T393" s="38">
        <v>133333.33333333331</v>
      </c>
      <c r="U393" s="27" t="s">
        <v>38</v>
      </c>
    </row>
    <row r="394" spans="1:21">
      <c r="A394" s="27" t="s">
        <v>116</v>
      </c>
      <c r="B394" s="50" t="s">
        <v>596</v>
      </c>
      <c r="C394" s="28">
        <v>4000000</v>
      </c>
      <c r="D394" s="29">
        <v>0.26600000000000001</v>
      </c>
      <c r="E394" s="30">
        <v>0.1</v>
      </c>
      <c r="F394" s="31">
        <v>6.6000000000000003E-2</v>
      </c>
      <c r="G394" s="32">
        <v>30</v>
      </c>
      <c r="H394" s="54"/>
      <c r="I394" s="33" t="b">
        <v>1</v>
      </c>
      <c r="J394" s="34" t="b">
        <v>1</v>
      </c>
      <c r="K394" s="35" t="b">
        <v>1</v>
      </c>
      <c r="L394" s="27" t="s">
        <v>592</v>
      </c>
      <c r="M394" s="27" t="s">
        <v>34</v>
      </c>
      <c r="N394" s="33">
        <v>8</v>
      </c>
      <c r="O394" s="34">
        <v>3</v>
      </c>
      <c r="P394" s="35">
        <v>2</v>
      </c>
      <c r="Q394" s="28">
        <v>133333.33333333331</v>
      </c>
      <c r="R394" s="36">
        <v>1066666.666666667</v>
      </c>
      <c r="S394" s="37">
        <v>400000</v>
      </c>
      <c r="T394" s="38">
        <v>266666.66666666669</v>
      </c>
      <c r="U394" s="27" t="s">
        <v>38</v>
      </c>
    </row>
    <row r="395" spans="1:21">
      <c r="A395" s="27" t="s">
        <v>116</v>
      </c>
      <c r="B395" s="50" t="s">
        <v>597</v>
      </c>
      <c r="C395" s="28">
        <v>10650000</v>
      </c>
      <c r="D395" s="29">
        <v>0.26090000000000002</v>
      </c>
      <c r="E395" s="30">
        <v>8.6999999999999994E-2</v>
      </c>
      <c r="F395" s="31">
        <v>4.3499999999999997E-2</v>
      </c>
      <c r="G395" s="32">
        <v>69</v>
      </c>
      <c r="H395" s="54"/>
      <c r="I395" s="33" t="b">
        <v>1</v>
      </c>
      <c r="J395" s="34" t="b">
        <v>0</v>
      </c>
      <c r="K395" s="35" t="b">
        <v>1</v>
      </c>
      <c r="L395" s="27" t="s">
        <v>592</v>
      </c>
      <c r="M395" s="27" t="s">
        <v>34</v>
      </c>
      <c r="N395" s="33">
        <v>18</v>
      </c>
      <c r="O395" s="34">
        <v>6</v>
      </c>
      <c r="P395" s="35">
        <v>3</v>
      </c>
      <c r="Q395" s="28">
        <v>154347.82608695651</v>
      </c>
      <c r="R395" s="36">
        <v>2778260.8695652168</v>
      </c>
      <c r="S395" s="37">
        <v>926086.95652173902</v>
      </c>
      <c r="T395" s="38">
        <v>463043.47826086951</v>
      </c>
      <c r="U395" s="27" t="s">
        <v>38</v>
      </c>
    </row>
    <row r="396" spans="1:21">
      <c r="A396" s="27" t="s">
        <v>116</v>
      </c>
      <c r="B396" s="50" t="s">
        <v>598</v>
      </c>
      <c r="C396" s="28">
        <v>7800000</v>
      </c>
      <c r="D396" s="29">
        <v>0.26500000000000001</v>
      </c>
      <c r="E396" s="30">
        <v>0.1</v>
      </c>
      <c r="F396" s="31">
        <v>0.04</v>
      </c>
      <c r="G396" s="32">
        <v>49</v>
      </c>
      <c r="H396" s="54"/>
      <c r="I396" s="33" t="b">
        <v>1</v>
      </c>
      <c r="J396" s="34" t="b">
        <v>1</v>
      </c>
      <c r="K396" s="35" t="b">
        <v>1</v>
      </c>
      <c r="L396" s="27" t="s">
        <v>592</v>
      </c>
      <c r="M396" s="27" t="s">
        <v>34</v>
      </c>
      <c r="N396" s="33">
        <v>13</v>
      </c>
      <c r="O396" s="34">
        <v>5</v>
      </c>
      <c r="P396" s="35">
        <v>2</v>
      </c>
      <c r="Q396" s="28">
        <v>159183.67346938781</v>
      </c>
      <c r="R396" s="36">
        <v>2069387.7551020409</v>
      </c>
      <c r="S396" s="37">
        <v>795918.3673469387</v>
      </c>
      <c r="T396" s="38">
        <v>318367.3469387755</v>
      </c>
      <c r="U396" s="27" t="s">
        <v>38</v>
      </c>
    </row>
    <row r="397" spans="1:21">
      <c r="A397" s="27" t="s">
        <v>116</v>
      </c>
      <c r="B397" s="50" t="s">
        <v>599</v>
      </c>
      <c r="C397" s="28">
        <v>9000000</v>
      </c>
      <c r="D397" s="29">
        <v>0.25</v>
      </c>
      <c r="E397" s="30">
        <v>0.1</v>
      </c>
      <c r="F397" s="31">
        <v>0.05</v>
      </c>
      <c r="G397" s="32">
        <v>63</v>
      </c>
      <c r="H397" s="54"/>
      <c r="I397" s="33" t="b">
        <v>1</v>
      </c>
      <c r="J397" s="34" t="b">
        <v>1</v>
      </c>
      <c r="K397" s="35" t="b">
        <v>1</v>
      </c>
      <c r="L397" s="27" t="s">
        <v>592</v>
      </c>
      <c r="M397" s="27" t="s">
        <v>34</v>
      </c>
      <c r="N397" s="33">
        <v>16</v>
      </c>
      <c r="O397" s="34">
        <v>6</v>
      </c>
      <c r="P397" s="35">
        <v>3</v>
      </c>
      <c r="Q397" s="28">
        <v>142857.1428571429</v>
      </c>
      <c r="R397" s="36">
        <v>2285714.2857142859</v>
      </c>
      <c r="S397" s="37">
        <v>857142.85714285728</v>
      </c>
      <c r="T397" s="38">
        <v>428571.42857142858</v>
      </c>
      <c r="U397" s="27" t="s">
        <v>37</v>
      </c>
    </row>
    <row r="398" spans="1:21">
      <c r="A398" s="27" t="s">
        <v>117</v>
      </c>
      <c r="B398" s="50" t="s">
        <v>600</v>
      </c>
      <c r="C398" s="28">
        <v>3060000</v>
      </c>
      <c r="D398" s="29">
        <v>0.16</v>
      </c>
      <c r="E398" s="30">
        <v>0.03</v>
      </c>
      <c r="F398" s="31">
        <v>0.03</v>
      </c>
      <c r="G398" s="32">
        <v>30</v>
      </c>
      <c r="H398" s="54"/>
      <c r="I398" s="33" t="b">
        <v>0</v>
      </c>
      <c r="J398" s="34" t="b">
        <v>0</v>
      </c>
      <c r="K398" s="35" t="b">
        <v>0</v>
      </c>
      <c r="L398" s="27" t="s">
        <v>601</v>
      </c>
      <c r="M398" s="27" t="s">
        <v>34</v>
      </c>
      <c r="N398" s="33">
        <v>5</v>
      </c>
      <c r="O398" s="34">
        <v>1</v>
      </c>
      <c r="P398" s="35">
        <v>1</v>
      </c>
      <c r="Q398" s="28">
        <v>102000</v>
      </c>
      <c r="R398" s="36">
        <v>510000</v>
      </c>
      <c r="S398" s="37">
        <v>102000</v>
      </c>
      <c r="T398" s="38">
        <v>102000</v>
      </c>
      <c r="U398" s="27" t="s">
        <v>37</v>
      </c>
    </row>
    <row r="399" spans="1:21">
      <c r="A399" s="27" t="s">
        <v>117</v>
      </c>
      <c r="B399" s="50" t="s">
        <v>602</v>
      </c>
      <c r="C399" s="28">
        <v>1200000</v>
      </c>
      <c r="D399" s="29">
        <v>0.2</v>
      </c>
      <c r="E399" s="30">
        <v>0.05</v>
      </c>
      <c r="F399" s="31">
        <v>0.05</v>
      </c>
      <c r="G399" s="32">
        <v>40</v>
      </c>
      <c r="H399" s="54"/>
      <c r="I399" s="33" t="b">
        <v>0</v>
      </c>
      <c r="J399" s="34" t="b">
        <v>0</v>
      </c>
      <c r="K399" s="35" t="b">
        <v>1</v>
      </c>
      <c r="L399" s="27" t="s">
        <v>601</v>
      </c>
      <c r="M399" s="27" t="s">
        <v>34</v>
      </c>
      <c r="N399" s="33">
        <v>8</v>
      </c>
      <c r="O399" s="34">
        <v>2</v>
      </c>
      <c r="P399" s="35">
        <v>2</v>
      </c>
      <c r="Q399" s="28">
        <v>30000</v>
      </c>
      <c r="R399" s="36">
        <v>240000</v>
      </c>
      <c r="S399" s="37">
        <v>60000</v>
      </c>
      <c r="T399" s="38">
        <v>60000</v>
      </c>
      <c r="U399" s="27" t="s">
        <v>37</v>
      </c>
    </row>
    <row r="400" spans="1:21">
      <c r="A400" s="27" t="s">
        <v>117</v>
      </c>
      <c r="B400" s="50" t="s">
        <v>603</v>
      </c>
      <c r="C400" s="28">
        <v>500000</v>
      </c>
      <c r="D400" s="29">
        <v>0.26</v>
      </c>
      <c r="E400" s="30">
        <v>0.1</v>
      </c>
      <c r="F400" s="31">
        <v>0.04</v>
      </c>
      <c r="G400" s="32">
        <v>50</v>
      </c>
      <c r="H400" s="54"/>
      <c r="I400" s="33" t="b">
        <v>1</v>
      </c>
      <c r="J400" s="34" t="b">
        <v>1</v>
      </c>
      <c r="K400" s="35" t="b">
        <v>0</v>
      </c>
      <c r="L400" s="27" t="s">
        <v>601</v>
      </c>
      <c r="M400" s="27" t="s">
        <v>34</v>
      </c>
      <c r="N400" s="33">
        <v>13</v>
      </c>
      <c r="O400" s="34">
        <v>5</v>
      </c>
      <c r="P400" s="35">
        <v>2</v>
      </c>
      <c r="Q400" s="28">
        <v>10000</v>
      </c>
      <c r="R400" s="36">
        <v>130000</v>
      </c>
      <c r="S400" s="37">
        <v>50000</v>
      </c>
      <c r="T400" s="38">
        <v>20000</v>
      </c>
      <c r="U400" s="27" t="s">
        <v>39</v>
      </c>
    </row>
    <row r="401" spans="1:21">
      <c r="A401" s="39" t="s">
        <v>117</v>
      </c>
      <c r="B401" s="64" t="s">
        <v>604</v>
      </c>
      <c r="C401" s="40">
        <v>1100000</v>
      </c>
      <c r="D401" s="41">
        <v>0.25</v>
      </c>
      <c r="E401" s="41">
        <v>0.1</v>
      </c>
      <c r="F401" s="41">
        <v>0.05</v>
      </c>
      <c r="G401" s="42">
        <v>40</v>
      </c>
      <c r="H401" s="55" t="s">
        <v>13</v>
      </c>
      <c r="I401" s="42" t="b">
        <v>1</v>
      </c>
      <c r="J401" s="42" t="b">
        <v>1</v>
      </c>
      <c r="K401" s="42" t="b">
        <v>1</v>
      </c>
      <c r="L401" s="39" t="s">
        <v>601</v>
      </c>
      <c r="M401" s="39" t="s">
        <v>34</v>
      </c>
      <c r="N401" s="42">
        <v>10</v>
      </c>
      <c r="O401" s="42">
        <v>4</v>
      </c>
      <c r="P401" s="42">
        <v>2</v>
      </c>
      <c r="Q401" s="40">
        <v>27500</v>
      </c>
      <c r="R401" s="40">
        <v>275000</v>
      </c>
      <c r="S401" s="40">
        <v>110000</v>
      </c>
      <c r="T401" s="40">
        <v>55000</v>
      </c>
      <c r="U401" s="39" t="s">
        <v>39</v>
      </c>
    </row>
    <row r="402" spans="1:21">
      <c r="A402" s="27" t="s">
        <v>118</v>
      </c>
      <c r="B402" s="50" t="s">
        <v>605</v>
      </c>
      <c r="C402" s="28">
        <v>8178650</v>
      </c>
      <c r="D402" s="29">
        <v>0.25</v>
      </c>
      <c r="E402" s="30">
        <v>0.15</v>
      </c>
      <c r="F402" s="31">
        <v>0.05</v>
      </c>
      <c r="G402" s="32">
        <v>241</v>
      </c>
      <c r="H402" s="54"/>
      <c r="I402" s="33" t="b">
        <v>1</v>
      </c>
      <c r="J402" s="34" t="b">
        <v>1</v>
      </c>
      <c r="K402" s="35" t="b">
        <v>1</v>
      </c>
      <c r="L402" s="27" t="s">
        <v>606</v>
      </c>
      <c r="M402" s="27" t="s">
        <v>34</v>
      </c>
      <c r="N402" s="33">
        <v>60</v>
      </c>
      <c r="O402" s="34">
        <v>36</v>
      </c>
      <c r="P402" s="35">
        <v>12</v>
      </c>
      <c r="Q402" s="28">
        <v>33936.307053941913</v>
      </c>
      <c r="R402" s="36">
        <v>2036178.423236514</v>
      </c>
      <c r="S402" s="37">
        <v>1221707.053941909</v>
      </c>
      <c r="T402" s="38">
        <v>407235.68464730278</v>
      </c>
      <c r="U402" s="27" t="s">
        <v>38</v>
      </c>
    </row>
    <row r="403" spans="1:21">
      <c r="A403" s="27" t="s">
        <v>118</v>
      </c>
      <c r="B403" s="50" t="s">
        <v>607</v>
      </c>
      <c r="C403" s="28">
        <v>2782706</v>
      </c>
      <c r="D403" s="29">
        <v>0.25</v>
      </c>
      <c r="E403" s="30">
        <v>0.15</v>
      </c>
      <c r="F403" s="31">
        <v>0.05</v>
      </c>
      <c r="G403" s="32">
        <v>243</v>
      </c>
      <c r="H403" s="54"/>
      <c r="I403" s="33" t="b">
        <v>1</v>
      </c>
      <c r="J403" s="34" t="b">
        <v>1</v>
      </c>
      <c r="K403" s="35" t="b">
        <v>1</v>
      </c>
      <c r="L403" s="27" t="s">
        <v>606</v>
      </c>
      <c r="M403" s="27" t="s">
        <v>34</v>
      </c>
      <c r="N403" s="33">
        <v>61</v>
      </c>
      <c r="O403" s="34">
        <v>36</v>
      </c>
      <c r="P403" s="35">
        <v>12</v>
      </c>
      <c r="Q403" s="28">
        <v>11451.46502057613</v>
      </c>
      <c r="R403" s="36">
        <v>698539.36625514401</v>
      </c>
      <c r="S403" s="37">
        <v>412252.74074074067</v>
      </c>
      <c r="T403" s="38">
        <v>137417.5802469136</v>
      </c>
      <c r="U403" s="27" t="s">
        <v>39</v>
      </c>
    </row>
    <row r="404" spans="1:21">
      <c r="A404" s="27" t="s">
        <v>118</v>
      </c>
      <c r="B404" s="50" t="s">
        <v>608</v>
      </c>
      <c r="C404" s="28">
        <v>1000000</v>
      </c>
      <c r="D404" s="29">
        <v>0.25</v>
      </c>
      <c r="E404" s="30">
        <v>0.15</v>
      </c>
      <c r="F404" s="31">
        <v>0.05</v>
      </c>
      <c r="G404" s="32">
        <v>16</v>
      </c>
      <c r="H404" s="54"/>
      <c r="I404" s="33" t="b">
        <v>1</v>
      </c>
      <c r="J404" s="34" t="b">
        <v>1</v>
      </c>
      <c r="K404" s="35" t="b">
        <v>1</v>
      </c>
      <c r="L404" s="27" t="s">
        <v>606</v>
      </c>
      <c r="M404" s="27" t="s">
        <v>34</v>
      </c>
      <c r="N404" s="33">
        <v>4</v>
      </c>
      <c r="O404" s="34">
        <v>2</v>
      </c>
      <c r="P404" s="35">
        <v>1</v>
      </c>
      <c r="Q404" s="28">
        <v>62500</v>
      </c>
      <c r="R404" s="36">
        <v>250000</v>
      </c>
      <c r="S404" s="37">
        <v>125000</v>
      </c>
      <c r="T404" s="38">
        <v>62500</v>
      </c>
      <c r="U404" s="27" t="s">
        <v>40</v>
      </c>
    </row>
    <row r="405" spans="1:21">
      <c r="A405" s="27" t="s">
        <v>118</v>
      </c>
      <c r="B405" s="50" t="s">
        <v>609</v>
      </c>
      <c r="C405" s="28">
        <v>1444328.08</v>
      </c>
      <c r="D405" s="29">
        <v>0.25</v>
      </c>
      <c r="E405" s="30">
        <v>0.15</v>
      </c>
      <c r="F405" s="31">
        <v>0.05</v>
      </c>
      <c r="G405" s="32">
        <v>20</v>
      </c>
      <c r="H405" s="54"/>
      <c r="I405" s="33" t="b">
        <v>1</v>
      </c>
      <c r="J405" s="34" t="b">
        <v>1</v>
      </c>
      <c r="K405" s="35" t="b">
        <v>1</v>
      </c>
      <c r="L405" s="27" t="s">
        <v>606</v>
      </c>
      <c r="M405" s="27" t="s">
        <v>34</v>
      </c>
      <c r="N405" s="33">
        <v>5</v>
      </c>
      <c r="O405" s="34">
        <v>3</v>
      </c>
      <c r="P405" s="35">
        <v>1</v>
      </c>
      <c r="Q405" s="28">
        <v>72216.40400000001</v>
      </c>
      <c r="R405" s="36">
        <v>361082.02</v>
      </c>
      <c r="S405" s="37">
        <v>216649.212</v>
      </c>
      <c r="T405" s="38">
        <v>72216.40400000001</v>
      </c>
      <c r="U405" s="27" t="s">
        <v>37</v>
      </c>
    </row>
    <row r="406" spans="1:21">
      <c r="A406" s="27" t="s">
        <v>118</v>
      </c>
      <c r="B406" s="50" t="s">
        <v>610</v>
      </c>
      <c r="C406" s="28">
        <v>361082.01</v>
      </c>
      <c r="D406" s="29">
        <v>0.25</v>
      </c>
      <c r="E406" s="30">
        <v>0.15</v>
      </c>
      <c r="F406" s="31">
        <v>0.05</v>
      </c>
      <c r="G406" s="32">
        <v>1</v>
      </c>
      <c r="H406" s="54"/>
      <c r="I406" s="33" t="b">
        <v>1</v>
      </c>
      <c r="J406" s="34" t="b">
        <v>1</v>
      </c>
      <c r="K406" s="35" t="b">
        <v>1</v>
      </c>
      <c r="L406" s="27" t="s">
        <v>606</v>
      </c>
      <c r="M406" s="27" t="s">
        <v>34</v>
      </c>
      <c r="N406" s="33">
        <v>0</v>
      </c>
      <c r="O406" s="34">
        <v>0</v>
      </c>
      <c r="P406" s="35">
        <v>0</v>
      </c>
      <c r="Q406" s="28">
        <v>361082.01</v>
      </c>
      <c r="R406" s="36">
        <v>0</v>
      </c>
      <c r="S406" s="37">
        <v>0</v>
      </c>
      <c r="T406" s="38">
        <v>0</v>
      </c>
      <c r="U406" s="27" t="s">
        <v>37</v>
      </c>
    </row>
    <row r="407" spans="1:21">
      <c r="A407" s="27" t="s">
        <v>75</v>
      </c>
      <c r="B407" s="50" t="s">
        <v>611</v>
      </c>
      <c r="C407" s="28">
        <v>2000000</v>
      </c>
      <c r="D407" s="29">
        <v>0.5</v>
      </c>
      <c r="E407" s="30">
        <v>0.1</v>
      </c>
      <c r="F407" s="31">
        <v>0.05</v>
      </c>
      <c r="G407" s="32">
        <v>40</v>
      </c>
      <c r="H407" s="54"/>
      <c r="I407" s="33" t="b">
        <v>1</v>
      </c>
      <c r="J407" s="34" t="b">
        <v>1</v>
      </c>
      <c r="K407" s="35" t="b">
        <v>1</v>
      </c>
      <c r="L407" s="27" t="s">
        <v>612</v>
      </c>
      <c r="M407" s="27" t="s">
        <v>33</v>
      </c>
      <c r="N407" s="33">
        <v>20</v>
      </c>
      <c r="O407" s="34">
        <v>4</v>
      </c>
      <c r="P407" s="35">
        <v>2</v>
      </c>
      <c r="Q407" s="28">
        <v>50000</v>
      </c>
      <c r="R407" s="36">
        <v>1000000</v>
      </c>
      <c r="S407" s="37">
        <v>200000</v>
      </c>
      <c r="T407" s="38">
        <v>100000</v>
      </c>
      <c r="U407" s="27" t="s">
        <v>38</v>
      </c>
    </row>
    <row r="408" spans="1:21">
      <c r="A408" s="27" t="s">
        <v>75</v>
      </c>
      <c r="B408" s="50" t="s">
        <v>613</v>
      </c>
      <c r="C408" s="28">
        <v>400000</v>
      </c>
      <c r="D408" s="29">
        <v>0.5</v>
      </c>
      <c r="E408" s="30">
        <v>0.1</v>
      </c>
      <c r="F408" s="31">
        <v>0.05</v>
      </c>
      <c r="G408" s="32">
        <v>25</v>
      </c>
      <c r="H408" s="54"/>
      <c r="I408" s="33" t="b">
        <v>1</v>
      </c>
      <c r="J408" s="34" t="b">
        <v>1</v>
      </c>
      <c r="K408" s="35" t="b">
        <v>1</v>
      </c>
      <c r="L408" s="27" t="s">
        <v>612</v>
      </c>
      <c r="M408" s="27" t="s">
        <v>33</v>
      </c>
      <c r="N408" s="33">
        <v>12</v>
      </c>
      <c r="O408" s="34">
        <v>2</v>
      </c>
      <c r="P408" s="35">
        <v>1</v>
      </c>
      <c r="Q408" s="28">
        <v>16000</v>
      </c>
      <c r="R408" s="36">
        <v>192000</v>
      </c>
      <c r="S408" s="37">
        <v>32000</v>
      </c>
      <c r="T408" s="38">
        <v>16000</v>
      </c>
      <c r="U408" s="27" t="s">
        <v>38</v>
      </c>
    </row>
    <row r="409" spans="1:21">
      <c r="A409" s="27" t="s">
        <v>75</v>
      </c>
      <c r="B409" s="50" t="s">
        <v>614</v>
      </c>
      <c r="C409" s="28">
        <v>5600000</v>
      </c>
      <c r="D409" s="29">
        <v>0.5</v>
      </c>
      <c r="E409" s="30">
        <v>0.1</v>
      </c>
      <c r="F409" s="31">
        <v>0.05</v>
      </c>
      <c r="G409" s="32">
        <v>30</v>
      </c>
      <c r="H409" s="54"/>
      <c r="I409" s="33" t="b">
        <v>1</v>
      </c>
      <c r="J409" s="34" t="b">
        <v>1</v>
      </c>
      <c r="K409" s="35" t="b">
        <v>1</v>
      </c>
      <c r="L409" s="27" t="s">
        <v>612</v>
      </c>
      <c r="M409" s="27" t="s">
        <v>33</v>
      </c>
      <c r="N409" s="33">
        <v>15</v>
      </c>
      <c r="O409" s="34">
        <v>3</v>
      </c>
      <c r="P409" s="35">
        <v>2</v>
      </c>
      <c r="Q409" s="28">
        <v>186666.66666666669</v>
      </c>
      <c r="R409" s="36">
        <v>2800000</v>
      </c>
      <c r="S409" s="37">
        <v>560000</v>
      </c>
      <c r="T409" s="38">
        <v>373333.33333333331</v>
      </c>
      <c r="U409" s="27" t="s">
        <v>38</v>
      </c>
    </row>
    <row r="410" spans="1:21">
      <c r="A410" s="27" t="s">
        <v>75</v>
      </c>
      <c r="B410" s="50" t="s">
        <v>615</v>
      </c>
      <c r="C410" s="28">
        <v>800000</v>
      </c>
      <c r="D410" s="29">
        <v>0.5</v>
      </c>
      <c r="E410" s="30">
        <v>0.1</v>
      </c>
      <c r="F410" s="31">
        <v>0.05</v>
      </c>
      <c r="G410" s="32"/>
      <c r="H410" s="54"/>
      <c r="I410" s="33" t="b">
        <v>1</v>
      </c>
      <c r="J410" s="34" t="b">
        <v>1</v>
      </c>
      <c r="K410" s="35" t="b">
        <v>1</v>
      </c>
      <c r="L410" s="27" t="s">
        <v>612</v>
      </c>
      <c r="M410" s="27" t="s">
        <v>33</v>
      </c>
      <c r="N410" s="33"/>
      <c r="O410" s="34"/>
      <c r="P410" s="35"/>
      <c r="Q410" s="28"/>
      <c r="R410" s="36">
        <v>400000</v>
      </c>
      <c r="S410" s="37">
        <v>80000</v>
      </c>
      <c r="T410" s="38">
        <v>40000</v>
      </c>
      <c r="U410" s="27" t="s">
        <v>36</v>
      </c>
    </row>
    <row r="411" spans="1:21">
      <c r="A411" s="27" t="s">
        <v>75</v>
      </c>
      <c r="B411" s="50" t="s">
        <v>616</v>
      </c>
      <c r="C411" s="28">
        <v>800000</v>
      </c>
      <c r="D411" s="29">
        <v>0.5</v>
      </c>
      <c r="E411" s="30">
        <v>0.1</v>
      </c>
      <c r="F411" s="31">
        <v>0.05</v>
      </c>
      <c r="G411" s="32">
        <v>60</v>
      </c>
      <c r="H411" s="54"/>
      <c r="I411" s="33" t="b">
        <v>1</v>
      </c>
      <c r="J411" s="34" t="b">
        <v>1</v>
      </c>
      <c r="K411" s="35" t="b">
        <v>1</v>
      </c>
      <c r="L411" s="27" t="s">
        <v>612</v>
      </c>
      <c r="M411" s="27" t="s">
        <v>33</v>
      </c>
      <c r="N411" s="33">
        <v>30</v>
      </c>
      <c r="O411" s="34">
        <v>6</v>
      </c>
      <c r="P411" s="35">
        <v>3</v>
      </c>
      <c r="Q411" s="28">
        <v>13333.33333333333</v>
      </c>
      <c r="R411" s="36">
        <v>400000</v>
      </c>
      <c r="S411" s="37">
        <v>80000</v>
      </c>
      <c r="T411" s="38">
        <v>40000</v>
      </c>
      <c r="U411" s="27" t="s">
        <v>38</v>
      </c>
    </row>
    <row r="412" spans="1:21">
      <c r="A412" s="27" t="s">
        <v>75</v>
      </c>
      <c r="B412" s="50" t="s">
        <v>617</v>
      </c>
      <c r="C412" s="28">
        <v>400000</v>
      </c>
      <c r="D412" s="29">
        <v>0.5</v>
      </c>
      <c r="E412" s="30">
        <v>0.1</v>
      </c>
      <c r="F412" s="31">
        <v>0.05</v>
      </c>
      <c r="G412" s="32">
        <v>20</v>
      </c>
      <c r="H412" s="54"/>
      <c r="I412" s="33" t="b">
        <v>1</v>
      </c>
      <c r="J412" s="34" t="b">
        <v>1</v>
      </c>
      <c r="K412" s="35" t="b">
        <v>1</v>
      </c>
      <c r="L412" s="27" t="s">
        <v>612</v>
      </c>
      <c r="M412" s="27" t="s">
        <v>33</v>
      </c>
      <c r="N412" s="33">
        <v>10</v>
      </c>
      <c r="O412" s="34">
        <v>2</v>
      </c>
      <c r="P412" s="35">
        <v>1</v>
      </c>
      <c r="Q412" s="28">
        <v>20000</v>
      </c>
      <c r="R412" s="36">
        <v>200000</v>
      </c>
      <c r="S412" s="37">
        <v>40000</v>
      </c>
      <c r="T412" s="38">
        <v>20000</v>
      </c>
      <c r="U412" s="27" t="s">
        <v>40</v>
      </c>
    </row>
    <row r="413" spans="1:21">
      <c r="A413" s="27" t="s">
        <v>75</v>
      </c>
      <c r="B413" s="50" t="s">
        <v>618</v>
      </c>
      <c r="C413" s="28">
        <v>4260000</v>
      </c>
      <c r="D413" s="29">
        <v>0.5</v>
      </c>
      <c r="E413" s="30">
        <v>0.1</v>
      </c>
      <c r="F413" s="31">
        <v>0.05</v>
      </c>
      <c r="G413" s="32">
        <v>82</v>
      </c>
      <c r="H413" s="54"/>
      <c r="I413" s="33" t="b">
        <v>1</v>
      </c>
      <c r="J413" s="34" t="b">
        <v>1</v>
      </c>
      <c r="K413" s="35" t="b">
        <v>1</v>
      </c>
      <c r="L413" s="27" t="s">
        <v>612</v>
      </c>
      <c r="M413" s="27" t="s">
        <v>33</v>
      </c>
      <c r="N413" s="33">
        <v>41</v>
      </c>
      <c r="O413" s="34">
        <v>8</v>
      </c>
      <c r="P413" s="35">
        <v>4</v>
      </c>
      <c r="Q413" s="28">
        <v>51951.219512195123</v>
      </c>
      <c r="R413" s="36">
        <v>2130000</v>
      </c>
      <c r="S413" s="37">
        <v>415609.75609756098</v>
      </c>
      <c r="T413" s="38">
        <v>207804.87804878049</v>
      </c>
      <c r="U413" s="27" t="s">
        <v>37</v>
      </c>
    </row>
    <row r="414" spans="1:21">
      <c r="A414" s="27" t="s">
        <v>75</v>
      </c>
      <c r="B414" s="50" t="s">
        <v>619</v>
      </c>
      <c r="C414" s="28">
        <v>1950000</v>
      </c>
      <c r="D414" s="29">
        <v>0.5</v>
      </c>
      <c r="E414" s="30">
        <v>0.1</v>
      </c>
      <c r="F414" s="31">
        <v>0.05</v>
      </c>
      <c r="G414" s="32">
        <v>2</v>
      </c>
      <c r="H414" s="54"/>
      <c r="I414" s="33" t="b">
        <v>1</v>
      </c>
      <c r="J414" s="34" t="b">
        <v>1</v>
      </c>
      <c r="K414" s="35" t="b">
        <v>1</v>
      </c>
      <c r="L414" s="27" t="s">
        <v>612</v>
      </c>
      <c r="M414" s="27" t="s">
        <v>33</v>
      </c>
      <c r="N414" s="33">
        <v>1</v>
      </c>
      <c r="O414" s="34">
        <v>0</v>
      </c>
      <c r="P414" s="35">
        <v>0</v>
      </c>
      <c r="Q414" s="28">
        <v>975000</v>
      </c>
      <c r="R414" s="36">
        <v>975000</v>
      </c>
      <c r="S414" s="37">
        <v>0</v>
      </c>
      <c r="T414" s="38">
        <v>0</v>
      </c>
      <c r="U414" s="27" t="s">
        <v>38</v>
      </c>
    </row>
    <row r="415" spans="1:21">
      <c r="A415" s="27" t="s">
        <v>75</v>
      </c>
      <c r="B415" s="50" t="s">
        <v>620</v>
      </c>
      <c r="C415" s="28">
        <v>2000000</v>
      </c>
      <c r="D415" s="29">
        <v>0.5</v>
      </c>
      <c r="E415" s="30">
        <v>0.1</v>
      </c>
      <c r="F415" s="31">
        <v>0.05</v>
      </c>
      <c r="G415" s="32">
        <v>20</v>
      </c>
      <c r="H415" s="54"/>
      <c r="I415" s="33" t="b">
        <v>1</v>
      </c>
      <c r="J415" s="34" t="b">
        <v>1</v>
      </c>
      <c r="K415" s="35" t="b">
        <v>1</v>
      </c>
      <c r="L415" s="27" t="s">
        <v>612</v>
      </c>
      <c r="M415" s="27" t="s">
        <v>33</v>
      </c>
      <c r="N415" s="33">
        <v>10</v>
      </c>
      <c r="O415" s="34">
        <v>2</v>
      </c>
      <c r="P415" s="35">
        <v>1</v>
      </c>
      <c r="Q415" s="28">
        <v>100000</v>
      </c>
      <c r="R415" s="36">
        <v>1000000</v>
      </c>
      <c r="S415" s="37">
        <v>200000</v>
      </c>
      <c r="T415" s="38">
        <v>100000</v>
      </c>
      <c r="U415" s="27" t="s">
        <v>38</v>
      </c>
    </row>
    <row r="416" spans="1:21">
      <c r="A416" s="27" t="s">
        <v>119</v>
      </c>
      <c r="B416" s="50" t="s">
        <v>621</v>
      </c>
      <c r="C416" s="28">
        <v>900000</v>
      </c>
      <c r="D416" s="29">
        <v>0.5</v>
      </c>
      <c r="E416" s="30">
        <v>0.5</v>
      </c>
      <c r="F416" s="31">
        <v>0.5</v>
      </c>
      <c r="G416" s="32">
        <v>3</v>
      </c>
      <c r="H416" s="54"/>
      <c r="I416" s="33" t="b">
        <v>1</v>
      </c>
      <c r="J416" s="34" t="b">
        <v>1</v>
      </c>
      <c r="K416" s="35" t="b">
        <v>1</v>
      </c>
      <c r="L416" s="27" t="s">
        <v>622</v>
      </c>
      <c r="M416" s="27" t="s">
        <v>34</v>
      </c>
      <c r="N416" s="33">
        <v>2</v>
      </c>
      <c r="O416" s="34">
        <v>2</v>
      </c>
      <c r="P416" s="35">
        <v>2</v>
      </c>
      <c r="Q416" s="28">
        <v>300000</v>
      </c>
      <c r="R416" s="36">
        <v>600000</v>
      </c>
      <c r="S416" s="37">
        <v>600000</v>
      </c>
      <c r="T416" s="38">
        <v>600000</v>
      </c>
      <c r="U416" s="27" t="s">
        <v>37</v>
      </c>
    </row>
    <row r="417" spans="1:21">
      <c r="A417" s="27" t="s">
        <v>119</v>
      </c>
      <c r="B417" s="50" t="s">
        <v>623</v>
      </c>
      <c r="C417" s="28">
        <v>4950000</v>
      </c>
      <c r="D417" s="29">
        <v>0.25</v>
      </c>
      <c r="E417" s="30">
        <v>0.1</v>
      </c>
      <c r="F417" s="31">
        <v>0.05</v>
      </c>
      <c r="G417" s="32">
        <v>110</v>
      </c>
      <c r="H417" s="54"/>
      <c r="I417" s="33" t="b">
        <v>1</v>
      </c>
      <c r="J417" s="34" t="b">
        <v>1</v>
      </c>
      <c r="K417" s="35" t="b">
        <v>1</v>
      </c>
      <c r="L417" s="27" t="s">
        <v>622</v>
      </c>
      <c r="M417" s="27" t="s">
        <v>34</v>
      </c>
      <c r="N417" s="33">
        <v>28</v>
      </c>
      <c r="O417" s="34">
        <v>11</v>
      </c>
      <c r="P417" s="35">
        <v>6</v>
      </c>
      <c r="Q417" s="28">
        <v>45000</v>
      </c>
      <c r="R417" s="36">
        <v>1260000</v>
      </c>
      <c r="S417" s="37">
        <v>495000</v>
      </c>
      <c r="T417" s="38">
        <v>270000</v>
      </c>
      <c r="U417" s="27" t="s">
        <v>37</v>
      </c>
    </row>
    <row r="418" spans="1:21">
      <c r="A418" s="27" t="s">
        <v>119</v>
      </c>
      <c r="B418" s="50" t="s">
        <v>624</v>
      </c>
      <c r="C418" s="28">
        <v>22220000</v>
      </c>
      <c r="D418" s="29">
        <v>0.25650000000000001</v>
      </c>
      <c r="E418" s="30">
        <v>0.1017</v>
      </c>
      <c r="F418" s="31">
        <v>5.3100000000000008E-2</v>
      </c>
      <c r="G418" s="32">
        <v>659</v>
      </c>
      <c r="H418" s="54"/>
      <c r="I418" s="33" t="b">
        <v>1</v>
      </c>
      <c r="J418" s="34" t="b">
        <v>1</v>
      </c>
      <c r="K418" s="35" t="b">
        <v>1</v>
      </c>
      <c r="L418" s="27" t="s">
        <v>622</v>
      </c>
      <c r="M418" s="27" t="s">
        <v>34</v>
      </c>
      <c r="N418" s="33">
        <v>169</v>
      </c>
      <c r="O418" s="34">
        <v>67</v>
      </c>
      <c r="P418" s="35">
        <v>35</v>
      </c>
      <c r="Q418" s="28">
        <v>33717.754172989378</v>
      </c>
      <c r="R418" s="36">
        <v>5698300.4552352047</v>
      </c>
      <c r="S418" s="37">
        <v>2259089.5295902882</v>
      </c>
      <c r="T418" s="38">
        <v>1180121.3960546281</v>
      </c>
      <c r="U418" s="27" t="s">
        <v>38</v>
      </c>
    </row>
    <row r="419" spans="1:21">
      <c r="A419" s="39" t="s">
        <v>119</v>
      </c>
      <c r="B419" s="65" t="s">
        <v>625</v>
      </c>
      <c r="C419" s="40">
        <v>3150000</v>
      </c>
      <c r="D419" s="41">
        <v>0.25</v>
      </c>
      <c r="E419" s="41">
        <v>0.1</v>
      </c>
      <c r="F419" s="41">
        <v>0.05</v>
      </c>
      <c r="G419" s="42">
        <v>140</v>
      </c>
      <c r="H419" s="55" t="s">
        <v>13</v>
      </c>
      <c r="I419" s="42" t="b">
        <v>1</v>
      </c>
      <c r="J419" s="42" t="b">
        <v>1</v>
      </c>
      <c r="K419" s="42" t="b">
        <v>1</v>
      </c>
      <c r="L419" s="39" t="s">
        <v>622</v>
      </c>
      <c r="M419" s="39" t="s">
        <v>34</v>
      </c>
      <c r="N419" s="42">
        <v>35</v>
      </c>
      <c r="O419" s="42">
        <v>14</v>
      </c>
      <c r="P419" s="42">
        <v>7</v>
      </c>
      <c r="Q419" s="40">
        <v>22500</v>
      </c>
      <c r="R419" s="40">
        <v>787500</v>
      </c>
      <c r="S419" s="40">
        <v>315000</v>
      </c>
      <c r="T419" s="40">
        <v>157500</v>
      </c>
      <c r="U419" s="39" t="s">
        <v>39</v>
      </c>
    </row>
    <row r="420" spans="1:21">
      <c r="A420" s="39" t="s">
        <v>119</v>
      </c>
      <c r="B420" s="60" t="s">
        <v>626</v>
      </c>
      <c r="C420" s="40">
        <v>1050000</v>
      </c>
      <c r="D420" s="41">
        <v>0.25</v>
      </c>
      <c r="E420" s="41">
        <v>0.1</v>
      </c>
      <c r="F420" s="41">
        <v>0.05</v>
      </c>
      <c r="G420" s="42">
        <v>35</v>
      </c>
      <c r="H420" s="55" t="s">
        <v>6</v>
      </c>
      <c r="I420" s="42" t="b">
        <v>1</v>
      </c>
      <c r="J420" s="42" t="b">
        <v>1</v>
      </c>
      <c r="K420" s="42" t="b">
        <v>1</v>
      </c>
      <c r="L420" s="39" t="s">
        <v>622</v>
      </c>
      <c r="M420" s="39" t="s">
        <v>34</v>
      </c>
      <c r="N420" s="42">
        <v>9</v>
      </c>
      <c r="O420" s="42">
        <v>4</v>
      </c>
      <c r="P420" s="42">
        <v>2</v>
      </c>
      <c r="Q420" s="40">
        <v>30000</v>
      </c>
      <c r="R420" s="40">
        <v>270000</v>
      </c>
      <c r="S420" s="40">
        <v>120000</v>
      </c>
      <c r="T420" s="40">
        <v>60000</v>
      </c>
      <c r="U420" s="39" t="s">
        <v>39</v>
      </c>
    </row>
    <row r="421" spans="1:21">
      <c r="A421" s="27" t="s">
        <v>119</v>
      </c>
      <c r="B421" s="50" t="s">
        <v>627</v>
      </c>
      <c r="C421" s="28">
        <v>9600000</v>
      </c>
      <c r="D421" s="29">
        <v>0.24</v>
      </c>
      <c r="E421" s="30">
        <v>0.09</v>
      </c>
      <c r="F421" s="31">
        <v>0.09</v>
      </c>
      <c r="G421" s="32">
        <v>96</v>
      </c>
      <c r="H421" s="54"/>
      <c r="I421" s="33" t="b">
        <v>1</v>
      </c>
      <c r="J421" s="34" t="b">
        <v>1</v>
      </c>
      <c r="K421" s="35" t="b">
        <v>1</v>
      </c>
      <c r="L421" s="27" t="s">
        <v>622</v>
      </c>
      <c r="M421" s="27" t="s">
        <v>34</v>
      </c>
      <c r="N421" s="33">
        <v>23</v>
      </c>
      <c r="O421" s="34">
        <v>9</v>
      </c>
      <c r="P421" s="35">
        <v>9</v>
      </c>
      <c r="Q421" s="28">
        <v>100000</v>
      </c>
      <c r="R421" s="36">
        <v>2300000</v>
      </c>
      <c r="S421" s="37">
        <v>900000</v>
      </c>
      <c r="T421" s="38">
        <v>900000</v>
      </c>
      <c r="U421" s="27" t="s">
        <v>38</v>
      </c>
    </row>
    <row r="422" spans="1:21">
      <c r="A422" s="27" t="s">
        <v>76</v>
      </c>
      <c r="B422" s="50" t="s">
        <v>628</v>
      </c>
      <c r="C422" s="28">
        <v>1000000</v>
      </c>
      <c r="D422" s="29">
        <v>0.25</v>
      </c>
      <c r="E422" s="30">
        <v>0.1</v>
      </c>
      <c r="F422" s="31">
        <v>0.05</v>
      </c>
      <c r="G422" s="32">
        <v>10</v>
      </c>
      <c r="H422" s="54"/>
      <c r="I422" s="33" t="b">
        <v>1</v>
      </c>
      <c r="J422" s="34" t="b">
        <v>1</v>
      </c>
      <c r="K422" s="35" t="b">
        <v>1</v>
      </c>
      <c r="L422" s="27" t="s">
        <v>562</v>
      </c>
      <c r="M422" s="27" t="s">
        <v>33</v>
      </c>
      <c r="N422" s="33">
        <v>2</v>
      </c>
      <c r="O422" s="34">
        <v>1</v>
      </c>
      <c r="P422" s="35">
        <v>0</v>
      </c>
      <c r="Q422" s="28">
        <v>100000</v>
      </c>
      <c r="R422" s="36">
        <v>200000</v>
      </c>
      <c r="S422" s="37">
        <v>100000</v>
      </c>
      <c r="T422" s="38">
        <v>0</v>
      </c>
      <c r="U422" s="27" t="s">
        <v>37</v>
      </c>
    </row>
    <row r="423" spans="1:21">
      <c r="A423" s="27" t="s">
        <v>76</v>
      </c>
      <c r="B423" s="50" t="s">
        <v>629</v>
      </c>
      <c r="C423" s="28">
        <v>500000</v>
      </c>
      <c r="D423" s="29">
        <v>0.25</v>
      </c>
      <c r="E423" s="30">
        <v>0.1</v>
      </c>
      <c r="F423" s="31">
        <v>0.05</v>
      </c>
      <c r="G423" s="32">
        <v>74</v>
      </c>
      <c r="H423" s="54"/>
      <c r="I423" s="33" t="b">
        <v>1</v>
      </c>
      <c r="J423" s="34" t="b">
        <v>1</v>
      </c>
      <c r="K423" s="35" t="b">
        <v>1</v>
      </c>
      <c r="L423" s="27" t="s">
        <v>562</v>
      </c>
      <c r="M423" s="27" t="s">
        <v>33</v>
      </c>
      <c r="N423" s="33">
        <v>18</v>
      </c>
      <c r="O423" s="34">
        <v>7</v>
      </c>
      <c r="P423" s="35">
        <v>4</v>
      </c>
      <c r="Q423" s="28">
        <v>6756.7567567567567</v>
      </c>
      <c r="R423" s="36">
        <v>121621.6216216216</v>
      </c>
      <c r="S423" s="37">
        <v>47297.297297297293</v>
      </c>
      <c r="T423" s="38">
        <v>27027.02702702703</v>
      </c>
      <c r="U423" s="27" t="s">
        <v>39</v>
      </c>
    </row>
    <row r="424" spans="1:21">
      <c r="A424" s="27" t="s">
        <v>76</v>
      </c>
      <c r="B424" s="50" t="s">
        <v>630</v>
      </c>
      <c r="C424" s="28">
        <v>4500000</v>
      </c>
      <c r="D424" s="29">
        <v>0.25</v>
      </c>
      <c r="E424" s="30">
        <v>0.1</v>
      </c>
      <c r="F424" s="31">
        <v>0.05</v>
      </c>
      <c r="G424" s="32">
        <v>182</v>
      </c>
      <c r="H424" s="54"/>
      <c r="I424" s="33" t="b">
        <v>1</v>
      </c>
      <c r="J424" s="34" t="b">
        <v>1</v>
      </c>
      <c r="K424" s="35" t="b">
        <v>1</v>
      </c>
      <c r="L424" s="27" t="s">
        <v>562</v>
      </c>
      <c r="M424" s="27" t="s">
        <v>33</v>
      </c>
      <c r="N424" s="33">
        <v>46</v>
      </c>
      <c r="O424" s="34">
        <v>18</v>
      </c>
      <c r="P424" s="35">
        <v>9</v>
      </c>
      <c r="Q424" s="28">
        <v>24725.274725274721</v>
      </c>
      <c r="R424" s="36">
        <v>1137362.6373626371</v>
      </c>
      <c r="S424" s="37">
        <v>445054.94505494513</v>
      </c>
      <c r="T424" s="38">
        <v>222527.47252747251</v>
      </c>
      <c r="U424" s="27" t="s">
        <v>38</v>
      </c>
    </row>
    <row r="425" spans="1:21">
      <c r="A425" s="27" t="s">
        <v>76</v>
      </c>
      <c r="B425" s="50" t="s">
        <v>631</v>
      </c>
      <c r="C425" s="28">
        <v>950500</v>
      </c>
      <c r="D425" s="29">
        <v>0.25</v>
      </c>
      <c r="E425" s="30">
        <v>0.1</v>
      </c>
      <c r="F425" s="31">
        <v>0.05</v>
      </c>
      <c r="G425" s="32">
        <v>28</v>
      </c>
      <c r="H425" s="54"/>
      <c r="I425" s="33" t="b">
        <v>1</v>
      </c>
      <c r="J425" s="34" t="b">
        <v>1</v>
      </c>
      <c r="K425" s="35" t="b">
        <v>1</v>
      </c>
      <c r="L425" s="27" t="s">
        <v>562</v>
      </c>
      <c r="M425" s="27" t="s">
        <v>33</v>
      </c>
      <c r="N425" s="33">
        <v>7</v>
      </c>
      <c r="O425" s="34">
        <v>3</v>
      </c>
      <c r="P425" s="35">
        <v>1</v>
      </c>
      <c r="Q425" s="28">
        <v>33946.428571428572</v>
      </c>
      <c r="R425" s="36">
        <v>237625</v>
      </c>
      <c r="S425" s="37">
        <v>101839.2857142857</v>
      </c>
      <c r="T425" s="38">
        <v>33946.428571428572</v>
      </c>
      <c r="U425" s="27" t="s">
        <v>37</v>
      </c>
    </row>
    <row r="426" spans="1:21">
      <c r="A426" s="27" t="s">
        <v>120</v>
      </c>
      <c r="B426" s="50" t="s">
        <v>632</v>
      </c>
      <c r="C426" s="28">
        <v>20000000</v>
      </c>
      <c r="D426" s="29">
        <v>0.25</v>
      </c>
      <c r="E426" s="30">
        <v>0.1</v>
      </c>
      <c r="F426" s="31">
        <v>0.05</v>
      </c>
      <c r="G426" s="32">
        <v>40</v>
      </c>
      <c r="H426" s="54"/>
      <c r="I426" s="33" t="b">
        <v>1</v>
      </c>
      <c r="J426" s="34" t="b">
        <v>1</v>
      </c>
      <c r="K426" s="35" t="b">
        <v>1</v>
      </c>
      <c r="L426" s="27" t="s">
        <v>633</v>
      </c>
      <c r="M426" s="27" t="s">
        <v>34</v>
      </c>
      <c r="N426" s="33">
        <v>10</v>
      </c>
      <c r="O426" s="34">
        <v>4</v>
      </c>
      <c r="P426" s="35">
        <v>2</v>
      </c>
      <c r="Q426" s="28">
        <v>500000</v>
      </c>
      <c r="R426" s="36">
        <v>5000000</v>
      </c>
      <c r="S426" s="37">
        <v>2000000</v>
      </c>
      <c r="T426" s="38">
        <v>1000000</v>
      </c>
      <c r="U426" s="27" t="s">
        <v>38</v>
      </c>
    </row>
    <row r="427" spans="1:21">
      <c r="A427" s="27" t="s">
        <v>120</v>
      </c>
      <c r="B427" s="50" t="s">
        <v>634</v>
      </c>
      <c r="C427" s="28">
        <v>5000000</v>
      </c>
      <c r="D427" s="29">
        <v>0.25</v>
      </c>
      <c r="E427" s="30">
        <v>0.1</v>
      </c>
      <c r="F427" s="31">
        <v>0.05</v>
      </c>
      <c r="G427" s="32">
        <v>20</v>
      </c>
      <c r="H427" s="54"/>
      <c r="I427" s="33" t="b">
        <v>1</v>
      </c>
      <c r="J427" s="34" t="b">
        <v>1</v>
      </c>
      <c r="K427" s="35" t="b">
        <v>1</v>
      </c>
      <c r="L427" s="27" t="s">
        <v>633</v>
      </c>
      <c r="M427" s="27" t="s">
        <v>34</v>
      </c>
      <c r="N427" s="33">
        <v>5</v>
      </c>
      <c r="O427" s="34">
        <v>2</v>
      </c>
      <c r="P427" s="35">
        <v>1</v>
      </c>
      <c r="Q427" s="28">
        <v>250000</v>
      </c>
      <c r="R427" s="36">
        <v>1250000</v>
      </c>
      <c r="S427" s="37">
        <v>500000</v>
      </c>
      <c r="T427" s="38">
        <v>250000</v>
      </c>
      <c r="U427" s="27" t="s">
        <v>38</v>
      </c>
    </row>
    <row r="428" spans="1:21">
      <c r="A428" s="27" t="s">
        <v>120</v>
      </c>
      <c r="B428" s="50" t="s">
        <v>635</v>
      </c>
      <c r="C428" s="28">
        <v>15000000</v>
      </c>
      <c r="D428" s="29">
        <v>0.25</v>
      </c>
      <c r="E428" s="30">
        <v>0.1</v>
      </c>
      <c r="F428" s="31">
        <v>0.05</v>
      </c>
      <c r="G428" s="32">
        <v>40</v>
      </c>
      <c r="H428" s="54"/>
      <c r="I428" s="33" t="b">
        <v>1</v>
      </c>
      <c r="J428" s="34" t="b">
        <v>1</v>
      </c>
      <c r="K428" s="35" t="b">
        <v>1</v>
      </c>
      <c r="L428" s="27" t="s">
        <v>633</v>
      </c>
      <c r="M428" s="27" t="s">
        <v>34</v>
      </c>
      <c r="N428" s="33">
        <v>10</v>
      </c>
      <c r="O428" s="34">
        <v>4</v>
      </c>
      <c r="P428" s="35">
        <v>2</v>
      </c>
      <c r="Q428" s="28">
        <v>375000</v>
      </c>
      <c r="R428" s="36">
        <v>3750000</v>
      </c>
      <c r="S428" s="37">
        <v>1500000</v>
      </c>
      <c r="T428" s="38">
        <v>750000</v>
      </c>
      <c r="U428" s="27" t="s">
        <v>38</v>
      </c>
    </row>
    <row r="429" spans="1:21">
      <c r="A429" s="27" t="s">
        <v>120</v>
      </c>
      <c r="B429" s="50" t="s">
        <v>636</v>
      </c>
      <c r="C429" s="28">
        <v>9000000</v>
      </c>
      <c r="D429" s="29">
        <v>0.25</v>
      </c>
      <c r="E429" s="30">
        <v>0.1</v>
      </c>
      <c r="F429" s="31">
        <v>0.05</v>
      </c>
      <c r="G429" s="32">
        <v>30</v>
      </c>
      <c r="H429" s="54"/>
      <c r="I429" s="33" t="b">
        <v>1</v>
      </c>
      <c r="J429" s="34" t="b">
        <v>1</v>
      </c>
      <c r="K429" s="35" t="b">
        <v>1</v>
      </c>
      <c r="L429" s="27" t="s">
        <v>633</v>
      </c>
      <c r="M429" s="27" t="s">
        <v>34</v>
      </c>
      <c r="N429" s="33">
        <v>8</v>
      </c>
      <c r="O429" s="34">
        <v>3</v>
      </c>
      <c r="P429" s="35">
        <v>2</v>
      </c>
      <c r="Q429" s="28">
        <v>300000</v>
      </c>
      <c r="R429" s="36">
        <v>2400000</v>
      </c>
      <c r="S429" s="37">
        <v>900000</v>
      </c>
      <c r="T429" s="38">
        <v>600000</v>
      </c>
      <c r="U429" s="27" t="s">
        <v>38</v>
      </c>
    </row>
    <row r="430" spans="1:21">
      <c r="A430" s="39" t="s">
        <v>120</v>
      </c>
      <c r="B430" s="60" t="s">
        <v>637</v>
      </c>
      <c r="C430" s="40">
        <v>3000000</v>
      </c>
      <c r="D430" s="41">
        <v>0.25</v>
      </c>
      <c r="E430" s="41">
        <v>0.1</v>
      </c>
      <c r="F430" s="41">
        <v>0.05</v>
      </c>
      <c r="G430" s="42">
        <v>20</v>
      </c>
      <c r="H430" s="55" t="s">
        <v>12</v>
      </c>
      <c r="I430" s="42" t="b">
        <v>1</v>
      </c>
      <c r="J430" s="42" t="b">
        <v>1</v>
      </c>
      <c r="K430" s="42" t="b">
        <v>1</v>
      </c>
      <c r="L430" s="39" t="s">
        <v>633</v>
      </c>
      <c r="M430" s="39" t="s">
        <v>34</v>
      </c>
      <c r="N430" s="42">
        <v>5</v>
      </c>
      <c r="O430" s="42">
        <v>2</v>
      </c>
      <c r="P430" s="42">
        <v>1</v>
      </c>
      <c r="Q430" s="40">
        <v>150000</v>
      </c>
      <c r="R430" s="40">
        <v>750000</v>
      </c>
      <c r="S430" s="40">
        <v>300000</v>
      </c>
      <c r="T430" s="40">
        <v>150000</v>
      </c>
      <c r="U430" s="39" t="s">
        <v>38</v>
      </c>
    </row>
    <row r="431" spans="1:21">
      <c r="A431" s="39" t="s">
        <v>120</v>
      </c>
      <c r="B431" s="60" t="s">
        <v>638</v>
      </c>
      <c r="C431" s="40">
        <v>3000000</v>
      </c>
      <c r="D431" s="41">
        <v>0.25</v>
      </c>
      <c r="E431" s="41">
        <v>0.1</v>
      </c>
      <c r="F431" s="41">
        <v>0.05</v>
      </c>
      <c r="G431" s="42">
        <v>20</v>
      </c>
      <c r="H431" s="55" t="s">
        <v>348</v>
      </c>
      <c r="I431" s="42" t="b">
        <v>1</v>
      </c>
      <c r="J431" s="42" t="b">
        <v>1</v>
      </c>
      <c r="K431" s="42" t="b">
        <v>1</v>
      </c>
      <c r="L431" s="39" t="s">
        <v>633</v>
      </c>
      <c r="M431" s="39" t="s">
        <v>34</v>
      </c>
      <c r="N431" s="42">
        <v>5</v>
      </c>
      <c r="O431" s="42">
        <v>2</v>
      </c>
      <c r="P431" s="42">
        <v>1</v>
      </c>
      <c r="Q431" s="40">
        <v>150000</v>
      </c>
      <c r="R431" s="40">
        <v>750000</v>
      </c>
      <c r="S431" s="40">
        <v>300000</v>
      </c>
      <c r="T431" s="40">
        <v>150000</v>
      </c>
      <c r="U431" s="39" t="s">
        <v>38</v>
      </c>
    </row>
    <row r="432" spans="1:21">
      <c r="A432" s="39" t="s">
        <v>120</v>
      </c>
      <c r="B432" s="60" t="s">
        <v>639</v>
      </c>
      <c r="C432" s="40">
        <v>3000000</v>
      </c>
      <c r="D432" s="41">
        <v>0.25</v>
      </c>
      <c r="E432" s="41">
        <v>0.1</v>
      </c>
      <c r="F432" s="41">
        <v>0.05</v>
      </c>
      <c r="G432" s="42">
        <v>20</v>
      </c>
      <c r="H432" s="55" t="s">
        <v>8</v>
      </c>
      <c r="I432" s="42" t="b">
        <v>1</v>
      </c>
      <c r="J432" s="42" t="b">
        <v>1</v>
      </c>
      <c r="K432" s="42" t="b">
        <v>1</v>
      </c>
      <c r="L432" s="39" t="s">
        <v>633</v>
      </c>
      <c r="M432" s="39" t="s">
        <v>34</v>
      </c>
      <c r="N432" s="42">
        <v>5</v>
      </c>
      <c r="O432" s="42">
        <v>2</v>
      </c>
      <c r="P432" s="42">
        <v>1</v>
      </c>
      <c r="Q432" s="40">
        <v>150000</v>
      </c>
      <c r="R432" s="40">
        <v>750000</v>
      </c>
      <c r="S432" s="40">
        <v>300000</v>
      </c>
      <c r="T432" s="40">
        <v>150000</v>
      </c>
      <c r="U432" s="39" t="s">
        <v>38</v>
      </c>
    </row>
    <row r="433" spans="1:21">
      <c r="A433" s="27" t="s">
        <v>120</v>
      </c>
      <c r="B433" s="50" t="s">
        <v>640</v>
      </c>
      <c r="C433" s="28">
        <v>3000000</v>
      </c>
      <c r="D433" s="29">
        <v>0.25</v>
      </c>
      <c r="E433" s="30">
        <v>0.1</v>
      </c>
      <c r="F433" s="31">
        <v>0.05</v>
      </c>
      <c r="G433" s="32">
        <v>20</v>
      </c>
      <c r="H433" s="55" t="s">
        <v>19</v>
      </c>
      <c r="I433" s="33" t="b">
        <v>1</v>
      </c>
      <c r="J433" s="34" t="b">
        <v>1</v>
      </c>
      <c r="K433" s="35" t="b">
        <v>1</v>
      </c>
      <c r="L433" s="27" t="s">
        <v>633</v>
      </c>
      <c r="M433" s="27" t="s">
        <v>34</v>
      </c>
      <c r="N433" s="33">
        <v>5</v>
      </c>
      <c r="O433" s="34">
        <v>2</v>
      </c>
      <c r="P433" s="35">
        <v>1</v>
      </c>
      <c r="Q433" s="28">
        <v>150000</v>
      </c>
      <c r="R433" s="36">
        <v>750000</v>
      </c>
      <c r="S433" s="37">
        <v>300000</v>
      </c>
      <c r="T433" s="38">
        <v>150000</v>
      </c>
      <c r="U433" s="27" t="s">
        <v>38</v>
      </c>
    </row>
    <row r="434" spans="1:21">
      <c r="A434" s="27" t="s">
        <v>120</v>
      </c>
      <c r="B434" s="50" t="s">
        <v>641</v>
      </c>
      <c r="C434" s="28">
        <v>22500000</v>
      </c>
      <c r="D434" s="29">
        <v>0.25</v>
      </c>
      <c r="E434" s="30">
        <v>0.1</v>
      </c>
      <c r="F434" s="31">
        <v>0.05</v>
      </c>
      <c r="G434" s="32">
        <v>30</v>
      </c>
      <c r="H434" s="54"/>
      <c r="I434" s="33" t="b">
        <v>1</v>
      </c>
      <c r="J434" s="34" t="b">
        <v>1</v>
      </c>
      <c r="K434" s="35" t="b">
        <v>1</v>
      </c>
      <c r="L434" s="27" t="s">
        <v>633</v>
      </c>
      <c r="M434" s="27" t="s">
        <v>34</v>
      </c>
      <c r="N434" s="33">
        <v>8</v>
      </c>
      <c r="O434" s="34">
        <v>3</v>
      </c>
      <c r="P434" s="35">
        <v>2</v>
      </c>
      <c r="Q434" s="28">
        <v>750000</v>
      </c>
      <c r="R434" s="36">
        <v>6000000</v>
      </c>
      <c r="S434" s="37">
        <v>2250000</v>
      </c>
      <c r="T434" s="38">
        <v>1500000</v>
      </c>
      <c r="U434" s="27" t="s">
        <v>38</v>
      </c>
    </row>
    <row r="435" spans="1:21">
      <c r="A435" s="27" t="s">
        <v>120</v>
      </c>
      <c r="B435" s="50" t="s">
        <v>642</v>
      </c>
      <c r="C435" s="28">
        <v>3000000</v>
      </c>
      <c r="D435" s="29">
        <v>0.25</v>
      </c>
      <c r="E435" s="30">
        <v>0.1</v>
      </c>
      <c r="F435" s="31">
        <v>0.05</v>
      </c>
      <c r="G435" s="32">
        <v>20</v>
      </c>
      <c r="H435" s="54"/>
      <c r="I435" s="33" t="b">
        <v>1</v>
      </c>
      <c r="J435" s="34" t="b">
        <v>1</v>
      </c>
      <c r="K435" s="35" t="b">
        <v>1</v>
      </c>
      <c r="L435" s="27" t="s">
        <v>633</v>
      </c>
      <c r="M435" s="27" t="s">
        <v>34</v>
      </c>
      <c r="N435" s="33">
        <v>5</v>
      </c>
      <c r="O435" s="34">
        <v>2</v>
      </c>
      <c r="P435" s="35">
        <v>1</v>
      </c>
      <c r="Q435" s="28">
        <v>150000</v>
      </c>
      <c r="R435" s="36">
        <v>750000</v>
      </c>
      <c r="S435" s="37">
        <v>300000</v>
      </c>
      <c r="T435" s="38">
        <v>150000</v>
      </c>
      <c r="U435" s="27" t="s">
        <v>38</v>
      </c>
    </row>
    <row r="436" spans="1:21">
      <c r="A436" s="27" t="s">
        <v>120</v>
      </c>
      <c r="B436" s="50" t="s">
        <v>643</v>
      </c>
      <c r="C436" s="28">
        <v>33000000</v>
      </c>
      <c r="D436" s="29">
        <v>0.25</v>
      </c>
      <c r="E436" s="30">
        <v>0.1</v>
      </c>
      <c r="F436" s="31">
        <v>0.05</v>
      </c>
      <c r="G436" s="32">
        <v>22</v>
      </c>
      <c r="H436" s="54"/>
      <c r="I436" s="33" t="b">
        <v>1</v>
      </c>
      <c r="J436" s="34" t="b">
        <v>1</v>
      </c>
      <c r="K436" s="35" t="b">
        <v>1</v>
      </c>
      <c r="L436" s="27" t="s">
        <v>633</v>
      </c>
      <c r="M436" s="27" t="s">
        <v>34</v>
      </c>
      <c r="N436" s="33">
        <v>6</v>
      </c>
      <c r="O436" s="34">
        <v>2</v>
      </c>
      <c r="P436" s="35">
        <v>1</v>
      </c>
      <c r="Q436" s="28">
        <v>1500000</v>
      </c>
      <c r="R436" s="36">
        <v>9000000</v>
      </c>
      <c r="S436" s="37">
        <v>3000000</v>
      </c>
      <c r="T436" s="38">
        <v>1500000</v>
      </c>
      <c r="U436" s="27" t="s">
        <v>38</v>
      </c>
    </row>
    <row r="437" spans="1:21">
      <c r="A437" s="27" t="s">
        <v>120</v>
      </c>
      <c r="B437" s="50" t="s">
        <v>644</v>
      </c>
      <c r="C437" s="28">
        <v>9000000</v>
      </c>
      <c r="D437" s="29">
        <v>0.25</v>
      </c>
      <c r="E437" s="30">
        <v>0.1</v>
      </c>
      <c r="F437" s="31">
        <v>0.05</v>
      </c>
      <c r="G437" s="32">
        <v>10</v>
      </c>
      <c r="H437" s="54"/>
      <c r="I437" s="33" t="b">
        <v>1</v>
      </c>
      <c r="J437" s="34" t="b">
        <v>1</v>
      </c>
      <c r="K437" s="35" t="b">
        <v>1</v>
      </c>
      <c r="L437" s="27" t="s">
        <v>633</v>
      </c>
      <c r="M437" s="27" t="s">
        <v>34</v>
      </c>
      <c r="N437" s="33">
        <v>2</v>
      </c>
      <c r="O437" s="34">
        <v>1</v>
      </c>
      <c r="P437" s="35">
        <v>0</v>
      </c>
      <c r="Q437" s="28">
        <v>900000</v>
      </c>
      <c r="R437" s="36">
        <v>1800000</v>
      </c>
      <c r="S437" s="37">
        <v>900000</v>
      </c>
      <c r="T437" s="38">
        <v>0</v>
      </c>
      <c r="U437" s="27" t="s">
        <v>38</v>
      </c>
    </row>
    <row r="438" spans="1:21">
      <c r="A438" s="27" t="s">
        <v>120</v>
      </c>
      <c r="B438" s="50" t="s">
        <v>645</v>
      </c>
      <c r="C438" s="28">
        <v>3750000</v>
      </c>
      <c r="D438" s="29">
        <v>0.25</v>
      </c>
      <c r="E438" s="30">
        <v>0.1</v>
      </c>
      <c r="F438" s="31">
        <v>0.05</v>
      </c>
      <c r="G438" s="32">
        <v>10</v>
      </c>
      <c r="H438" s="54"/>
      <c r="I438" s="33" t="b">
        <v>1</v>
      </c>
      <c r="J438" s="34" t="b">
        <v>1</v>
      </c>
      <c r="K438" s="35" t="b">
        <v>1</v>
      </c>
      <c r="L438" s="27" t="s">
        <v>633</v>
      </c>
      <c r="M438" s="27" t="s">
        <v>34</v>
      </c>
      <c r="N438" s="33">
        <v>2</v>
      </c>
      <c r="O438" s="34">
        <v>1</v>
      </c>
      <c r="P438" s="35">
        <v>0</v>
      </c>
      <c r="Q438" s="28">
        <v>375000</v>
      </c>
      <c r="R438" s="36">
        <v>750000</v>
      </c>
      <c r="S438" s="37">
        <v>375000</v>
      </c>
      <c r="T438" s="38">
        <v>0</v>
      </c>
      <c r="U438" s="27" t="s">
        <v>38</v>
      </c>
    </row>
    <row r="439" spans="1:21">
      <c r="A439" s="27" t="s">
        <v>120</v>
      </c>
      <c r="B439" s="50" t="s">
        <v>646</v>
      </c>
      <c r="C439" s="28">
        <v>700000</v>
      </c>
      <c r="D439" s="29">
        <v>0.25</v>
      </c>
      <c r="E439" s="30">
        <v>0.1</v>
      </c>
      <c r="F439" s="31">
        <v>0.05</v>
      </c>
      <c r="G439" s="32">
        <v>14</v>
      </c>
      <c r="H439" s="54"/>
      <c r="I439" s="33" t="b">
        <v>1</v>
      </c>
      <c r="J439" s="34" t="b">
        <v>1</v>
      </c>
      <c r="K439" s="35" t="b">
        <v>1</v>
      </c>
      <c r="L439" s="27" t="s">
        <v>633</v>
      </c>
      <c r="M439" s="27" t="s">
        <v>34</v>
      </c>
      <c r="N439" s="33">
        <v>4</v>
      </c>
      <c r="O439" s="34">
        <v>1</v>
      </c>
      <c r="P439" s="35">
        <v>1</v>
      </c>
      <c r="Q439" s="28">
        <v>50000</v>
      </c>
      <c r="R439" s="36">
        <v>200000</v>
      </c>
      <c r="S439" s="37">
        <v>50000</v>
      </c>
      <c r="T439" s="38">
        <v>50000</v>
      </c>
      <c r="U439" s="27" t="s">
        <v>38</v>
      </c>
    </row>
    <row r="440" spans="1:21">
      <c r="A440" s="27" t="s">
        <v>120</v>
      </c>
      <c r="B440" s="50" t="s">
        <v>647</v>
      </c>
      <c r="C440" s="28">
        <v>6600000</v>
      </c>
      <c r="D440" s="29">
        <v>0.25</v>
      </c>
      <c r="E440" s="30">
        <v>0.1</v>
      </c>
      <c r="F440" s="31">
        <v>0.05</v>
      </c>
      <c r="G440" s="32">
        <v>22</v>
      </c>
      <c r="H440" s="55" t="s">
        <v>19</v>
      </c>
      <c r="I440" s="33" t="b">
        <v>1</v>
      </c>
      <c r="J440" s="34" t="b">
        <v>1</v>
      </c>
      <c r="K440" s="35" t="b">
        <v>1</v>
      </c>
      <c r="L440" s="27" t="s">
        <v>633</v>
      </c>
      <c r="M440" s="27" t="s">
        <v>34</v>
      </c>
      <c r="N440" s="33">
        <v>6</v>
      </c>
      <c r="O440" s="34">
        <v>2</v>
      </c>
      <c r="P440" s="35">
        <v>1</v>
      </c>
      <c r="Q440" s="28">
        <v>300000</v>
      </c>
      <c r="R440" s="36">
        <v>1800000</v>
      </c>
      <c r="S440" s="37">
        <v>600000</v>
      </c>
      <c r="T440" s="38">
        <v>300000</v>
      </c>
      <c r="U440" s="27" t="s">
        <v>38</v>
      </c>
    </row>
    <row r="441" spans="1:21">
      <c r="A441" s="27" t="s">
        <v>120</v>
      </c>
      <c r="B441" s="50" t="s">
        <v>648</v>
      </c>
      <c r="C441" s="28">
        <v>3000000</v>
      </c>
      <c r="D441" s="29">
        <v>0.25</v>
      </c>
      <c r="E441" s="30">
        <v>0.1</v>
      </c>
      <c r="F441" s="31">
        <v>0.05</v>
      </c>
      <c r="G441" s="32">
        <v>20</v>
      </c>
      <c r="H441" s="54"/>
      <c r="I441" s="33" t="b">
        <v>1</v>
      </c>
      <c r="J441" s="34" t="b">
        <v>1</v>
      </c>
      <c r="K441" s="35" t="b">
        <v>1</v>
      </c>
      <c r="L441" s="27" t="s">
        <v>633</v>
      </c>
      <c r="M441" s="27" t="s">
        <v>34</v>
      </c>
      <c r="N441" s="33">
        <v>5</v>
      </c>
      <c r="O441" s="34">
        <v>2</v>
      </c>
      <c r="P441" s="35">
        <v>1</v>
      </c>
      <c r="Q441" s="28">
        <v>150000</v>
      </c>
      <c r="R441" s="36">
        <v>750000</v>
      </c>
      <c r="S441" s="37">
        <v>300000</v>
      </c>
      <c r="T441" s="38">
        <v>150000</v>
      </c>
      <c r="U441" s="27" t="s">
        <v>38</v>
      </c>
    </row>
    <row r="442" spans="1:21">
      <c r="A442" s="27" t="s">
        <v>120</v>
      </c>
      <c r="B442" s="50" t="s">
        <v>649</v>
      </c>
      <c r="C442" s="28">
        <v>2000000</v>
      </c>
      <c r="D442" s="29">
        <v>0.25</v>
      </c>
      <c r="E442" s="30">
        <v>0.1</v>
      </c>
      <c r="F442" s="31">
        <v>0.05</v>
      </c>
      <c r="G442" s="32">
        <v>20</v>
      </c>
      <c r="H442" s="55" t="s">
        <v>19</v>
      </c>
      <c r="I442" s="33" t="b">
        <v>1</v>
      </c>
      <c r="J442" s="34" t="b">
        <v>1</v>
      </c>
      <c r="K442" s="35" t="b">
        <v>1</v>
      </c>
      <c r="L442" s="27" t="s">
        <v>633</v>
      </c>
      <c r="M442" s="27" t="s">
        <v>34</v>
      </c>
      <c r="N442" s="33">
        <v>5</v>
      </c>
      <c r="O442" s="34">
        <v>2</v>
      </c>
      <c r="P442" s="35">
        <v>1</v>
      </c>
      <c r="Q442" s="28">
        <v>100000</v>
      </c>
      <c r="R442" s="36">
        <v>500000</v>
      </c>
      <c r="S442" s="37">
        <v>200000</v>
      </c>
      <c r="T442" s="38">
        <v>100000</v>
      </c>
      <c r="U442" s="27" t="s">
        <v>38</v>
      </c>
    </row>
    <row r="443" spans="1:21">
      <c r="A443" s="27" t="s">
        <v>120</v>
      </c>
      <c r="B443" s="50" t="s">
        <v>650</v>
      </c>
      <c r="C443" s="28">
        <v>6000000</v>
      </c>
      <c r="D443" s="29">
        <v>0.25</v>
      </c>
      <c r="E443" s="30">
        <v>0.1</v>
      </c>
      <c r="F443" s="31">
        <v>0.05</v>
      </c>
      <c r="G443" s="32">
        <v>60</v>
      </c>
      <c r="H443" s="54"/>
      <c r="I443" s="33" t="b">
        <v>1</v>
      </c>
      <c r="J443" s="34" t="b">
        <v>1</v>
      </c>
      <c r="K443" s="35" t="b">
        <v>1</v>
      </c>
      <c r="L443" s="27" t="s">
        <v>633</v>
      </c>
      <c r="M443" s="27" t="s">
        <v>34</v>
      </c>
      <c r="N443" s="33">
        <v>15</v>
      </c>
      <c r="O443" s="34">
        <v>6</v>
      </c>
      <c r="P443" s="35">
        <v>3</v>
      </c>
      <c r="Q443" s="28">
        <v>100000</v>
      </c>
      <c r="R443" s="36">
        <v>1500000</v>
      </c>
      <c r="S443" s="37">
        <v>600000</v>
      </c>
      <c r="T443" s="38">
        <v>300000</v>
      </c>
      <c r="U443" s="27" t="s">
        <v>38</v>
      </c>
    </row>
    <row r="444" spans="1:21">
      <c r="A444" s="27" t="s">
        <v>120</v>
      </c>
      <c r="B444" s="50" t="s">
        <v>651</v>
      </c>
      <c r="C444" s="28">
        <v>2000000</v>
      </c>
      <c r="D444" s="29">
        <v>0.25</v>
      </c>
      <c r="E444" s="30">
        <v>0.1</v>
      </c>
      <c r="F444" s="31">
        <v>0.05</v>
      </c>
      <c r="G444" s="32">
        <v>20</v>
      </c>
      <c r="H444" s="54"/>
      <c r="I444" s="33" t="b">
        <v>1</v>
      </c>
      <c r="J444" s="34" t="b">
        <v>1</v>
      </c>
      <c r="K444" s="35" t="b">
        <v>1</v>
      </c>
      <c r="L444" s="27" t="s">
        <v>633</v>
      </c>
      <c r="M444" s="27" t="s">
        <v>34</v>
      </c>
      <c r="N444" s="33">
        <v>5</v>
      </c>
      <c r="O444" s="34">
        <v>2</v>
      </c>
      <c r="P444" s="35">
        <v>1</v>
      </c>
      <c r="Q444" s="28">
        <v>100000</v>
      </c>
      <c r="R444" s="36">
        <v>500000</v>
      </c>
      <c r="S444" s="37">
        <v>200000</v>
      </c>
      <c r="T444" s="38">
        <v>100000</v>
      </c>
      <c r="U444" s="27" t="s">
        <v>39</v>
      </c>
    </row>
    <row r="445" spans="1:21">
      <c r="A445" s="39" t="s">
        <v>120</v>
      </c>
      <c r="B445" s="60" t="s">
        <v>652</v>
      </c>
      <c r="C445" s="40">
        <v>1600000</v>
      </c>
      <c r="D445" s="41">
        <v>0.25</v>
      </c>
      <c r="E445" s="41">
        <v>0.1</v>
      </c>
      <c r="F445" s="41">
        <v>0.05</v>
      </c>
      <c r="G445" s="42">
        <v>20</v>
      </c>
      <c r="H445" s="55" t="s">
        <v>348</v>
      </c>
      <c r="I445" s="42" t="b">
        <v>1</v>
      </c>
      <c r="J445" s="42" t="b">
        <v>1</v>
      </c>
      <c r="K445" s="42" t="b">
        <v>1</v>
      </c>
      <c r="L445" s="39" t="s">
        <v>633</v>
      </c>
      <c r="M445" s="39" t="s">
        <v>34</v>
      </c>
      <c r="N445" s="42">
        <v>5</v>
      </c>
      <c r="O445" s="42">
        <v>2</v>
      </c>
      <c r="P445" s="42">
        <v>1</v>
      </c>
      <c r="Q445" s="40">
        <v>80000</v>
      </c>
      <c r="R445" s="40">
        <v>400000</v>
      </c>
      <c r="S445" s="40">
        <v>160000</v>
      </c>
      <c r="T445" s="40">
        <v>80000</v>
      </c>
      <c r="U445" s="39" t="s">
        <v>39</v>
      </c>
    </row>
    <row r="446" spans="1:21">
      <c r="A446" s="27" t="s">
        <v>120</v>
      </c>
      <c r="B446" s="50" t="s">
        <v>653</v>
      </c>
      <c r="C446" s="28">
        <v>6000000</v>
      </c>
      <c r="D446" s="29">
        <v>0.25</v>
      </c>
      <c r="E446" s="30">
        <v>0.1</v>
      </c>
      <c r="F446" s="31">
        <v>0.05</v>
      </c>
      <c r="G446" s="32">
        <v>20</v>
      </c>
      <c r="H446" s="54"/>
      <c r="I446" s="33" t="b">
        <v>1</v>
      </c>
      <c r="J446" s="34" t="b">
        <v>1</v>
      </c>
      <c r="K446" s="35" t="b">
        <v>1</v>
      </c>
      <c r="L446" s="27" t="s">
        <v>633</v>
      </c>
      <c r="M446" s="27" t="s">
        <v>34</v>
      </c>
      <c r="N446" s="33">
        <v>5</v>
      </c>
      <c r="O446" s="34">
        <v>2</v>
      </c>
      <c r="P446" s="35">
        <v>1</v>
      </c>
      <c r="Q446" s="28">
        <v>300000</v>
      </c>
      <c r="R446" s="36">
        <v>1500000</v>
      </c>
      <c r="S446" s="37">
        <v>600000</v>
      </c>
      <c r="T446" s="38">
        <v>300000</v>
      </c>
      <c r="U446" s="27" t="s">
        <v>40</v>
      </c>
    </row>
    <row r="447" spans="1:21">
      <c r="A447" s="27" t="s">
        <v>120</v>
      </c>
      <c r="B447" s="50" t="s">
        <v>654</v>
      </c>
      <c r="C447" s="28">
        <v>4000000</v>
      </c>
      <c r="D447" s="29">
        <v>0.25</v>
      </c>
      <c r="E447" s="30">
        <v>0.1</v>
      </c>
      <c r="F447" s="31">
        <v>0.05</v>
      </c>
      <c r="G447" s="32">
        <v>20</v>
      </c>
      <c r="H447" s="54"/>
      <c r="I447" s="33" t="b">
        <v>1</v>
      </c>
      <c r="J447" s="34" t="b">
        <v>1</v>
      </c>
      <c r="K447" s="35" t="b">
        <v>1</v>
      </c>
      <c r="L447" s="27" t="s">
        <v>633</v>
      </c>
      <c r="M447" s="27" t="s">
        <v>34</v>
      </c>
      <c r="N447" s="33">
        <v>5</v>
      </c>
      <c r="O447" s="34">
        <v>2</v>
      </c>
      <c r="P447" s="35">
        <v>1</v>
      </c>
      <c r="Q447" s="28">
        <v>200000</v>
      </c>
      <c r="R447" s="36">
        <v>1000000</v>
      </c>
      <c r="S447" s="37">
        <v>400000</v>
      </c>
      <c r="T447" s="38">
        <v>200000</v>
      </c>
      <c r="U447" s="27" t="s">
        <v>40</v>
      </c>
    </row>
    <row r="448" spans="1:21">
      <c r="A448" s="27" t="s">
        <v>120</v>
      </c>
      <c r="B448" s="50" t="s">
        <v>655</v>
      </c>
      <c r="C448" s="28">
        <v>3000000</v>
      </c>
      <c r="D448" s="29">
        <v>0.25</v>
      </c>
      <c r="E448" s="30">
        <v>0.1</v>
      </c>
      <c r="F448" s="31">
        <v>0.05</v>
      </c>
      <c r="G448" s="32">
        <v>30</v>
      </c>
      <c r="H448" s="54"/>
      <c r="I448" s="33" t="b">
        <v>1</v>
      </c>
      <c r="J448" s="34" t="b">
        <v>1</v>
      </c>
      <c r="K448" s="35" t="b">
        <v>1</v>
      </c>
      <c r="L448" s="27" t="s">
        <v>633</v>
      </c>
      <c r="M448" s="27" t="s">
        <v>34</v>
      </c>
      <c r="N448" s="33">
        <v>8</v>
      </c>
      <c r="O448" s="34">
        <v>3</v>
      </c>
      <c r="P448" s="35">
        <v>2</v>
      </c>
      <c r="Q448" s="28">
        <v>100000</v>
      </c>
      <c r="R448" s="36">
        <v>800000</v>
      </c>
      <c r="S448" s="37">
        <v>300000</v>
      </c>
      <c r="T448" s="38">
        <v>200000</v>
      </c>
      <c r="U448" s="27" t="s">
        <v>38</v>
      </c>
    </row>
    <row r="449" spans="1:21">
      <c r="A449" s="27" t="s">
        <v>120</v>
      </c>
      <c r="B449" s="50" t="s">
        <v>656</v>
      </c>
      <c r="C449" s="28">
        <v>40000000</v>
      </c>
      <c r="D449" s="29">
        <v>0.25</v>
      </c>
      <c r="E449" s="30">
        <v>0.1</v>
      </c>
      <c r="F449" s="31">
        <v>0.05</v>
      </c>
      <c r="G449" s="32">
        <v>80</v>
      </c>
      <c r="H449" s="54"/>
      <c r="I449" s="33" t="b">
        <v>1</v>
      </c>
      <c r="J449" s="34" t="b">
        <v>1</v>
      </c>
      <c r="K449" s="35" t="b">
        <v>1</v>
      </c>
      <c r="L449" s="27" t="s">
        <v>633</v>
      </c>
      <c r="M449" s="27" t="s">
        <v>34</v>
      </c>
      <c r="N449" s="33">
        <v>20</v>
      </c>
      <c r="O449" s="34">
        <v>8</v>
      </c>
      <c r="P449" s="35">
        <v>4</v>
      </c>
      <c r="Q449" s="28">
        <v>500000</v>
      </c>
      <c r="R449" s="36">
        <v>10000000</v>
      </c>
      <c r="S449" s="37">
        <v>4000000</v>
      </c>
      <c r="T449" s="38">
        <v>2000000</v>
      </c>
      <c r="U449" s="27" t="s">
        <v>40</v>
      </c>
    </row>
    <row r="450" spans="1:21">
      <c r="A450" s="27" t="s">
        <v>120</v>
      </c>
      <c r="B450" s="50" t="s">
        <v>657</v>
      </c>
      <c r="C450" s="28">
        <v>15000000</v>
      </c>
      <c r="D450" s="29">
        <v>0.25</v>
      </c>
      <c r="E450" s="30">
        <v>0.1</v>
      </c>
      <c r="F450" s="31">
        <v>0.05</v>
      </c>
      <c r="G450" s="32">
        <v>20</v>
      </c>
      <c r="H450" s="54"/>
      <c r="I450" s="33" t="b">
        <v>1</v>
      </c>
      <c r="J450" s="34" t="b">
        <v>1</v>
      </c>
      <c r="K450" s="35" t="b">
        <v>1</v>
      </c>
      <c r="L450" s="27" t="s">
        <v>633</v>
      </c>
      <c r="M450" s="27" t="s">
        <v>34</v>
      </c>
      <c r="N450" s="33">
        <v>5</v>
      </c>
      <c r="O450" s="34">
        <v>2</v>
      </c>
      <c r="P450" s="35">
        <v>1</v>
      </c>
      <c r="Q450" s="28">
        <v>750000</v>
      </c>
      <c r="R450" s="36">
        <v>3750000</v>
      </c>
      <c r="S450" s="37">
        <v>1500000</v>
      </c>
      <c r="T450" s="38">
        <v>750000</v>
      </c>
      <c r="U450" s="27" t="s">
        <v>40</v>
      </c>
    </row>
    <row r="451" spans="1:21">
      <c r="A451" s="27" t="s">
        <v>120</v>
      </c>
      <c r="B451" s="50" t="s">
        <v>658</v>
      </c>
      <c r="C451" s="28">
        <v>3000000</v>
      </c>
      <c r="D451" s="29">
        <v>0.25</v>
      </c>
      <c r="E451" s="30">
        <v>0.1</v>
      </c>
      <c r="F451" s="31">
        <v>0.05</v>
      </c>
      <c r="G451" s="32">
        <v>10</v>
      </c>
      <c r="H451" s="54"/>
      <c r="I451" s="33" t="b">
        <v>1</v>
      </c>
      <c r="J451" s="34" t="b">
        <v>1</v>
      </c>
      <c r="K451" s="35" t="b">
        <v>1</v>
      </c>
      <c r="L451" s="27" t="s">
        <v>633</v>
      </c>
      <c r="M451" s="27" t="s">
        <v>34</v>
      </c>
      <c r="N451" s="33">
        <v>2</v>
      </c>
      <c r="O451" s="34">
        <v>1</v>
      </c>
      <c r="P451" s="35">
        <v>0</v>
      </c>
      <c r="Q451" s="28">
        <v>300000</v>
      </c>
      <c r="R451" s="36">
        <v>600000</v>
      </c>
      <c r="S451" s="37">
        <v>300000</v>
      </c>
      <c r="T451" s="38">
        <v>0</v>
      </c>
      <c r="U451" s="27" t="s">
        <v>40</v>
      </c>
    </row>
    <row r="452" spans="1:21">
      <c r="A452" s="27" t="s">
        <v>120</v>
      </c>
      <c r="B452" s="50" t="s">
        <v>659</v>
      </c>
      <c r="C452" s="28">
        <v>12000000</v>
      </c>
      <c r="D452" s="29">
        <v>0.25</v>
      </c>
      <c r="E452" s="30">
        <v>0.1</v>
      </c>
      <c r="F452" s="31">
        <v>0.05</v>
      </c>
      <c r="G452" s="32">
        <v>40</v>
      </c>
      <c r="H452" s="54"/>
      <c r="I452" s="33" t="b">
        <v>1</v>
      </c>
      <c r="J452" s="34" t="b">
        <v>1</v>
      </c>
      <c r="K452" s="35" t="b">
        <v>1</v>
      </c>
      <c r="L452" s="27" t="s">
        <v>633</v>
      </c>
      <c r="M452" s="27" t="s">
        <v>34</v>
      </c>
      <c r="N452" s="33">
        <v>10</v>
      </c>
      <c r="O452" s="34">
        <v>4</v>
      </c>
      <c r="P452" s="35">
        <v>2</v>
      </c>
      <c r="Q452" s="28">
        <v>300000</v>
      </c>
      <c r="R452" s="36">
        <v>3000000</v>
      </c>
      <c r="S452" s="37">
        <v>1200000</v>
      </c>
      <c r="T452" s="38">
        <v>600000</v>
      </c>
      <c r="U452" s="27" t="s">
        <v>40</v>
      </c>
    </row>
    <row r="453" spans="1:21">
      <c r="A453" s="27" t="s">
        <v>120</v>
      </c>
      <c r="B453" s="50" t="s">
        <v>660</v>
      </c>
      <c r="C453" s="28">
        <v>6300000</v>
      </c>
      <c r="D453" s="29">
        <v>0.25</v>
      </c>
      <c r="E453" s="30">
        <v>0.1</v>
      </c>
      <c r="F453" s="31">
        <v>0.05</v>
      </c>
      <c r="G453" s="32">
        <v>150</v>
      </c>
      <c r="H453" s="54"/>
      <c r="I453" s="33" t="b">
        <v>1</v>
      </c>
      <c r="J453" s="34" t="b">
        <v>1</v>
      </c>
      <c r="K453" s="35" t="b">
        <v>1</v>
      </c>
      <c r="L453" s="27" t="s">
        <v>633</v>
      </c>
      <c r="M453" s="27" t="s">
        <v>34</v>
      </c>
      <c r="N453" s="33">
        <v>38</v>
      </c>
      <c r="O453" s="34">
        <v>15</v>
      </c>
      <c r="P453" s="35">
        <v>8</v>
      </c>
      <c r="Q453" s="28">
        <v>42000</v>
      </c>
      <c r="R453" s="36">
        <v>1596000</v>
      </c>
      <c r="S453" s="37">
        <v>630000</v>
      </c>
      <c r="T453" s="38">
        <v>336000</v>
      </c>
      <c r="U453" s="27" t="s">
        <v>37</v>
      </c>
    </row>
    <row r="454" spans="1:21">
      <c r="A454" s="27" t="s">
        <v>120</v>
      </c>
      <c r="B454" s="50" t="s">
        <v>661</v>
      </c>
      <c r="C454" s="28">
        <v>22100000</v>
      </c>
      <c r="D454" s="29">
        <v>0.25</v>
      </c>
      <c r="E454" s="30">
        <v>0.1</v>
      </c>
      <c r="F454" s="31">
        <v>0.05</v>
      </c>
      <c r="G454" s="32">
        <v>130</v>
      </c>
      <c r="H454" s="54"/>
      <c r="I454" s="33" t="b">
        <v>1</v>
      </c>
      <c r="J454" s="34" t="b">
        <v>1</v>
      </c>
      <c r="K454" s="35" t="b">
        <v>1</v>
      </c>
      <c r="L454" s="27" t="s">
        <v>633</v>
      </c>
      <c r="M454" s="27" t="s">
        <v>34</v>
      </c>
      <c r="N454" s="33">
        <v>32</v>
      </c>
      <c r="O454" s="34">
        <v>13</v>
      </c>
      <c r="P454" s="35">
        <v>6</v>
      </c>
      <c r="Q454" s="28">
        <v>170000</v>
      </c>
      <c r="R454" s="36">
        <v>5440000</v>
      </c>
      <c r="S454" s="37">
        <v>2210000</v>
      </c>
      <c r="T454" s="38">
        <v>1020000</v>
      </c>
      <c r="U454" s="27" t="s">
        <v>37</v>
      </c>
    </row>
    <row r="455" spans="1:21">
      <c r="A455" s="27" t="s">
        <v>120</v>
      </c>
      <c r="B455" s="50" t="s">
        <v>662</v>
      </c>
      <c r="C455" s="28">
        <v>5200000</v>
      </c>
      <c r="D455" s="29">
        <v>0.25</v>
      </c>
      <c r="E455" s="30">
        <v>0.1</v>
      </c>
      <c r="F455" s="31">
        <v>0.05</v>
      </c>
      <c r="G455" s="32">
        <v>8</v>
      </c>
      <c r="H455" s="54"/>
      <c r="I455" s="33" t="b">
        <v>1</v>
      </c>
      <c r="J455" s="34" t="b">
        <v>1</v>
      </c>
      <c r="K455" s="35" t="b">
        <v>1</v>
      </c>
      <c r="L455" s="27" t="s">
        <v>633</v>
      </c>
      <c r="M455" s="27" t="s">
        <v>34</v>
      </c>
      <c r="N455" s="33">
        <v>2</v>
      </c>
      <c r="O455" s="34">
        <v>1</v>
      </c>
      <c r="P455" s="35">
        <v>0</v>
      </c>
      <c r="Q455" s="28">
        <v>650000</v>
      </c>
      <c r="R455" s="36">
        <v>1300000</v>
      </c>
      <c r="S455" s="37">
        <v>650000</v>
      </c>
      <c r="T455" s="38">
        <v>0</v>
      </c>
      <c r="U455" s="27" t="s">
        <v>37</v>
      </c>
    </row>
    <row r="456" spans="1:21">
      <c r="A456" s="27" t="s">
        <v>77</v>
      </c>
      <c r="B456" s="50" t="s">
        <v>663</v>
      </c>
      <c r="C456" s="28">
        <v>8000000</v>
      </c>
      <c r="D456" s="29">
        <v>0.25</v>
      </c>
      <c r="E456" s="30">
        <v>0.1</v>
      </c>
      <c r="F456" s="31">
        <v>0.05</v>
      </c>
      <c r="G456" s="32">
        <v>2</v>
      </c>
      <c r="H456" s="54"/>
      <c r="I456" s="33" t="b">
        <v>1</v>
      </c>
      <c r="J456" s="34" t="b">
        <v>1</v>
      </c>
      <c r="K456" s="35" t="b">
        <v>1</v>
      </c>
      <c r="L456" s="27" t="s">
        <v>664</v>
      </c>
      <c r="M456" s="27" t="s">
        <v>33</v>
      </c>
      <c r="N456" s="33">
        <v>0</v>
      </c>
      <c r="O456" s="34">
        <v>0</v>
      </c>
      <c r="P456" s="35">
        <v>0</v>
      </c>
      <c r="Q456" s="28">
        <v>4000000</v>
      </c>
      <c r="R456" s="36">
        <v>0</v>
      </c>
      <c r="S456" s="37">
        <v>0</v>
      </c>
      <c r="T456" s="38">
        <v>0</v>
      </c>
      <c r="U456" s="27" t="s">
        <v>38</v>
      </c>
    </row>
    <row r="457" spans="1:21">
      <c r="A457" s="27" t="s">
        <v>77</v>
      </c>
      <c r="B457" s="50" t="s">
        <v>665</v>
      </c>
      <c r="C457" s="28">
        <v>7000000</v>
      </c>
      <c r="D457" s="29">
        <v>0.25</v>
      </c>
      <c r="E457" s="30">
        <v>0.1</v>
      </c>
      <c r="F457" s="31">
        <v>0.05</v>
      </c>
      <c r="G457" s="32">
        <v>10</v>
      </c>
      <c r="H457" s="54"/>
      <c r="I457" s="33" t="b">
        <v>1</v>
      </c>
      <c r="J457" s="34" t="b">
        <v>1</v>
      </c>
      <c r="K457" s="35" t="b">
        <v>1</v>
      </c>
      <c r="L457" s="27" t="s">
        <v>664</v>
      </c>
      <c r="M457" s="27" t="s">
        <v>33</v>
      </c>
      <c r="N457" s="33">
        <v>2</v>
      </c>
      <c r="O457" s="34">
        <v>1</v>
      </c>
      <c r="P457" s="35">
        <v>0</v>
      </c>
      <c r="Q457" s="28">
        <v>700000</v>
      </c>
      <c r="R457" s="36">
        <v>1400000</v>
      </c>
      <c r="S457" s="37">
        <v>700000</v>
      </c>
      <c r="T457" s="38">
        <v>0</v>
      </c>
      <c r="U457" s="27" t="s">
        <v>38</v>
      </c>
    </row>
    <row r="458" spans="1:21">
      <c r="A458" s="27" t="s">
        <v>77</v>
      </c>
      <c r="B458" s="50" t="s">
        <v>666</v>
      </c>
      <c r="C458" s="28">
        <v>685200</v>
      </c>
      <c r="D458" s="29">
        <v>0.25</v>
      </c>
      <c r="E458" s="30">
        <v>0.1</v>
      </c>
      <c r="F458" s="31">
        <v>0.05</v>
      </c>
      <c r="G458" s="32">
        <v>23</v>
      </c>
      <c r="H458" s="54"/>
      <c r="I458" s="33" t="b">
        <v>1</v>
      </c>
      <c r="J458" s="34" t="b">
        <v>1</v>
      </c>
      <c r="K458" s="35" t="b">
        <v>1</v>
      </c>
      <c r="L458" s="27" t="s">
        <v>664</v>
      </c>
      <c r="M458" s="27" t="s">
        <v>33</v>
      </c>
      <c r="N458" s="33">
        <v>6</v>
      </c>
      <c r="O458" s="34">
        <v>2</v>
      </c>
      <c r="P458" s="35">
        <v>1</v>
      </c>
      <c r="Q458" s="28">
        <v>29791.304347826092</v>
      </c>
      <c r="R458" s="36">
        <v>178747.82608695651</v>
      </c>
      <c r="S458" s="37">
        <v>59582.608695652183</v>
      </c>
      <c r="T458" s="38">
        <v>29791.304347826092</v>
      </c>
      <c r="U458" s="27" t="s">
        <v>38</v>
      </c>
    </row>
    <row r="459" spans="1:21">
      <c r="A459" s="27" t="s">
        <v>77</v>
      </c>
      <c r="B459" s="50" t="s">
        <v>667</v>
      </c>
      <c r="C459" s="28">
        <v>400000</v>
      </c>
      <c r="D459" s="29">
        <v>0.25</v>
      </c>
      <c r="E459" s="30">
        <v>0.1</v>
      </c>
      <c r="F459" s="31">
        <v>0.05</v>
      </c>
      <c r="G459" s="32">
        <v>1</v>
      </c>
      <c r="H459" s="54"/>
      <c r="I459" s="33" t="b">
        <v>1</v>
      </c>
      <c r="J459" s="34" t="b">
        <v>1</v>
      </c>
      <c r="K459" s="35" t="b">
        <v>1</v>
      </c>
      <c r="L459" s="27" t="s">
        <v>664</v>
      </c>
      <c r="M459" s="27" t="s">
        <v>33</v>
      </c>
      <c r="N459" s="33">
        <v>0</v>
      </c>
      <c r="O459" s="34">
        <v>0</v>
      </c>
      <c r="P459" s="35">
        <v>0</v>
      </c>
      <c r="Q459" s="28">
        <v>400000</v>
      </c>
      <c r="R459" s="36">
        <v>0</v>
      </c>
      <c r="S459" s="37">
        <v>0</v>
      </c>
      <c r="T459" s="38">
        <v>0</v>
      </c>
      <c r="U459" s="27" t="s">
        <v>38</v>
      </c>
    </row>
    <row r="460" spans="1:21">
      <c r="A460" s="27" t="s">
        <v>77</v>
      </c>
      <c r="B460" s="50" t="s">
        <v>668</v>
      </c>
      <c r="C460" s="28">
        <v>24300000</v>
      </c>
      <c r="D460" s="29">
        <v>0.25</v>
      </c>
      <c r="E460" s="30">
        <v>0.1</v>
      </c>
      <c r="F460" s="31">
        <v>0.05</v>
      </c>
      <c r="G460" s="32">
        <v>510</v>
      </c>
      <c r="H460" s="54"/>
      <c r="I460" s="33" t="b">
        <v>1</v>
      </c>
      <c r="J460" s="34" t="b">
        <v>1</v>
      </c>
      <c r="K460" s="35" t="b">
        <v>1</v>
      </c>
      <c r="L460" s="27" t="s">
        <v>664</v>
      </c>
      <c r="M460" s="27" t="s">
        <v>33</v>
      </c>
      <c r="N460" s="33">
        <v>128</v>
      </c>
      <c r="O460" s="34">
        <v>51</v>
      </c>
      <c r="P460" s="35">
        <v>26</v>
      </c>
      <c r="Q460" s="28">
        <v>47647.058823529413</v>
      </c>
      <c r="R460" s="36">
        <v>6098823.5294117648</v>
      </c>
      <c r="S460" s="37">
        <v>2430000</v>
      </c>
      <c r="T460" s="38">
        <v>1238823.529411765</v>
      </c>
      <c r="U460" s="27" t="s">
        <v>37</v>
      </c>
    </row>
    <row r="461" spans="1:21">
      <c r="A461" s="27" t="s">
        <v>77</v>
      </c>
      <c r="B461" s="50" t="s">
        <v>669</v>
      </c>
      <c r="C461" s="28">
        <v>3000000</v>
      </c>
      <c r="D461" s="29">
        <v>0.25</v>
      </c>
      <c r="E461" s="30">
        <v>0.1</v>
      </c>
      <c r="F461" s="31">
        <v>0.05</v>
      </c>
      <c r="G461" s="32">
        <v>8</v>
      </c>
      <c r="H461" s="54"/>
      <c r="I461" s="33" t="b">
        <v>1</v>
      </c>
      <c r="J461" s="34" t="b">
        <v>1</v>
      </c>
      <c r="K461" s="35" t="b">
        <v>1</v>
      </c>
      <c r="L461" s="27" t="s">
        <v>664</v>
      </c>
      <c r="M461" s="27" t="s">
        <v>33</v>
      </c>
      <c r="N461" s="33">
        <v>2</v>
      </c>
      <c r="O461" s="34">
        <v>1</v>
      </c>
      <c r="P461" s="35">
        <v>0</v>
      </c>
      <c r="Q461" s="28">
        <v>375000</v>
      </c>
      <c r="R461" s="36">
        <v>750000</v>
      </c>
      <c r="S461" s="37">
        <v>375000</v>
      </c>
      <c r="T461" s="38">
        <v>0</v>
      </c>
      <c r="U461" s="27" t="s">
        <v>38</v>
      </c>
    </row>
    <row r="462" spans="1:21">
      <c r="A462" s="27" t="s">
        <v>77</v>
      </c>
      <c r="B462" s="50" t="s">
        <v>670</v>
      </c>
      <c r="C462" s="28">
        <v>4000000</v>
      </c>
      <c r="D462" s="29">
        <v>0.25</v>
      </c>
      <c r="E462" s="30">
        <v>0.1</v>
      </c>
      <c r="F462" s="31">
        <v>0.05</v>
      </c>
      <c r="G462" s="32">
        <v>15</v>
      </c>
      <c r="H462" s="54"/>
      <c r="I462" s="33" t="b">
        <v>1</v>
      </c>
      <c r="J462" s="34" t="b">
        <v>1</v>
      </c>
      <c r="K462" s="35" t="b">
        <v>1</v>
      </c>
      <c r="L462" s="27" t="s">
        <v>664</v>
      </c>
      <c r="M462" s="27" t="s">
        <v>33</v>
      </c>
      <c r="N462" s="33">
        <v>4</v>
      </c>
      <c r="O462" s="34">
        <v>2</v>
      </c>
      <c r="P462" s="35">
        <v>1</v>
      </c>
      <c r="Q462" s="28">
        <v>266666.66666666669</v>
      </c>
      <c r="R462" s="36">
        <v>1066666.666666667</v>
      </c>
      <c r="S462" s="37">
        <v>533333.33333333337</v>
      </c>
      <c r="T462" s="38">
        <v>266666.66666666669</v>
      </c>
      <c r="U462" s="27" t="s">
        <v>38</v>
      </c>
    </row>
    <row r="463" spans="1:21">
      <c r="A463" s="27" t="s">
        <v>77</v>
      </c>
      <c r="B463" s="50" t="s">
        <v>671</v>
      </c>
      <c r="C463" s="28">
        <v>800000</v>
      </c>
      <c r="D463" s="29">
        <v>0.25</v>
      </c>
      <c r="E463" s="30">
        <v>0.1</v>
      </c>
      <c r="F463" s="31">
        <v>0.05</v>
      </c>
      <c r="G463" s="32">
        <v>10</v>
      </c>
      <c r="H463" s="54"/>
      <c r="I463" s="33" t="b">
        <v>1</v>
      </c>
      <c r="J463" s="34" t="b">
        <v>1</v>
      </c>
      <c r="K463" s="35" t="b">
        <v>1</v>
      </c>
      <c r="L463" s="27" t="s">
        <v>664</v>
      </c>
      <c r="M463" s="27" t="s">
        <v>33</v>
      </c>
      <c r="N463" s="33">
        <v>2</v>
      </c>
      <c r="O463" s="34">
        <v>1</v>
      </c>
      <c r="P463" s="35">
        <v>0</v>
      </c>
      <c r="Q463" s="28">
        <v>80000</v>
      </c>
      <c r="R463" s="36">
        <v>160000</v>
      </c>
      <c r="S463" s="37">
        <v>80000</v>
      </c>
      <c r="T463" s="38">
        <v>0</v>
      </c>
      <c r="U463" s="27" t="s">
        <v>38</v>
      </c>
    </row>
    <row r="464" spans="1:21">
      <c r="A464" s="39" t="s">
        <v>77</v>
      </c>
      <c r="B464" s="39" t="s">
        <v>672</v>
      </c>
      <c r="C464" s="40">
        <v>800000</v>
      </c>
      <c r="D464" s="41">
        <v>0.25</v>
      </c>
      <c r="E464" s="41">
        <v>0.37</v>
      </c>
      <c r="F464" s="41">
        <v>0.06</v>
      </c>
      <c r="G464" s="42">
        <v>16</v>
      </c>
      <c r="H464" s="55" t="s">
        <v>13</v>
      </c>
      <c r="I464" s="42" t="b">
        <v>1</v>
      </c>
      <c r="J464" s="42" t="b">
        <v>1</v>
      </c>
      <c r="K464" s="42" t="b">
        <v>1</v>
      </c>
      <c r="L464" s="39" t="s">
        <v>664</v>
      </c>
      <c r="M464" s="39" t="s">
        <v>33</v>
      </c>
      <c r="N464" s="42">
        <v>4</v>
      </c>
      <c r="O464" s="42">
        <v>6</v>
      </c>
      <c r="P464" s="42">
        <v>1</v>
      </c>
      <c r="Q464" s="40">
        <v>50000</v>
      </c>
      <c r="R464" s="40">
        <v>200000</v>
      </c>
      <c r="S464" s="40">
        <v>300000</v>
      </c>
      <c r="T464" s="40">
        <v>50000</v>
      </c>
      <c r="U464" s="39" t="s">
        <v>38</v>
      </c>
    </row>
    <row r="465" spans="1:21">
      <c r="A465" s="27" t="s">
        <v>77</v>
      </c>
      <c r="B465" s="50" t="s">
        <v>673</v>
      </c>
      <c r="C465" s="28">
        <v>2500000</v>
      </c>
      <c r="D465" s="29">
        <v>0</v>
      </c>
      <c r="E465" s="30">
        <v>0</v>
      </c>
      <c r="F465" s="31">
        <v>0</v>
      </c>
      <c r="G465" s="32">
        <v>15</v>
      </c>
      <c r="H465" s="54"/>
      <c r="I465" s="33" t="b">
        <v>1</v>
      </c>
      <c r="J465" s="34" t="b">
        <v>1</v>
      </c>
      <c r="K465" s="35" t="b">
        <v>0</v>
      </c>
      <c r="L465" s="27" t="s">
        <v>664</v>
      </c>
      <c r="M465" s="27" t="s">
        <v>33</v>
      </c>
      <c r="N465" s="33">
        <v>0</v>
      </c>
      <c r="O465" s="34">
        <v>0</v>
      </c>
      <c r="P465" s="35">
        <v>0</v>
      </c>
      <c r="Q465" s="28">
        <v>166666.66666666669</v>
      </c>
      <c r="R465" s="36">
        <v>0</v>
      </c>
      <c r="S465" s="37">
        <v>0</v>
      </c>
      <c r="T465" s="38">
        <v>0</v>
      </c>
      <c r="U465" s="27" t="s">
        <v>38</v>
      </c>
    </row>
    <row r="466" spans="1:21">
      <c r="A466" s="39" t="s">
        <v>77</v>
      </c>
      <c r="B466" s="46" t="s">
        <v>674</v>
      </c>
      <c r="C466" s="40">
        <v>13700000</v>
      </c>
      <c r="D466" s="41">
        <v>0</v>
      </c>
      <c r="E466" s="41">
        <v>0</v>
      </c>
      <c r="F466" s="41">
        <v>0</v>
      </c>
      <c r="G466" s="42"/>
      <c r="H466" s="55" t="s">
        <v>12</v>
      </c>
      <c r="I466" s="42" t="b">
        <v>1</v>
      </c>
      <c r="J466" s="42" t="b">
        <v>1</v>
      </c>
      <c r="K466" s="42" t="b">
        <v>0</v>
      </c>
      <c r="L466" s="39" t="s">
        <v>664</v>
      </c>
      <c r="M466" s="39" t="s">
        <v>33</v>
      </c>
      <c r="N466" s="42"/>
      <c r="O466" s="42"/>
      <c r="P466" s="42"/>
      <c r="Q466" s="40"/>
      <c r="R466" s="40">
        <v>0</v>
      </c>
      <c r="S466" s="40">
        <v>0</v>
      </c>
      <c r="T466" s="40">
        <v>0</v>
      </c>
      <c r="U466" s="39" t="s">
        <v>38</v>
      </c>
    </row>
    <row r="467" spans="1:21">
      <c r="A467" s="27" t="s">
        <v>121</v>
      </c>
      <c r="B467" s="50" t="s">
        <v>675</v>
      </c>
      <c r="C467" s="28">
        <v>1500000</v>
      </c>
      <c r="D467" s="29">
        <v>0.25</v>
      </c>
      <c r="E467" s="30">
        <v>0.1</v>
      </c>
      <c r="F467" s="31">
        <v>0.05</v>
      </c>
      <c r="G467" s="32">
        <v>15</v>
      </c>
      <c r="H467" s="54"/>
      <c r="I467" s="33" t="b">
        <v>1</v>
      </c>
      <c r="J467" s="34" t="b">
        <v>1</v>
      </c>
      <c r="K467" s="35" t="b">
        <v>1</v>
      </c>
      <c r="L467" s="27" t="s">
        <v>676</v>
      </c>
      <c r="M467" s="27" t="s">
        <v>34</v>
      </c>
      <c r="N467" s="33">
        <v>4</v>
      </c>
      <c r="O467" s="34">
        <v>2</v>
      </c>
      <c r="P467" s="35">
        <v>1</v>
      </c>
      <c r="Q467" s="28">
        <v>100000</v>
      </c>
      <c r="R467" s="36">
        <v>400000</v>
      </c>
      <c r="S467" s="37">
        <v>200000</v>
      </c>
      <c r="T467" s="38">
        <v>100000</v>
      </c>
      <c r="U467" s="27" t="s">
        <v>37</v>
      </c>
    </row>
    <row r="468" spans="1:21">
      <c r="A468" s="27" t="s">
        <v>121</v>
      </c>
      <c r="B468" s="50" t="s">
        <v>677</v>
      </c>
      <c r="C468" s="28">
        <v>600000</v>
      </c>
      <c r="D468" s="29">
        <v>0.25</v>
      </c>
      <c r="E468" s="30">
        <v>0.1</v>
      </c>
      <c r="F468" s="31">
        <v>0.05</v>
      </c>
      <c r="G468" s="32">
        <v>2</v>
      </c>
      <c r="H468" s="54"/>
      <c r="I468" s="33" t="b">
        <v>1</v>
      </c>
      <c r="J468" s="34" t="b">
        <v>1</v>
      </c>
      <c r="K468" s="35" t="b">
        <v>1</v>
      </c>
      <c r="L468" s="27" t="s">
        <v>676</v>
      </c>
      <c r="M468" s="27" t="s">
        <v>34</v>
      </c>
      <c r="N468" s="33">
        <v>0</v>
      </c>
      <c r="O468" s="34">
        <v>0</v>
      </c>
      <c r="P468" s="35">
        <v>0</v>
      </c>
      <c r="Q468" s="28">
        <v>300000</v>
      </c>
      <c r="R468" s="36">
        <v>0</v>
      </c>
      <c r="S468" s="37">
        <v>0</v>
      </c>
      <c r="T468" s="38">
        <v>0</v>
      </c>
      <c r="U468" s="27" t="s">
        <v>37</v>
      </c>
    </row>
    <row r="469" spans="1:21">
      <c r="A469" s="27" t="s">
        <v>121</v>
      </c>
      <c r="B469" s="50" t="s">
        <v>678</v>
      </c>
      <c r="C469" s="28">
        <v>950000</v>
      </c>
      <c r="D469" s="29">
        <v>0.25</v>
      </c>
      <c r="E469" s="30">
        <v>0.1</v>
      </c>
      <c r="F469" s="31">
        <v>0.05</v>
      </c>
      <c r="G469" s="32">
        <v>80</v>
      </c>
      <c r="H469" s="54"/>
      <c r="I469" s="33" t="b">
        <v>1</v>
      </c>
      <c r="J469" s="34" t="b">
        <v>1</v>
      </c>
      <c r="K469" s="35" t="b">
        <v>1</v>
      </c>
      <c r="L469" s="27" t="s">
        <v>676</v>
      </c>
      <c r="M469" s="27" t="s">
        <v>34</v>
      </c>
      <c r="N469" s="33">
        <v>20</v>
      </c>
      <c r="O469" s="34">
        <v>8</v>
      </c>
      <c r="P469" s="35">
        <v>4</v>
      </c>
      <c r="Q469" s="28">
        <v>11875</v>
      </c>
      <c r="R469" s="36">
        <v>237500</v>
      </c>
      <c r="S469" s="37">
        <v>95000</v>
      </c>
      <c r="T469" s="38">
        <v>47500</v>
      </c>
      <c r="U469" s="27" t="s">
        <v>37</v>
      </c>
    </row>
    <row r="470" spans="1:21">
      <c r="A470" s="27" t="s">
        <v>121</v>
      </c>
      <c r="B470" s="50" t="s">
        <v>679</v>
      </c>
      <c r="C470" s="28">
        <v>400000</v>
      </c>
      <c r="D470" s="29">
        <v>0.25</v>
      </c>
      <c r="E470" s="30">
        <v>0.1</v>
      </c>
      <c r="F470" s="31">
        <v>0.05</v>
      </c>
      <c r="G470" s="32">
        <v>10</v>
      </c>
      <c r="H470" s="54"/>
      <c r="I470" s="33" t="b">
        <v>1</v>
      </c>
      <c r="J470" s="34" t="b">
        <v>1</v>
      </c>
      <c r="K470" s="35" t="b">
        <v>1</v>
      </c>
      <c r="L470" s="27" t="s">
        <v>676</v>
      </c>
      <c r="M470" s="27" t="s">
        <v>34</v>
      </c>
      <c r="N470" s="33">
        <v>2</v>
      </c>
      <c r="O470" s="34">
        <v>1</v>
      </c>
      <c r="P470" s="35">
        <v>0</v>
      </c>
      <c r="Q470" s="28">
        <v>40000</v>
      </c>
      <c r="R470" s="36">
        <v>80000</v>
      </c>
      <c r="S470" s="37">
        <v>40000</v>
      </c>
      <c r="T470" s="38">
        <v>0</v>
      </c>
      <c r="U470" s="27" t="s">
        <v>38</v>
      </c>
    </row>
    <row r="471" spans="1:21">
      <c r="A471" s="27" t="s">
        <v>121</v>
      </c>
      <c r="B471" s="50" t="s">
        <v>680</v>
      </c>
      <c r="C471" s="28">
        <v>3000000</v>
      </c>
      <c r="D471" s="29">
        <v>0.25</v>
      </c>
      <c r="E471" s="30">
        <v>0.1</v>
      </c>
      <c r="F471" s="31">
        <v>0.05</v>
      </c>
      <c r="G471" s="32">
        <v>21</v>
      </c>
      <c r="H471" s="54"/>
      <c r="I471" s="33" t="b">
        <v>1</v>
      </c>
      <c r="J471" s="34" t="b">
        <v>1</v>
      </c>
      <c r="K471" s="35" t="b">
        <v>1</v>
      </c>
      <c r="L471" s="27" t="s">
        <v>676</v>
      </c>
      <c r="M471" s="27" t="s">
        <v>34</v>
      </c>
      <c r="N471" s="33">
        <v>5</v>
      </c>
      <c r="O471" s="34">
        <v>2</v>
      </c>
      <c r="P471" s="35">
        <v>1</v>
      </c>
      <c r="Q471" s="28">
        <v>142857.1428571429</v>
      </c>
      <c r="R471" s="36">
        <v>714285.71428571432</v>
      </c>
      <c r="S471" s="37">
        <v>285714.28571428568</v>
      </c>
      <c r="T471" s="38">
        <v>142857.1428571429</v>
      </c>
      <c r="U471" s="27" t="s">
        <v>38</v>
      </c>
    </row>
    <row r="472" spans="1:21">
      <c r="A472" s="27" t="s">
        <v>121</v>
      </c>
      <c r="B472" s="50" t="s">
        <v>681</v>
      </c>
      <c r="C472" s="28">
        <v>1040000</v>
      </c>
      <c r="D472" s="29">
        <v>0.25</v>
      </c>
      <c r="E472" s="30">
        <v>0.1</v>
      </c>
      <c r="F472" s="31">
        <v>0.05</v>
      </c>
      <c r="G472" s="32">
        <v>40</v>
      </c>
      <c r="H472" s="54"/>
      <c r="I472" s="33" t="b">
        <v>1</v>
      </c>
      <c r="J472" s="34" t="b">
        <v>1</v>
      </c>
      <c r="K472" s="35" t="b">
        <v>1</v>
      </c>
      <c r="L472" s="27" t="s">
        <v>676</v>
      </c>
      <c r="M472" s="27" t="s">
        <v>34</v>
      </c>
      <c r="N472" s="33">
        <v>10</v>
      </c>
      <c r="O472" s="34">
        <v>4</v>
      </c>
      <c r="P472" s="35">
        <v>2</v>
      </c>
      <c r="Q472" s="28">
        <v>26000</v>
      </c>
      <c r="R472" s="36">
        <v>260000</v>
      </c>
      <c r="S472" s="37">
        <v>104000</v>
      </c>
      <c r="T472" s="38">
        <v>52000</v>
      </c>
      <c r="U472" s="27" t="s">
        <v>38</v>
      </c>
    </row>
    <row r="473" spans="1:21">
      <c r="A473" s="27" t="s">
        <v>121</v>
      </c>
      <c r="B473" s="50" t="s">
        <v>682</v>
      </c>
      <c r="C473" s="28">
        <v>1440000</v>
      </c>
      <c r="D473" s="29">
        <v>0.25</v>
      </c>
      <c r="E473" s="30">
        <v>0.1</v>
      </c>
      <c r="F473" s="31">
        <v>0.05</v>
      </c>
      <c r="G473" s="32">
        <v>25</v>
      </c>
      <c r="H473" s="54"/>
      <c r="I473" s="33" t="b">
        <v>1</v>
      </c>
      <c r="J473" s="34" t="b">
        <v>1</v>
      </c>
      <c r="K473" s="35" t="b">
        <v>1</v>
      </c>
      <c r="L473" s="27" t="s">
        <v>676</v>
      </c>
      <c r="M473" s="27" t="s">
        <v>34</v>
      </c>
      <c r="N473" s="33">
        <v>6</v>
      </c>
      <c r="O473" s="34">
        <v>2</v>
      </c>
      <c r="P473" s="35">
        <v>1</v>
      </c>
      <c r="Q473" s="28">
        <v>57600</v>
      </c>
      <c r="R473" s="36">
        <v>345600</v>
      </c>
      <c r="S473" s="37">
        <v>115200</v>
      </c>
      <c r="T473" s="38">
        <v>57600</v>
      </c>
      <c r="U473" s="27" t="s">
        <v>38</v>
      </c>
    </row>
    <row r="474" spans="1:21">
      <c r="A474" s="27" t="s">
        <v>121</v>
      </c>
      <c r="B474" s="50" t="s">
        <v>683</v>
      </c>
      <c r="C474" s="28">
        <v>3120000</v>
      </c>
      <c r="D474" s="29">
        <v>0.25</v>
      </c>
      <c r="E474" s="30">
        <v>0.1</v>
      </c>
      <c r="F474" s="31">
        <v>0.05</v>
      </c>
      <c r="G474" s="32">
        <v>39</v>
      </c>
      <c r="H474" s="54"/>
      <c r="I474" s="33" t="b">
        <v>1</v>
      </c>
      <c r="J474" s="34" t="b">
        <v>1</v>
      </c>
      <c r="K474" s="35" t="b">
        <v>1</v>
      </c>
      <c r="L474" s="27" t="s">
        <v>676</v>
      </c>
      <c r="M474" s="27" t="s">
        <v>34</v>
      </c>
      <c r="N474" s="33">
        <v>10</v>
      </c>
      <c r="O474" s="34">
        <v>4</v>
      </c>
      <c r="P474" s="35">
        <v>2</v>
      </c>
      <c r="Q474" s="28">
        <v>80000</v>
      </c>
      <c r="R474" s="36">
        <v>800000</v>
      </c>
      <c r="S474" s="37">
        <v>320000</v>
      </c>
      <c r="T474" s="38">
        <v>160000</v>
      </c>
      <c r="U474" s="27" t="s">
        <v>40</v>
      </c>
    </row>
    <row r="475" spans="1:21">
      <c r="A475" s="27" t="s">
        <v>78</v>
      </c>
      <c r="B475" s="50" t="s">
        <v>684</v>
      </c>
      <c r="C475" s="28">
        <v>1000000</v>
      </c>
      <c r="D475" s="29">
        <v>0.2</v>
      </c>
      <c r="E475" s="30">
        <v>0.2</v>
      </c>
      <c r="F475" s="31">
        <v>0.2</v>
      </c>
      <c r="G475" s="32">
        <v>5</v>
      </c>
      <c r="H475" s="54"/>
      <c r="I475" s="33" t="b">
        <v>0</v>
      </c>
      <c r="J475" s="34" t="b">
        <v>1</v>
      </c>
      <c r="K475" s="35" t="b">
        <v>1</v>
      </c>
      <c r="L475" s="27" t="s">
        <v>685</v>
      </c>
      <c r="M475" s="27" t="s">
        <v>33</v>
      </c>
      <c r="N475" s="33">
        <v>1</v>
      </c>
      <c r="O475" s="34">
        <v>1</v>
      </c>
      <c r="P475" s="35">
        <v>1</v>
      </c>
      <c r="Q475" s="28">
        <v>200000</v>
      </c>
      <c r="R475" s="36">
        <v>200000</v>
      </c>
      <c r="S475" s="37">
        <v>200000</v>
      </c>
      <c r="T475" s="38">
        <v>200000</v>
      </c>
      <c r="U475" s="27" t="s">
        <v>37</v>
      </c>
    </row>
    <row r="476" spans="1:21">
      <c r="A476" s="27" t="s">
        <v>78</v>
      </c>
      <c r="B476" s="50" t="s">
        <v>686</v>
      </c>
      <c r="C476" s="28">
        <v>3500000</v>
      </c>
      <c r="D476" s="29">
        <v>0.25</v>
      </c>
      <c r="E476" s="30">
        <v>0.1</v>
      </c>
      <c r="F476" s="31">
        <v>0.05</v>
      </c>
      <c r="G476" s="32">
        <v>37</v>
      </c>
      <c r="H476" s="54"/>
      <c r="I476" s="33" t="b">
        <v>1</v>
      </c>
      <c r="J476" s="34" t="b">
        <v>1</v>
      </c>
      <c r="K476" s="35" t="b">
        <v>1</v>
      </c>
      <c r="L476" s="27" t="s">
        <v>685</v>
      </c>
      <c r="M476" s="27" t="s">
        <v>33</v>
      </c>
      <c r="N476" s="33">
        <v>9</v>
      </c>
      <c r="O476" s="34">
        <v>4</v>
      </c>
      <c r="P476" s="35">
        <v>2</v>
      </c>
      <c r="Q476" s="28">
        <v>94594.5945945946</v>
      </c>
      <c r="R476" s="36">
        <v>851351.35135135136</v>
      </c>
      <c r="S476" s="37">
        <v>378378.3783783784</v>
      </c>
      <c r="T476" s="38">
        <v>189189.1891891892</v>
      </c>
      <c r="U476" s="27" t="s">
        <v>38</v>
      </c>
    </row>
    <row r="477" spans="1:21">
      <c r="A477" s="39" t="s">
        <v>78</v>
      </c>
      <c r="B477" s="46" t="s">
        <v>687</v>
      </c>
      <c r="C477" s="40">
        <v>353008.73</v>
      </c>
      <c r="D477" s="41">
        <v>0.25</v>
      </c>
      <c r="E477" s="41">
        <v>0.1</v>
      </c>
      <c r="F477" s="41">
        <v>0.05</v>
      </c>
      <c r="G477" s="42">
        <v>71</v>
      </c>
      <c r="H477" s="55" t="s">
        <v>6</v>
      </c>
      <c r="I477" s="42" t="b">
        <v>1</v>
      </c>
      <c r="J477" s="42" t="b">
        <v>1</v>
      </c>
      <c r="K477" s="42" t="b">
        <v>1</v>
      </c>
      <c r="L477" s="39" t="s">
        <v>685</v>
      </c>
      <c r="M477" s="39" t="s">
        <v>33</v>
      </c>
      <c r="N477" s="42">
        <v>18</v>
      </c>
      <c r="O477" s="42">
        <v>7</v>
      </c>
      <c r="P477" s="42">
        <v>4</v>
      </c>
      <c r="Q477" s="40">
        <v>4971.9539436619716</v>
      </c>
      <c r="R477" s="40">
        <v>89495.170985915494</v>
      </c>
      <c r="S477" s="40">
        <v>34803.677605633799</v>
      </c>
      <c r="T477" s="40">
        <v>19887.81577464789</v>
      </c>
      <c r="U477" s="39" t="s">
        <v>39</v>
      </c>
    </row>
    <row r="478" spans="1:21">
      <c r="A478" s="27" t="s">
        <v>78</v>
      </c>
      <c r="B478" s="50" t="s">
        <v>688</v>
      </c>
      <c r="C478" s="28">
        <v>600000</v>
      </c>
      <c r="D478" s="29">
        <v>0.25</v>
      </c>
      <c r="E478" s="30">
        <v>0.1</v>
      </c>
      <c r="F478" s="31">
        <v>0.05</v>
      </c>
      <c r="G478" s="32">
        <v>30</v>
      </c>
      <c r="H478" s="54"/>
      <c r="I478" s="33" t="b">
        <v>1</v>
      </c>
      <c r="J478" s="34" t="b">
        <v>1</v>
      </c>
      <c r="K478" s="35" t="b">
        <v>1</v>
      </c>
      <c r="L478" s="27" t="s">
        <v>685</v>
      </c>
      <c r="M478" s="27" t="s">
        <v>33</v>
      </c>
      <c r="N478" s="33">
        <v>8</v>
      </c>
      <c r="O478" s="34">
        <v>3</v>
      </c>
      <c r="P478" s="35">
        <v>2</v>
      </c>
      <c r="Q478" s="28">
        <v>20000</v>
      </c>
      <c r="R478" s="36">
        <v>160000</v>
      </c>
      <c r="S478" s="37">
        <v>60000</v>
      </c>
      <c r="T478" s="38">
        <v>40000</v>
      </c>
      <c r="U478" s="27" t="s">
        <v>37</v>
      </c>
    </row>
    <row r="479" spans="1:21">
      <c r="A479" s="27" t="s">
        <v>122</v>
      </c>
      <c r="B479" s="50" t="s">
        <v>689</v>
      </c>
      <c r="C479" s="28">
        <v>500000</v>
      </c>
      <c r="D479" s="29">
        <v>0.25</v>
      </c>
      <c r="E479" s="30">
        <v>0.1</v>
      </c>
      <c r="F479" s="31">
        <v>0.05</v>
      </c>
      <c r="G479" s="32"/>
      <c r="H479" s="54"/>
      <c r="I479" s="33" t="b">
        <v>1</v>
      </c>
      <c r="J479" s="34" t="b">
        <v>1</v>
      </c>
      <c r="K479" s="35" t="b">
        <v>1</v>
      </c>
      <c r="L479" s="27" t="s">
        <v>690</v>
      </c>
      <c r="M479" s="27" t="s">
        <v>34</v>
      </c>
      <c r="N479" s="33"/>
      <c r="O479" s="34"/>
      <c r="P479" s="35"/>
      <c r="Q479" s="28"/>
      <c r="R479" s="36">
        <v>125000</v>
      </c>
      <c r="S479" s="37">
        <v>50000</v>
      </c>
      <c r="T479" s="38">
        <v>25000</v>
      </c>
      <c r="U479" s="27" t="s">
        <v>36</v>
      </c>
    </row>
    <row r="480" spans="1:21">
      <c r="A480" s="27" t="s">
        <v>122</v>
      </c>
      <c r="B480" s="50" t="s">
        <v>691</v>
      </c>
      <c r="C480" s="28">
        <v>4825000</v>
      </c>
      <c r="D480" s="29">
        <v>0.25</v>
      </c>
      <c r="E480" s="30">
        <v>0.1</v>
      </c>
      <c r="F480" s="31">
        <v>0.05</v>
      </c>
      <c r="G480" s="32">
        <v>86</v>
      </c>
      <c r="H480" s="54"/>
      <c r="I480" s="33" t="b">
        <v>1</v>
      </c>
      <c r="J480" s="34" t="b">
        <v>1</v>
      </c>
      <c r="K480" s="35" t="b">
        <v>1</v>
      </c>
      <c r="L480" s="27" t="s">
        <v>690</v>
      </c>
      <c r="M480" s="27" t="s">
        <v>34</v>
      </c>
      <c r="N480" s="33">
        <v>22</v>
      </c>
      <c r="O480" s="34">
        <v>9</v>
      </c>
      <c r="P480" s="35">
        <v>4</v>
      </c>
      <c r="Q480" s="28">
        <v>56104.651162790688</v>
      </c>
      <c r="R480" s="36">
        <v>1234302.3255813951</v>
      </c>
      <c r="S480" s="37">
        <v>504941.86046511628</v>
      </c>
      <c r="T480" s="38">
        <v>224418.60465116281</v>
      </c>
      <c r="U480" s="27" t="s">
        <v>38</v>
      </c>
    </row>
    <row r="481" spans="1:21">
      <c r="A481" s="27" t="s">
        <v>122</v>
      </c>
      <c r="B481" s="50" t="s">
        <v>692</v>
      </c>
      <c r="C481" s="28">
        <v>2360000</v>
      </c>
      <c r="D481" s="29">
        <v>0.25</v>
      </c>
      <c r="E481" s="30">
        <v>0.1</v>
      </c>
      <c r="F481" s="31">
        <v>0.05</v>
      </c>
      <c r="G481" s="32">
        <v>77</v>
      </c>
      <c r="H481" s="54"/>
      <c r="I481" s="33" t="b">
        <v>1</v>
      </c>
      <c r="J481" s="34" t="b">
        <v>1</v>
      </c>
      <c r="K481" s="35" t="b">
        <v>1</v>
      </c>
      <c r="L481" s="27" t="s">
        <v>690</v>
      </c>
      <c r="M481" s="27" t="s">
        <v>34</v>
      </c>
      <c r="N481" s="33">
        <v>19</v>
      </c>
      <c r="O481" s="34">
        <v>8</v>
      </c>
      <c r="P481" s="35">
        <v>4</v>
      </c>
      <c r="Q481" s="28">
        <v>30649.35064935065</v>
      </c>
      <c r="R481" s="36">
        <v>582337.6623376623</v>
      </c>
      <c r="S481" s="37">
        <v>245194.8051948052</v>
      </c>
      <c r="T481" s="38">
        <v>122597.4025974026</v>
      </c>
      <c r="U481" s="27" t="s">
        <v>38</v>
      </c>
    </row>
    <row r="482" spans="1:21">
      <c r="A482" s="27" t="s">
        <v>122</v>
      </c>
      <c r="B482" s="50" t="s">
        <v>693</v>
      </c>
      <c r="C482" s="28">
        <v>2360000</v>
      </c>
      <c r="D482" s="29">
        <v>0.25</v>
      </c>
      <c r="E482" s="30">
        <v>0.1</v>
      </c>
      <c r="F482" s="31">
        <v>0.05</v>
      </c>
      <c r="G482" s="32">
        <v>77</v>
      </c>
      <c r="H482" s="54"/>
      <c r="I482" s="33" t="b">
        <v>1</v>
      </c>
      <c r="J482" s="34" t="b">
        <v>1</v>
      </c>
      <c r="K482" s="35" t="b">
        <v>1</v>
      </c>
      <c r="L482" s="27" t="s">
        <v>690</v>
      </c>
      <c r="M482" s="27" t="s">
        <v>34</v>
      </c>
      <c r="N482" s="33">
        <v>19</v>
      </c>
      <c r="O482" s="34">
        <v>8</v>
      </c>
      <c r="P482" s="35">
        <v>4</v>
      </c>
      <c r="Q482" s="28">
        <v>30649.35064935065</v>
      </c>
      <c r="R482" s="36">
        <v>582337.6623376623</v>
      </c>
      <c r="S482" s="37">
        <v>245194.8051948052</v>
      </c>
      <c r="T482" s="38">
        <v>122597.4025974026</v>
      </c>
      <c r="U482" s="27" t="s">
        <v>38</v>
      </c>
    </row>
    <row r="483" spans="1:21">
      <c r="A483" s="27" t="s">
        <v>122</v>
      </c>
      <c r="B483" s="50" t="s">
        <v>694</v>
      </c>
      <c r="C483" s="28">
        <v>2360000</v>
      </c>
      <c r="D483" s="29">
        <v>0.25</v>
      </c>
      <c r="E483" s="30">
        <v>0.1</v>
      </c>
      <c r="F483" s="31">
        <v>0.05</v>
      </c>
      <c r="G483" s="32">
        <v>77</v>
      </c>
      <c r="H483" s="54"/>
      <c r="I483" s="33" t="b">
        <v>1</v>
      </c>
      <c r="J483" s="34" t="b">
        <v>1</v>
      </c>
      <c r="K483" s="35" t="b">
        <v>1</v>
      </c>
      <c r="L483" s="27" t="s">
        <v>690</v>
      </c>
      <c r="M483" s="27" t="s">
        <v>34</v>
      </c>
      <c r="N483" s="33">
        <v>19</v>
      </c>
      <c r="O483" s="34">
        <v>8</v>
      </c>
      <c r="P483" s="35">
        <v>4</v>
      </c>
      <c r="Q483" s="28">
        <v>30649.35064935065</v>
      </c>
      <c r="R483" s="36">
        <v>582337.6623376623</v>
      </c>
      <c r="S483" s="37">
        <v>245194.8051948052</v>
      </c>
      <c r="T483" s="38">
        <v>122597.4025974026</v>
      </c>
      <c r="U483" s="27" t="s">
        <v>38</v>
      </c>
    </row>
    <row r="484" spans="1:21">
      <c r="A484" s="27" t="s">
        <v>122</v>
      </c>
      <c r="B484" s="50" t="s">
        <v>695</v>
      </c>
      <c r="C484" s="28">
        <v>3570000</v>
      </c>
      <c r="D484" s="29">
        <v>0.25</v>
      </c>
      <c r="E484" s="30">
        <v>0.1</v>
      </c>
      <c r="F484" s="31">
        <v>0.05</v>
      </c>
      <c r="G484" s="32">
        <v>22</v>
      </c>
      <c r="H484" s="54"/>
      <c r="I484" s="33" t="b">
        <v>1</v>
      </c>
      <c r="J484" s="34" t="b">
        <v>1</v>
      </c>
      <c r="K484" s="35" t="b">
        <v>1</v>
      </c>
      <c r="L484" s="27" t="s">
        <v>690</v>
      </c>
      <c r="M484" s="27" t="s">
        <v>34</v>
      </c>
      <c r="N484" s="33">
        <v>6</v>
      </c>
      <c r="O484" s="34">
        <v>2</v>
      </c>
      <c r="P484" s="35">
        <v>1</v>
      </c>
      <c r="Q484" s="28">
        <v>162272.72727272729</v>
      </c>
      <c r="R484" s="36">
        <v>973636.36363636353</v>
      </c>
      <c r="S484" s="37">
        <v>324545.45454545447</v>
      </c>
      <c r="T484" s="38">
        <v>162272.72727272729</v>
      </c>
      <c r="U484" s="27" t="s">
        <v>38</v>
      </c>
    </row>
    <row r="485" spans="1:21">
      <c r="A485" s="39" t="s">
        <v>122</v>
      </c>
      <c r="B485" s="65" t="s">
        <v>696</v>
      </c>
      <c r="C485" s="40">
        <v>1125000</v>
      </c>
      <c r="D485" s="41">
        <v>0.25</v>
      </c>
      <c r="E485" s="41">
        <v>0</v>
      </c>
      <c r="F485" s="41">
        <v>0.05</v>
      </c>
      <c r="G485" s="42">
        <v>70</v>
      </c>
      <c r="H485" s="55" t="s">
        <v>13</v>
      </c>
      <c r="I485" s="42" t="b">
        <v>1</v>
      </c>
      <c r="J485" s="42" t="b">
        <v>1</v>
      </c>
      <c r="K485" s="42" t="b">
        <v>1</v>
      </c>
      <c r="L485" s="39" t="s">
        <v>690</v>
      </c>
      <c r="M485" s="39" t="s">
        <v>34</v>
      </c>
      <c r="N485" s="42">
        <v>18</v>
      </c>
      <c r="O485" s="42">
        <v>0</v>
      </c>
      <c r="P485" s="42">
        <v>4</v>
      </c>
      <c r="Q485" s="40">
        <v>16071.428571428571</v>
      </c>
      <c r="R485" s="40">
        <v>289285.71428571432</v>
      </c>
      <c r="S485" s="40">
        <v>0</v>
      </c>
      <c r="T485" s="40">
        <v>64285.714285714283</v>
      </c>
      <c r="U485" s="39" t="s">
        <v>38</v>
      </c>
    </row>
    <row r="486" spans="1:21">
      <c r="A486" s="39" t="s">
        <v>122</v>
      </c>
      <c r="B486" s="46" t="s">
        <v>697</v>
      </c>
      <c r="C486" s="40">
        <v>600000</v>
      </c>
      <c r="D486" s="41">
        <v>0</v>
      </c>
      <c r="E486" s="41">
        <v>1</v>
      </c>
      <c r="F486" s="41">
        <v>0.05</v>
      </c>
      <c r="G486" s="42">
        <v>40</v>
      </c>
      <c r="H486" s="55" t="s">
        <v>168</v>
      </c>
      <c r="I486" s="42" t="b">
        <v>1</v>
      </c>
      <c r="J486" s="42" t="b">
        <v>1</v>
      </c>
      <c r="K486" s="42" t="b">
        <v>1</v>
      </c>
      <c r="L486" s="39" t="s">
        <v>690</v>
      </c>
      <c r="M486" s="39" t="s">
        <v>34</v>
      </c>
      <c r="N486" s="42">
        <v>0</v>
      </c>
      <c r="O486" s="42">
        <v>40</v>
      </c>
      <c r="P486" s="42">
        <v>2</v>
      </c>
      <c r="Q486" s="40">
        <v>15000</v>
      </c>
      <c r="R486" s="40">
        <v>0</v>
      </c>
      <c r="S486" s="40">
        <v>600000</v>
      </c>
      <c r="T486" s="40">
        <v>30000</v>
      </c>
      <c r="U486" s="39" t="s">
        <v>36</v>
      </c>
    </row>
    <row r="487" spans="1:21">
      <c r="A487" s="39" t="s">
        <v>122</v>
      </c>
      <c r="B487" s="39" t="s">
        <v>698</v>
      </c>
      <c r="C487" s="40">
        <v>600000</v>
      </c>
      <c r="D487" s="41">
        <v>0</v>
      </c>
      <c r="E487" s="41">
        <v>0</v>
      </c>
      <c r="F487" s="41">
        <v>0.05</v>
      </c>
      <c r="G487" s="42">
        <v>40</v>
      </c>
      <c r="H487" s="55" t="s">
        <v>14</v>
      </c>
      <c r="I487" s="42" t="b">
        <v>1</v>
      </c>
      <c r="J487" s="42" t="b">
        <v>1</v>
      </c>
      <c r="K487" s="42" t="b">
        <v>1</v>
      </c>
      <c r="L487" s="39" t="s">
        <v>690</v>
      </c>
      <c r="M487" s="39" t="s">
        <v>34</v>
      </c>
      <c r="N487" s="42">
        <v>0</v>
      </c>
      <c r="O487" s="42">
        <v>0</v>
      </c>
      <c r="P487" s="42">
        <v>2</v>
      </c>
      <c r="Q487" s="40">
        <v>15000</v>
      </c>
      <c r="R487" s="40">
        <v>0</v>
      </c>
      <c r="S487" s="40">
        <v>0</v>
      </c>
      <c r="T487" s="40">
        <v>30000</v>
      </c>
      <c r="U487" s="39" t="s">
        <v>36</v>
      </c>
    </row>
    <row r="488" spans="1:21">
      <c r="A488" s="27" t="s">
        <v>122</v>
      </c>
      <c r="B488" s="50" t="s">
        <v>699</v>
      </c>
      <c r="C488" s="28">
        <v>4000000</v>
      </c>
      <c r="D488" s="29">
        <v>0.25</v>
      </c>
      <c r="E488" s="30">
        <v>0.1</v>
      </c>
      <c r="F488" s="31">
        <v>0.05</v>
      </c>
      <c r="G488" s="32">
        <v>50</v>
      </c>
      <c r="H488" s="54"/>
      <c r="I488" s="33" t="b">
        <v>1</v>
      </c>
      <c r="J488" s="34" t="b">
        <v>1</v>
      </c>
      <c r="K488" s="35" t="b">
        <v>1</v>
      </c>
      <c r="L488" s="27" t="s">
        <v>690</v>
      </c>
      <c r="M488" s="27" t="s">
        <v>34</v>
      </c>
      <c r="N488" s="33">
        <v>12</v>
      </c>
      <c r="O488" s="34">
        <v>5</v>
      </c>
      <c r="P488" s="35">
        <v>2</v>
      </c>
      <c r="Q488" s="28">
        <v>80000</v>
      </c>
      <c r="R488" s="36">
        <v>960000</v>
      </c>
      <c r="S488" s="37">
        <v>400000</v>
      </c>
      <c r="T488" s="38">
        <v>160000</v>
      </c>
      <c r="U488" s="27" t="s">
        <v>40</v>
      </c>
    </row>
    <row r="489" spans="1:21">
      <c r="A489" s="27" t="s">
        <v>122</v>
      </c>
      <c r="B489" s="50" t="s">
        <v>700</v>
      </c>
      <c r="C489" s="28">
        <v>1230000</v>
      </c>
      <c r="D489" s="29">
        <v>0.25</v>
      </c>
      <c r="E489" s="30">
        <v>0.1</v>
      </c>
      <c r="F489" s="31">
        <v>0.05</v>
      </c>
      <c r="G489" s="32">
        <v>35</v>
      </c>
      <c r="H489" s="54"/>
      <c r="I489" s="33" t="b">
        <v>1</v>
      </c>
      <c r="J489" s="34" t="b">
        <v>1</v>
      </c>
      <c r="K489" s="35" t="b">
        <v>1</v>
      </c>
      <c r="L489" s="27" t="s">
        <v>690</v>
      </c>
      <c r="M489" s="27" t="s">
        <v>34</v>
      </c>
      <c r="N489" s="33">
        <v>9</v>
      </c>
      <c r="O489" s="34">
        <v>4</v>
      </c>
      <c r="P489" s="35">
        <v>2</v>
      </c>
      <c r="Q489" s="28">
        <v>35142.857142857138</v>
      </c>
      <c r="R489" s="36">
        <v>316285.71428571432</v>
      </c>
      <c r="S489" s="37">
        <v>140571.42857142861</v>
      </c>
      <c r="T489" s="38">
        <v>70285.71428571429</v>
      </c>
      <c r="U489" s="27" t="s">
        <v>37</v>
      </c>
    </row>
    <row r="490" spans="1:21">
      <c r="A490" s="27" t="s">
        <v>122</v>
      </c>
      <c r="B490" s="50" t="s">
        <v>701</v>
      </c>
      <c r="C490" s="28">
        <v>780000</v>
      </c>
      <c r="D490" s="29">
        <v>0.25</v>
      </c>
      <c r="E490" s="30">
        <v>0.1</v>
      </c>
      <c r="F490" s="31">
        <v>0.05</v>
      </c>
      <c r="G490" s="32">
        <v>6</v>
      </c>
      <c r="H490" s="54"/>
      <c r="I490" s="33" t="b">
        <v>1</v>
      </c>
      <c r="J490" s="34" t="b">
        <v>1</v>
      </c>
      <c r="K490" s="35" t="b">
        <v>1</v>
      </c>
      <c r="L490" s="27" t="s">
        <v>690</v>
      </c>
      <c r="M490" s="27" t="s">
        <v>34</v>
      </c>
      <c r="N490" s="33">
        <v>2</v>
      </c>
      <c r="O490" s="34">
        <v>1</v>
      </c>
      <c r="P490" s="35">
        <v>0</v>
      </c>
      <c r="Q490" s="28">
        <v>130000</v>
      </c>
      <c r="R490" s="36">
        <v>260000</v>
      </c>
      <c r="S490" s="37">
        <v>130000</v>
      </c>
      <c r="T490" s="38">
        <v>0</v>
      </c>
      <c r="U490" s="27" t="s">
        <v>37</v>
      </c>
    </row>
    <row r="491" spans="1:21">
      <c r="A491" s="27" t="s">
        <v>122</v>
      </c>
      <c r="B491" s="50" t="s">
        <v>702</v>
      </c>
      <c r="C491" s="28">
        <v>360000</v>
      </c>
      <c r="D491" s="29">
        <v>0</v>
      </c>
      <c r="E491" s="30">
        <v>0</v>
      </c>
      <c r="F491" s="31">
        <v>0</v>
      </c>
      <c r="G491" s="32">
        <v>1</v>
      </c>
      <c r="H491" s="54"/>
      <c r="I491" s="33" t="b">
        <v>1</v>
      </c>
      <c r="J491" s="34" t="b">
        <v>1</v>
      </c>
      <c r="K491" s="35" t="b">
        <v>1</v>
      </c>
      <c r="L491" s="27" t="s">
        <v>690</v>
      </c>
      <c r="M491" s="27" t="s">
        <v>34</v>
      </c>
      <c r="N491" s="33">
        <v>0</v>
      </c>
      <c r="O491" s="34">
        <v>0</v>
      </c>
      <c r="P491" s="35">
        <v>0</v>
      </c>
      <c r="Q491" s="28">
        <v>360000</v>
      </c>
      <c r="R491" s="36">
        <v>0</v>
      </c>
      <c r="S491" s="37">
        <v>0</v>
      </c>
      <c r="T491" s="38">
        <v>0</v>
      </c>
      <c r="U491" s="27" t="s">
        <v>37</v>
      </c>
    </row>
    <row r="492" spans="1:21">
      <c r="A492" s="27" t="s">
        <v>79</v>
      </c>
      <c r="B492" s="50" t="s">
        <v>703</v>
      </c>
      <c r="C492" s="28">
        <v>600000</v>
      </c>
      <c r="D492" s="29">
        <v>0.25</v>
      </c>
      <c r="E492" s="30">
        <v>0.1</v>
      </c>
      <c r="F492" s="31">
        <v>0.05</v>
      </c>
      <c r="G492" s="32">
        <v>50</v>
      </c>
      <c r="H492" s="54"/>
      <c r="I492" s="33" t="b">
        <v>1</v>
      </c>
      <c r="J492" s="34" t="b">
        <v>1</v>
      </c>
      <c r="K492" s="35" t="b">
        <v>1</v>
      </c>
      <c r="L492" s="27" t="s">
        <v>704</v>
      </c>
      <c r="M492" s="27" t="s">
        <v>33</v>
      </c>
      <c r="N492" s="33">
        <v>12</v>
      </c>
      <c r="O492" s="34">
        <v>5</v>
      </c>
      <c r="P492" s="35">
        <v>2</v>
      </c>
      <c r="Q492" s="28">
        <v>12000</v>
      </c>
      <c r="R492" s="36">
        <v>144000</v>
      </c>
      <c r="S492" s="37">
        <v>60000</v>
      </c>
      <c r="T492" s="38">
        <v>24000</v>
      </c>
      <c r="U492" s="27" t="s">
        <v>38</v>
      </c>
    </row>
    <row r="493" spans="1:21">
      <c r="A493" s="27" t="s">
        <v>79</v>
      </c>
      <c r="B493" s="50" t="s">
        <v>705</v>
      </c>
      <c r="C493" s="28">
        <v>610558.69999999995</v>
      </c>
      <c r="D493" s="29">
        <v>0.25</v>
      </c>
      <c r="E493" s="30">
        <v>0.1</v>
      </c>
      <c r="F493" s="31">
        <v>0.05</v>
      </c>
      <c r="G493" s="32">
        <v>21</v>
      </c>
      <c r="H493" s="54"/>
      <c r="I493" s="33" t="b">
        <v>1</v>
      </c>
      <c r="J493" s="34" t="b">
        <v>1</v>
      </c>
      <c r="K493" s="35" t="b">
        <v>1</v>
      </c>
      <c r="L493" s="27" t="s">
        <v>704</v>
      </c>
      <c r="M493" s="27" t="s">
        <v>33</v>
      </c>
      <c r="N493" s="33">
        <v>5</v>
      </c>
      <c r="O493" s="34">
        <v>2</v>
      </c>
      <c r="P493" s="35">
        <v>1</v>
      </c>
      <c r="Q493" s="28">
        <v>29074.22380952381</v>
      </c>
      <c r="R493" s="36">
        <v>145371.11904761899</v>
      </c>
      <c r="S493" s="37">
        <v>58148.447619047613</v>
      </c>
      <c r="T493" s="38">
        <v>29074.22380952381</v>
      </c>
      <c r="U493" s="27" t="s">
        <v>37</v>
      </c>
    </row>
    <row r="494" spans="1:21">
      <c r="A494" s="27" t="s">
        <v>79</v>
      </c>
      <c r="B494" s="50" t="s">
        <v>706</v>
      </c>
      <c r="C494" s="28">
        <v>200000</v>
      </c>
      <c r="D494" s="29">
        <v>0.25</v>
      </c>
      <c r="E494" s="30">
        <v>0.1</v>
      </c>
      <c r="F494" s="31">
        <v>0.05</v>
      </c>
      <c r="G494" s="32">
        <v>6</v>
      </c>
      <c r="H494" s="54"/>
      <c r="I494" s="33" t="b">
        <v>1</v>
      </c>
      <c r="J494" s="34" t="b">
        <v>1</v>
      </c>
      <c r="K494" s="35" t="b">
        <v>1</v>
      </c>
      <c r="L494" s="27" t="s">
        <v>704</v>
      </c>
      <c r="M494" s="27" t="s">
        <v>33</v>
      </c>
      <c r="N494" s="33">
        <v>2</v>
      </c>
      <c r="O494" s="34">
        <v>1</v>
      </c>
      <c r="P494" s="35">
        <v>0</v>
      </c>
      <c r="Q494" s="28">
        <v>33333.333333333343</v>
      </c>
      <c r="R494" s="36">
        <v>66666.666666666672</v>
      </c>
      <c r="S494" s="37">
        <v>33333.333333333343</v>
      </c>
      <c r="T494" s="38">
        <v>0</v>
      </c>
      <c r="U494" s="27" t="s">
        <v>38</v>
      </c>
    </row>
    <row r="495" spans="1:21">
      <c r="A495" s="27" t="s">
        <v>79</v>
      </c>
      <c r="B495" s="50" t="s">
        <v>707</v>
      </c>
      <c r="C495" s="28">
        <v>210000</v>
      </c>
      <c r="D495" s="29">
        <v>0.25</v>
      </c>
      <c r="E495" s="30">
        <v>0.1</v>
      </c>
      <c r="F495" s="31">
        <v>0.05</v>
      </c>
      <c r="G495" s="32">
        <v>18</v>
      </c>
      <c r="H495" s="54"/>
      <c r="I495" s="33" t="b">
        <v>1</v>
      </c>
      <c r="J495" s="34" t="b">
        <v>1</v>
      </c>
      <c r="K495" s="35" t="b">
        <v>1</v>
      </c>
      <c r="L495" s="27" t="s">
        <v>704</v>
      </c>
      <c r="M495" s="27" t="s">
        <v>33</v>
      </c>
      <c r="N495" s="33">
        <v>4</v>
      </c>
      <c r="O495" s="34">
        <v>2</v>
      </c>
      <c r="P495" s="35">
        <v>1</v>
      </c>
      <c r="Q495" s="28">
        <v>11666.66666666667</v>
      </c>
      <c r="R495" s="36">
        <v>46666.666666666657</v>
      </c>
      <c r="S495" s="37">
        <v>23333.333333333328</v>
      </c>
      <c r="T495" s="38">
        <v>11666.66666666667</v>
      </c>
      <c r="U495" s="27" t="s">
        <v>40</v>
      </c>
    </row>
    <row r="496" spans="1:21">
      <c r="A496" s="27" t="s">
        <v>79</v>
      </c>
      <c r="B496" s="50" t="s">
        <v>708</v>
      </c>
      <c r="C496" s="28">
        <v>420000</v>
      </c>
      <c r="D496" s="29">
        <v>0.25</v>
      </c>
      <c r="E496" s="30">
        <v>0.1</v>
      </c>
      <c r="F496" s="31">
        <v>0</v>
      </c>
      <c r="G496" s="32">
        <v>7</v>
      </c>
      <c r="H496" s="54"/>
      <c r="I496" s="33" t="b">
        <v>1</v>
      </c>
      <c r="J496" s="34" t="b">
        <v>1</v>
      </c>
      <c r="K496" s="35" t="b">
        <v>1</v>
      </c>
      <c r="L496" s="27" t="s">
        <v>704</v>
      </c>
      <c r="M496" s="27" t="s">
        <v>33</v>
      </c>
      <c r="N496" s="33">
        <v>2</v>
      </c>
      <c r="O496" s="34">
        <v>1</v>
      </c>
      <c r="P496" s="35">
        <v>0</v>
      </c>
      <c r="Q496" s="28">
        <v>60000</v>
      </c>
      <c r="R496" s="36">
        <v>120000</v>
      </c>
      <c r="S496" s="37">
        <v>60000</v>
      </c>
      <c r="T496" s="38">
        <v>0</v>
      </c>
      <c r="U496" s="27" t="s">
        <v>38</v>
      </c>
    </row>
    <row r="497" spans="1:21">
      <c r="A497" s="27" t="s">
        <v>79</v>
      </c>
      <c r="B497" s="50" t="s">
        <v>709</v>
      </c>
      <c r="C497" s="28">
        <v>300000</v>
      </c>
      <c r="D497" s="29">
        <v>0</v>
      </c>
      <c r="E497" s="30">
        <v>0</v>
      </c>
      <c r="F497" s="31">
        <v>0</v>
      </c>
      <c r="G497" s="32">
        <v>4</v>
      </c>
      <c r="H497" s="54"/>
      <c r="I497" s="33" t="b">
        <v>1</v>
      </c>
      <c r="J497" s="34" t="b">
        <v>1</v>
      </c>
      <c r="K497" s="35" t="b">
        <v>1</v>
      </c>
      <c r="L497" s="27" t="s">
        <v>704</v>
      </c>
      <c r="M497" s="27" t="s">
        <v>33</v>
      </c>
      <c r="N497" s="33">
        <v>0</v>
      </c>
      <c r="O497" s="34">
        <v>0</v>
      </c>
      <c r="P497" s="35">
        <v>0</v>
      </c>
      <c r="Q497" s="28">
        <v>75000</v>
      </c>
      <c r="R497" s="36">
        <v>0</v>
      </c>
      <c r="S497" s="37">
        <v>0</v>
      </c>
      <c r="T497" s="38">
        <v>0</v>
      </c>
      <c r="U497" s="27" t="s">
        <v>38</v>
      </c>
    </row>
    <row r="498" spans="1:21">
      <c r="A498" s="43"/>
      <c r="B498" s="43"/>
      <c r="C498" s="44"/>
      <c r="D498" s="45"/>
      <c r="E498" s="45"/>
      <c r="F498" s="45"/>
      <c r="H498" s="58"/>
      <c r="L498" s="43"/>
      <c r="M498" s="43"/>
      <c r="Q498" s="44"/>
      <c r="R498" s="44"/>
      <c r="S498" s="44"/>
      <c r="T498" s="44"/>
      <c r="U498" s="43"/>
    </row>
  </sheetData>
  <autoFilter ref="H512" xr:uid="{72A38388-3625-42EF-9981-88C98F09B3BA}"/>
  <hyperlinks>
    <hyperlink ref="B307" r:id="rId1" xr:uid="{97804734-8CEE-4E3B-B551-A8A93D4F200E}"/>
    <hyperlink ref="B309" r:id="rId2" xr:uid="{3F671E01-00D4-4F13-A8E7-4CA0FDCF102C}"/>
    <hyperlink ref="B310" r:id="rId3" xr:uid="{E6492882-C88C-4BAC-A2F8-B9C7464C2252}"/>
    <hyperlink ref="B311" r:id="rId4" xr:uid="{0E857F93-D156-499A-A269-4755B23348DB}"/>
    <hyperlink ref="B298" r:id="rId5" xr:uid="{832F3D27-7A93-4B4E-A50A-79BF3B4C27BA}"/>
    <hyperlink ref="B299" r:id="rId6" xr:uid="{84A9A130-A067-417A-A145-75E04939D513}"/>
    <hyperlink ref="B303" r:id="rId7" xr:uid="{8254C8C1-8119-46DE-8738-1B097801923C}"/>
    <hyperlink ref="B302" r:id="rId8" xr:uid="{75C36B6C-33A5-4504-A613-144574AFD0BC}"/>
    <hyperlink ref="B305" r:id="rId9" xr:uid="{1DDF4FAE-4626-43E2-A82F-DC405373B183}"/>
    <hyperlink ref="B300" r:id="rId10" xr:uid="{B59AD82B-614D-404F-A1B6-61B8FB427AE4}"/>
    <hyperlink ref="B306" r:id="rId11" xr:uid="{16D987BB-F61B-44FC-B034-D77E897ED540}"/>
    <hyperlink ref="B301" r:id="rId12" xr:uid="{5A2D1A3C-4BD8-4E69-B89A-A017572D4E67}"/>
    <hyperlink ref="B308" r:id="rId13" xr:uid="{9604435F-609C-408F-871A-A127544D77B3}"/>
    <hyperlink ref="B326" r:id="rId14" xr:uid="{B5941B1B-0D4A-4E31-BD87-CF1D57BA9FC8}"/>
    <hyperlink ref="B108" r:id="rId15" xr:uid="{33997E67-E6D8-4A9A-85E8-5CF58995DD9F}"/>
    <hyperlink ref="B109" r:id="rId16" xr:uid="{2CE15C1F-BF65-4F94-B0EF-999815951825}"/>
    <hyperlink ref="B296" r:id="rId17" xr:uid="{FAA74955-61A9-4A58-8184-69DDAE79032D}"/>
    <hyperlink ref="B330" r:id="rId18" xr:uid="{ED9AAE62-BA92-465A-9D75-7D9FA79924E3}"/>
    <hyperlink ref="B387" r:id="rId19" xr:uid="{BFA1111F-B2AA-43FB-B20E-AF4308C5A63B}"/>
    <hyperlink ref="B383" r:id="rId20" xr:uid="{6B257B6D-6B1A-480C-8211-48EC0C293E8C}"/>
    <hyperlink ref="B419" r:id="rId21" xr:uid="{EAB62CC1-7A4B-4DAD-A952-4EB6362B9224}"/>
    <hyperlink ref="B420" r:id="rId22" xr:uid="{1E9BCFA8-017C-466E-A8B9-D08614BD4498}"/>
    <hyperlink ref="B430" r:id="rId23" xr:uid="{C336DDEF-C5C8-42DD-AA67-8CF330DF73D0}"/>
    <hyperlink ref="B431" r:id="rId24" xr:uid="{BEE76EE0-E08A-4347-AD83-05805CDC211B}"/>
    <hyperlink ref="B432" r:id="rId25" xr:uid="{1AABA994-33D3-4F44-8ECB-309EDACB246A}"/>
    <hyperlink ref="B445" r:id="rId26" xr:uid="{CB94F27D-8123-4353-8D37-8DF157404882}"/>
    <hyperlink ref="B485" r:id="rId27" xr:uid="{4340AED6-E635-4DD4-AC0D-AE5945979CA7}"/>
    <hyperlink ref="B391" r:id="rId28" xr:uid="{90943088-B274-4DF0-9BC3-AD3300486876}"/>
    <hyperlink ref="B379" r:id="rId29" xr:uid="{5B3744CE-B585-4576-BAD2-DC3C1950F1A2}"/>
    <hyperlink ref="B382" r:id="rId30" xr:uid="{9FD7709E-8A8A-403D-94F8-C8BB9384DD88}"/>
    <hyperlink ref="B376" r:id="rId31" xr:uid="{3D9E8E73-26A2-4752-992A-2E3F58704C23}"/>
    <hyperlink ref="B384" r:id="rId32" xr:uid="{0CC091ED-C878-4CB5-B532-F0A01FE08887}"/>
    <hyperlink ref="B232" r:id="rId33" xr:uid="{32F61E72-51FB-4CD2-B6A0-0B9557A00941}"/>
    <hyperlink ref="B26" r:id="rId34" xr:uid="{6D2E47FF-6383-4E6C-B023-6227CEF95BE9}"/>
    <hyperlink ref="B41" r:id="rId35" xr:uid="{DE4FB85E-4CED-4613-B8EC-96D649F6AC65}"/>
    <hyperlink ref="B92" r:id="rId36" xr:uid="{7B0A2972-848A-4468-9F27-34D51E81853E}"/>
    <hyperlink ref="B120" r:id="rId37" xr:uid="{C3F2FC59-5557-4258-A92C-CEF6A6BAF91F}"/>
    <hyperlink ref="B131" r:id="rId38" xr:uid="{EAB53AAE-1BE6-4F6C-B3E7-AED390C3D1A6}"/>
    <hyperlink ref="B168" r:id="rId39" xr:uid="{7BF35BBD-034F-4A87-BA76-B633D976680D}"/>
    <hyperlink ref="B170" r:id="rId40" xr:uid="{FC0C09FC-A610-4F41-A6AD-B517FF9318E2}"/>
    <hyperlink ref="B220" r:id="rId41" xr:uid="{B5A19890-6E6F-4AC6-89B3-6EA02C93F2F7}"/>
    <hyperlink ref="B224" r:id="rId42" xr:uid="{AC610D46-A5EF-460D-8E37-E96B5E8B8A99}"/>
    <hyperlink ref="B264" r:id="rId43" xr:uid="{110C9CD9-FF4E-4AD2-8B4F-B14F8BEF7454}"/>
    <hyperlink ref="B304" r:id="rId44" xr:uid="{720CBA23-8062-4A0F-BD15-5B862EF6C0CF}"/>
    <hyperlink ref="B313" r:id="rId45" xr:uid="{1F9F881F-E4C9-4BCD-BBC5-5A417D28604B}"/>
    <hyperlink ref="B327" r:id="rId46" xr:uid="{93B3F851-5C4B-4D5E-BD9B-DF54B65FC095}"/>
    <hyperlink ref="B386" r:id="rId47" xr:uid="{8B9755B9-968E-401E-BF0F-05ED87BC65DA}"/>
    <hyperlink ref="B401" r:id="rId48" xr:uid="{9910A2DE-A8D0-4F7E-9A21-9EADBB5D79F5}"/>
  </hyperlinks>
  <pageMargins left="0.7" right="0.7" top="0.75" bottom="0.75" header="0.3" footer="0.3"/>
  <tableParts count="1">
    <tablePart r:id="rId49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9F3B-80BE-4F33-8AF3-05D6E1F98E80}">
  <dimension ref="A1:K524"/>
  <sheetViews>
    <sheetView zoomScale="115" zoomScaleNormal="115" workbookViewId="0">
      <selection activeCell="C491" sqref="C491"/>
    </sheetView>
  </sheetViews>
  <sheetFormatPr defaultColWidth="8.81640625" defaultRowHeight="14.5"/>
  <cols>
    <col min="1" max="1" width="17.453125" style="5" customWidth="1"/>
    <col min="2" max="2" width="47.453125" style="5" customWidth="1"/>
    <col min="3" max="3" width="16.81640625" style="6" bestFit="1" customWidth="1"/>
    <col min="4" max="4" width="8.1796875" style="7" customWidth="1"/>
    <col min="5" max="5" width="7.1796875" style="7" customWidth="1"/>
    <col min="6" max="6" width="8.81640625" style="7" customWidth="1"/>
    <col min="7" max="7" width="14" style="5" customWidth="1"/>
    <col min="8" max="8" width="11.453125" style="5" customWidth="1"/>
    <col min="9" max="9" width="18.81640625" style="5" customWidth="1"/>
    <col min="10" max="10" width="21.453125" style="5" customWidth="1"/>
    <col min="11" max="11" width="16.1796875" style="5" customWidth="1"/>
  </cols>
  <sheetData>
    <row r="1" spans="1:11">
      <c r="A1" s="1" t="s">
        <v>137</v>
      </c>
      <c r="B1" s="1" t="s">
        <v>138</v>
      </c>
      <c r="C1" s="2" t="s">
        <v>139</v>
      </c>
      <c r="D1" s="3" t="s">
        <v>140</v>
      </c>
      <c r="E1" s="3" t="s">
        <v>141</v>
      </c>
      <c r="F1" s="3" t="s">
        <v>142</v>
      </c>
      <c r="G1" s="1" t="s">
        <v>143</v>
      </c>
      <c r="H1" s="4" t="s">
        <v>710</v>
      </c>
      <c r="I1" s="1" t="s">
        <v>145</v>
      </c>
      <c r="J1" s="1" t="s">
        <v>146</v>
      </c>
      <c r="K1" s="1" t="s">
        <v>147</v>
      </c>
    </row>
    <row r="2" spans="1:11">
      <c r="A2" s="5" t="s">
        <v>94</v>
      </c>
      <c r="B2" s="5" t="s">
        <v>157</v>
      </c>
      <c r="C2" s="6">
        <v>696000</v>
      </c>
      <c r="D2" s="7">
        <v>0.26</v>
      </c>
      <c r="E2" s="7">
        <v>0.12</v>
      </c>
      <c r="F2" s="7">
        <v>0.12</v>
      </c>
      <c r="G2" s="5">
        <v>42</v>
      </c>
      <c r="I2" s="5" t="b">
        <v>1</v>
      </c>
      <c r="J2" s="5" t="b">
        <v>1</v>
      </c>
      <c r="K2" s="5" t="b">
        <v>1</v>
      </c>
    </row>
    <row r="3" spans="1:11">
      <c r="A3" s="5" t="s">
        <v>94</v>
      </c>
      <c r="B3" s="5" t="s">
        <v>159</v>
      </c>
      <c r="C3" s="6">
        <v>1470000</v>
      </c>
      <c r="D3" s="7">
        <v>0.28570000000000001</v>
      </c>
      <c r="E3" s="7">
        <v>0.1429</v>
      </c>
      <c r="F3" s="7">
        <v>0.1429</v>
      </c>
      <c r="G3" s="5">
        <v>42</v>
      </c>
      <c r="I3" s="5" t="b">
        <v>1</v>
      </c>
      <c r="J3" s="5" t="b">
        <v>1</v>
      </c>
      <c r="K3" s="5" t="b">
        <v>1</v>
      </c>
    </row>
    <row r="4" spans="1:11">
      <c r="A4" s="5" t="s">
        <v>94</v>
      </c>
      <c r="B4" s="5" t="s">
        <v>160</v>
      </c>
      <c r="C4" s="6">
        <v>1672276.38</v>
      </c>
      <c r="D4" s="7">
        <v>0.16669999999999999</v>
      </c>
      <c r="E4" s="7">
        <v>0.16669999999999999</v>
      </c>
      <c r="F4" s="7">
        <v>0.16669999999999999</v>
      </c>
      <c r="G4" s="5">
        <v>30</v>
      </c>
      <c r="I4" s="5" t="b">
        <v>0</v>
      </c>
      <c r="J4" s="5" t="b">
        <v>1</v>
      </c>
      <c r="K4" s="5" t="b">
        <v>1</v>
      </c>
    </row>
    <row r="5" spans="1:11">
      <c r="A5" s="5" t="s">
        <v>94</v>
      </c>
      <c r="B5" s="5" t="s">
        <v>161</v>
      </c>
      <c r="C5" s="6">
        <v>418069.1</v>
      </c>
      <c r="D5" s="7">
        <v>0</v>
      </c>
      <c r="E5" s="7">
        <v>0</v>
      </c>
      <c r="F5" s="7">
        <v>0</v>
      </c>
      <c r="G5" s="5">
        <v>1</v>
      </c>
      <c r="I5" s="5" t="b">
        <v>1</v>
      </c>
      <c r="J5" s="5" t="b">
        <v>1</v>
      </c>
      <c r="K5" s="5" t="b">
        <v>1</v>
      </c>
    </row>
    <row r="6" spans="1:11">
      <c r="A6" s="5" t="s">
        <v>94</v>
      </c>
      <c r="B6" s="5" t="s">
        <v>162</v>
      </c>
      <c r="C6" s="6">
        <v>4100000</v>
      </c>
      <c r="D6" s="7">
        <v>0.25</v>
      </c>
      <c r="E6" s="7">
        <v>0.18</v>
      </c>
      <c r="F6" s="7">
        <v>0.18</v>
      </c>
      <c r="G6" s="5">
        <v>122</v>
      </c>
      <c r="I6" s="5" t="b">
        <v>1</v>
      </c>
      <c r="J6" s="5" t="b">
        <v>1</v>
      </c>
      <c r="K6" s="5" t="b">
        <v>1</v>
      </c>
    </row>
    <row r="7" spans="1:11">
      <c r="A7" s="5" t="s">
        <v>94</v>
      </c>
      <c r="B7" s="5" t="s">
        <v>163</v>
      </c>
      <c r="C7" s="6">
        <v>300000</v>
      </c>
      <c r="D7" s="7">
        <v>0.27800000000000002</v>
      </c>
      <c r="E7" s="7">
        <v>0.111</v>
      </c>
      <c r="F7" s="7">
        <v>5.6000000000000008E-2</v>
      </c>
      <c r="G7" s="5">
        <v>18</v>
      </c>
      <c r="I7" s="5" t="b">
        <v>1</v>
      </c>
      <c r="J7" s="5" t="b">
        <v>1</v>
      </c>
      <c r="K7" s="5" t="b">
        <v>1</v>
      </c>
    </row>
    <row r="8" spans="1:11">
      <c r="A8" s="5" t="s">
        <v>94</v>
      </c>
      <c r="B8" s="5" t="s">
        <v>164</v>
      </c>
      <c r="C8" s="6">
        <v>200000</v>
      </c>
      <c r="D8" s="7">
        <v>0.5</v>
      </c>
      <c r="E8" s="7">
        <v>0</v>
      </c>
      <c r="F8" s="7">
        <v>0</v>
      </c>
      <c r="G8" s="5">
        <v>10</v>
      </c>
      <c r="I8" s="5" t="b">
        <v>1</v>
      </c>
      <c r="J8" s="5" t="b">
        <v>0</v>
      </c>
      <c r="K8" s="5" t="b">
        <v>0</v>
      </c>
    </row>
    <row r="9" spans="1:11">
      <c r="A9" s="5" t="s">
        <v>94</v>
      </c>
      <c r="B9" s="5" t="s">
        <v>165</v>
      </c>
      <c r="C9" s="6">
        <v>2500000</v>
      </c>
      <c r="D9" s="7">
        <v>0.307</v>
      </c>
      <c r="E9" s="7">
        <v>0.15379999999999999</v>
      </c>
      <c r="F9" s="7">
        <v>7.6899999999999996E-2</v>
      </c>
      <c r="G9" s="5">
        <v>13</v>
      </c>
      <c r="I9" s="5" t="b">
        <v>1</v>
      </c>
      <c r="J9" s="5" t="b">
        <v>1</v>
      </c>
      <c r="K9" s="5" t="b">
        <v>1</v>
      </c>
    </row>
    <row r="10" spans="1:11">
      <c r="A10" s="5" t="s">
        <v>94</v>
      </c>
      <c r="B10" s="5" t="s">
        <v>166</v>
      </c>
      <c r="C10" s="6">
        <v>900000</v>
      </c>
      <c r="D10" s="7">
        <v>0.2</v>
      </c>
      <c r="E10" s="7">
        <v>0.2</v>
      </c>
      <c r="F10" s="7">
        <v>0.2</v>
      </c>
      <c r="G10" s="5">
        <v>60</v>
      </c>
      <c r="I10" s="5" t="b">
        <v>0</v>
      </c>
      <c r="J10" s="5" t="b">
        <v>1</v>
      </c>
      <c r="K10" s="5" t="b">
        <v>1</v>
      </c>
    </row>
    <row r="11" spans="1:11">
      <c r="A11" s="5" t="s">
        <v>94</v>
      </c>
      <c r="B11" s="5" t="s">
        <v>167</v>
      </c>
      <c r="C11" s="6">
        <v>1200000</v>
      </c>
      <c r="D11" s="7">
        <v>0</v>
      </c>
      <c r="E11" s="7">
        <v>1</v>
      </c>
      <c r="F11" s="7">
        <v>0.15</v>
      </c>
      <c r="G11" s="5">
        <v>80</v>
      </c>
      <c r="H11" s="5" t="s">
        <v>168</v>
      </c>
      <c r="I11" s="5" t="b">
        <v>1</v>
      </c>
      <c r="J11" s="5" t="b">
        <v>1</v>
      </c>
      <c r="K11" s="5" t="b">
        <v>1</v>
      </c>
    </row>
    <row r="12" spans="1:11">
      <c r="A12" s="5" t="s">
        <v>94</v>
      </c>
      <c r="B12" s="5" t="s">
        <v>169</v>
      </c>
      <c r="C12" s="6">
        <v>1098000</v>
      </c>
      <c r="D12" s="7">
        <v>0.26229999999999998</v>
      </c>
      <c r="E12" s="7">
        <v>0.14749999999999999</v>
      </c>
      <c r="F12" s="7">
        <v>0.1148</v>
      </c>
      <c r="G12" s="5">
        <v>61</v>
      </c>
      <c r="I12" s="5" t="b">
        <v>1</v>
      </c>
      <c r="J12" s="5" t="b">
        <v>1</v>
      </c>
      <c r="K12" s="5" t="b">
        <v>1</v>
      </c>
    </row>
    <row r="13" spans="1:11">
      <c r="A13" s="5" t="s">
        <v>97</v>
      </c>
      <c r="B13" s="5" t="s">
        <v>170</v>
      </c>
      <c r="C13" s="6">
        <v>2616000</v>
      </c>
      <c r="D13" s="7">
        <v>0.25</v>
      </c>
      <c r="E13" s="7">
        <v>8.3299999999999999E-2</v>
      </c>
      <c r="F13" s="7">
        <v>4.1700000000000001E-2</v>
      </c>
      <c r="G13" s="5">
        <v>24</v>
      </c>
      <c r="I13" s="5" t="b">
        <v>1</v>
      </c>
      <c r="J13" s="5" t="b">
        <v>1</v>
      </c>
      <c r="K13" s="5" t="b">
        <v>1</v>
      </c>
    </row>
    <row r="14" spans="1:11">
      <c r="A14" s="5" t="s">
        <v>97</v>
      </c>
      <c r="B14" s="5" t="s">
        <v>172</v>
      </c>
      <c r="C14" s="6">
        <v>653000</v>
      </c>
      <c r="D14" s="7">
        <v>0</v>
      </c>
      <c r="E14" s="7">
        <v>0</v>
      </c>
      <c r="F14" s="7">
        <v>0</v>
      </c>
      <c r="G14" s="5">
        <v>2</v>
      </c>
      <c r="I14" s="5" t="b">
        <v>0</v>
      </c>
      <c r="J14" s="5" t="b">
        <v>1</v>
      </c>
      <c r="K14" s="5" t="b">
        <v>1</v>
      </c>
    </row>
    <row r="15" spans="1:11">
      <c r="A15" s="5" t="s">
        <v>97</v>
      </c>
      <c r="B15" s="5" t="s">
        <v>173</v>
      </c>
      <c r="C15" s="6">
        <v>900000</v>
      </c>
      <c r="D15" s="7">
        <v>0.25640000000000002</v>
      </c>
      <c r="E15" s="7">
        <v>7.6899999999999996E-2</v>
      </c>
      <c r="F15" s="7">
        <v>5.1299999999999998E-2</v>
      </c>
      <c r="G15" s="5">
        <v>39</v>
      </c>
      <c r="I15" s="5" t="b">
        <v>1</v>
      </c>
      <c r="J15" s="5" t="b">
        <v>0</v>
      </c>
      <c r="K15" s="5" t="b">
        <v>1</v>
      </c>
    </row>
    <row r="16" spans="1:11">
      <c r="A16" s="5" t="s">
        <v>97</v>
      </c>
      <c r="B16" s="5" t="s">
        <v>174</v>
      </c>
      <c r="C16" s="6">
        <v>1100000</v>
      </c>
      <c r="D16" s="7">
        <v>0.25</v>
      </c>
      <c r="E16" s="7">
        <v>0.125</v>
      </c>
      <c r="F16" s="7">
        <v>0.125</v>
      </c>
      <c r="G16" s="5">
        <v>16</v>
      </c>
      <c r="I16" s="5" t="b">
        <v>1</v>
      </c>
      <c r="J16" s="5" t="b">
        <v>1</v>
      </c>
      <c r="K16" s="5" t="b">
        <v>1</v>
      </c>
    </row>
    <row r="17" spans="1:11">
      <c r="A17" s="5" t="s">
        <v>97</v>
      </c>
      <c r="B17" s="5" t="s">
        <v>175</v>
      </c>
      <c r="C17" s="6">
        <v>400000</v>
      </c>
      <c r="D17" s="7">
        <v>0.26319999999999999</v>
      </c>
      <c r="E17" s="7">
        <v>0.1053</v>
      </c>
      <c r="F17" s="7">
        <v>7.0199999999999999E-2</v>
      </c>
      <c r="G17" s="5">
        <v>57</v>
      </c>
      <c r="I17" s="5" t="b">
        <v>1</v>
      </c>
      <c r="J17" s="5" t="b">
        <v>1</v>
      </c>
      <c r="K17" s="5" t="b">
        <v>1</v>
      </c>
    </row>
    <row r="18" spans="1:11">
      <c r="A18" s="5" t="s">
        <v>97</v>
      </c>
      <c r="B18" s="5" t="s">
        <v>176</v>
      </c>
      <c r="C18" s="6">
        <v>200000</v>
      </c>
      <c r="D18" s="7">
        <v>0.25530000000000003</v>
      </c>
      <c r="E18" s="7">
        <v>0.1176</v>
      </c>
      <c r="F18" s="7">
        <v>5.8799999999999998E-2</v>
      </c>
      <c r="G18" s="5">
        <v>17</v>
      </c>
      <c r="I18" s="5" t="b">
        <v>1</v>
      </c>
      <c r="J18" s="5" t="b">
        <v>1</v>
      </c>
      <c r="K18" s="5" t="b">
        <v>1</v>
      </c>
    </row>
    <row r="19" spans="1:11">
      <c r="A19" s="5" t="s">
        <v>97</v>
      </c>
      <c r="B19" s="5" t="s">
        <v>177</v>
      </c>
      <c r="C19" s="6">
        <v>200000</v>
      </c>
      <c r="D19" s="7">
        <v>0.21429999999999999</v>
      </c>
      <c r="E19" s="7">
        <v>7.1400000000000005E-2</v>
      </c>
      <c r="F19" s="7">
        <v>7.1400000000000005E-2</v>
      </c>
      <c r="G19" s="5">
        <v>14</v>
      </c>
      <c r="I19" s="5" t="b">
        <v>1</v>
      </c>
      <c r="J19" s="5" t="b">
        <v>1</v>
      </c>
      <c r="K19" s="5" t="b">
        <v>1</v>
      </c>
    </row>
    <row r="20" spans="1:11">
      <c r="A20" s="5" t="s">
        <v>97</v>
      </c>
      <c r="B20" s="5" t="s">
        <v>178</v>
      </c>
      <c r="C20" s="6">
        <v>900000</v>
      </c>
      <c r="D20" s="7">
        <v>0.25640000000000002</v>
      </c>
      <c r="E20" s="7">
        <v>0.1026</v>
      </c>
      <c r="F20" s="7">
        <v>7.6899999999999996E-2</v>
      </c>
      <c r="G20" s="5">
        <v>39</v>
      </c>
      <c r="I20" s="5" t="b">
        <v>1</v>
      </c>
      <c r="J20" s="5" t="b">
        <v>1</v>
      </c>
      <c r="K20" s="5" t="b">
        <v>1</v>
      </c>
    </row>
    <row r="21" spans="1:11">
      <c r="A21" s="5" t="s">
        <v>97</v>
      </c>
      <c r="B21" s="5" t="s">
        <v>179</v>
      </c>
      <c r="C21" s="6">
        <v>200000</v>
      </c>
      <c r="D21" s="7">
        <v>0.25</v>
      </c>
      <c r="E21" s="7">
        <v>0.1</v>
      </c>
      <c r="F21" s="7">
        <v>7.4999999999999997E-2</v>
      </c>
      <c r="G21" s="5">
        <v>40</v>
      </c>
      <c r="I21" s="5" t="b">
        <v>1</v>
      </c>
      <c r="J21" s="5" t="b">
        <v>1</v>
      </c>
      <c r="K21" s="5" t="b">
        <v>1</v>
      </c>
    </row>
    <row r="22" spans="1:11">
      <c r="A22" s="5" t="s">
        <v>97</v>
      </c>
      <c r="B22" s="5" t="s">
        <v>180</v>
      </c>
      <c r="C22" s="6">
        <v>900000</v>
      </c>
      <c r="D22" s="7">
        <v>0.28000000000000003</v>
      </c>
      <c r="E22" s="7">
        <v>0.125</v>
      </c>
      <c r="F22" s="7">
        <v>0.1</v>
      </c>
      <c r="G22" s="5">
        <v>50</v>
      </c>
      <c r="I22" s="5" t="b">
        <v>1</v>
      </c>
      <c r="J22" s="5" t="b">
        <v>1</v>
      </c>
      <c r="K22" s="5" t="b">
        <v>1</v>
      </c>
    </row>
    <row r="23" spans="1:11">
      <c r="A23" s="5" t="s">
        <v>97</v>
      </c>
      <c r="B23" s="5" t="s">
        <v>181</v>
      </c>
      <c r="C23" s="6">
        <v>1398000</v>
      </c>
      <c r="D23" s="7">
        <v>0.24099999999999999</v>
      </c>
      <c r="E23" s="7">
        <v>0.1084</v>
      </c>
      <c r="F23" s="7">
        <v>6.0199999999999997E-2</v>
      </c>
      <c r="G23" s="5">
        <v>83</v>
      </c>
      <c r="I23" s="5" t="b">
        <v>1</v>
      </c>
      <c r="J23" s="5" t="b">
        <v>1</v>
      </c>
      <c r="K23" s="5" t="b">
        <v>1</v>
      </c>
    </row>
    <row r="24" spans="1:11">
      <c r="A24" s="5" t="s">
        <v>97</v>
      </c>
      <c r="B24" s="5" t="s">
        <v>182</v>
      </c>
      <c r="C24" s="6">
        <v>1010000</v>
      </c>
      <c r="D24" s="7">
        <v>0.2571</v>
      </c>
      <c r="E24" s="7">
        <v>0.1</v>
      </c>
      <c r="F24" s="7">
        <v>7.1400000000000005E-2</v>
      </c>
      <c r="G24" s="5">
        <v>70</v>
      </c>
      <c r="I24" s="5" t="b">
        <v>1</v>
      </c>
      <c r="J24" s="5" t="b">
        <v>1</v>
      </c>
      <c r="K24" s="5" t="b">
        <v>1</v>
      </c>
    </row>
    <row r="25" spans="1:11">
      <c r="A25" s="5" t="s">
        <v>97</v>
      </c>
      <c r="B25" s="5" t="s">
        <v>184</v>
      </c>
      <c r="C25" s="6">
        <v>1780000</v>
      </c>
      <c r="D25" s="7">
        <v>0.253</v>
      </c>
      <c r="E25" s="7">
        <v>9.64E-2</v>
      </c>
      <c r="F25" s="7">
        <v>6.0199999999999997E-2</v>
      </c>
      <c r="G25" s="5">
        <v>83</v>
      </c>
      <c r="I25" s="5" t="b">
        <v>1</v>
      </c>
      <c r="J25" s="5" t="b">
        <v>1</v>
      </c>
      <c r="K25" s="5" t="b">
        <v>1</v>
      </c>
    </row>
    <row r="26" spans="1:11">
      <c r="A26" s="5" t="s">
        <v>97</v>
      </c>
      <c r="B26" s="5" t="s">
        <v>711</v>
      </c>
      <c r="C26" s="6">
        <v>1800000</v>
      </c>
      <c r="D26" s="7">
        <v>0.26669999999999999</v>
      </c>
      <c r="E26" s="7">
        <v>0.1</v>
      </c>
      <c r="F26" s="7">
        <v>6.6699999999999995E-2</v>
      </c>
      <c r="G26" s="5">
        <v>90</v>
      </c>
      <c r="I26" s="5" t="b">
        <v>1</v>
      </c>
      <c r="J26" s="5" t="b">
        <v>1</v>
      </c>
      <c r="K26" s="5" t="b">
        <v>1</v>
      </c>
    </row>
    <row r="27" spans="1:11">
      <c r="A27" s="5" t="s">
        <v>97</v>
      </c>
      <c r="B27" s="5" t="s">
        <v>186</v>
      </c>
      <c r="C27" s="6">
        <v>1039700</v>
      </c>
      <c r="D27" s="7">
        <v>0.24099999999999999</v>
      </c>
      <c r="E27" s="7">
        <v>0.1084</v>
      </c>
      <c r="F27" s="7">
        <v>9.64E-2</v>
      </c>
      <c r="G27" s="5">
        <v>83</v>
      </c>
      <c r="I27" s="5" t="b">
        <v>1</v>
      </c>
      <c r="J27" s="5" t="b">
        <v>1</v>
      </c>
      <c r="K27" s="5" t="b">
        <v>1</v>
      </c>
    </row>
    <row r="28" spans="1:11">
      <c r="A28" s="5" t="s">
        <v>97</v>
      </c>
      <c r="B28" s="5" t="s">
        <v>187</v>
      </c>
      <c r="C28" s="6">
        <v>2000000</v>
      </c>
      <c r="D28" s="7">
        <v>0.2407</v>
      </c>
      <c r="E28" s="7">
        <v>9.2600000000000002E-2</v>
      </c>
      <c r="F28" s="7">
        <v>5.5599999999999997E-2</v>
      </c>
      <c r="G28" s="5">
        <v>54</v>
      </c>
      <c r="I28" s="5" t="b">
        <v>1</v>
      </c>
      <c r="J28" s="5" t="b">
        <v>1</v>
      </c>
      <c r="K28" s="5" t="b">
        <v>1</v>
      </c>
    </row>
    <row r="29" spans="1:11">
      <c r="A29" s="5" t="s">
        <v>97</v>
      </c>
      <c r="B29" s="5" t="s">
        <v>188</v>
      </c>
      <c r="C29" s="6">
        <v>2300000</v>
      </c>
      <c r="D29" s="7">
        <v>0.2485</v>
      </c>
      <c r="E29" s="7">
        <v>9.7000000000000017E-2</v>
      </c>
      <c r="F29" s="7">
        <v>4.24E-2</v>
      </c>
      <c r="G29" s="5">
        <v>165</v>
      </c>
      <c r="I29" s="5" t="b">
        <v>1</v>
      </c>
      <c r="J29" s="5" t="b">
        <v>1</v>
      </c>
      <c r="K29" s="5" t="b">
        <v>0</v>
      </c>
    </row>
    <row r="30" spans="1:11">
      <c r="A30" s="5" t="s">
        <v>97</v>
      </c>
      <c r="B30" s="5" t="s">
        <v>189</v>
      </c>
      <c r="C30" s="6">
        <v>1000000</v>
      </c>
      <c r="D30" s="7">
        <v>0.2545</v>
      </c>
      <c r="E30" s="7">
        <v>9.0899999999999995E-2</v>
      </c>
      <c r="F30" s="7">
        <v>5.45E-2</v>
      </c>
      <c r="G30" s="5">
        <v>55</v>
      </c>
      <c r="I30" s="5" t="b">
        <v>1</v>
      </c>
      <c r="J30" s="5" t="b">
        <v>0</v>
      </c>
      <c r="K30" s="5" t="b">
        <v>1</v>
      </c>
    </row>
    <row r="31" spans="1:11">
      <c r="A31" s="5" t="s">
        <v>97</v>
      </c>
      <c r="B31" s="5" t="s">
        <v>190</v>
      </c>
      <c r="C31" s="6">
        <v>1000000</v>
      </c>
      <c r="D31" s="7">
        <v>0.23530000000000001</v>
      </c>
      <c r="E31" s="7">
        <v>8.8200000000000001E-2</v>
      </c>
      <c r="F31" s="7">
        <v>5.8799999999999998E-2</v>
      </c>
      <c r="G31" s="5">
        <v>34</v>
      </c>
      <c r="I31" s="5" t="b">
        <v>1</v>
      </c>
      <c r="J31" s="5" t="b">
        <v>1</v>
      </c>
      <c r="K31" s="5" t="b">
        <v>1</v>
      </c>
    </row>
    <row r="32" spans="1:11">
      <c r="A32" s="5" t="s">
        <v>97</v>
      </c>
      <c r="B32" s="5" t="s">
        <v>191</v>
      </c>
      <c r="C32" s="6">
        <v>1200000</v>
      </c>
      <c r="D32" s="7">
        <v>0.2535</v>
      </c>
      <c r="E32" s="7">
        <v>9.8599999999999993E-2</v>
      </c>
      <c r="F32" s="7">
        <v>4.2299999999999997E-2</v>
      </c>
      <c r="G32" s="5">
        <v>71</v>
      </c>
      <c r="I32" s="5" t="b">
        <v>1</v>
      </c>
      <c r="J32" s="5" t="b">
        <v>1</v>
      </c>
      <c r="K32" s="5" t="b">
        <v>0</v>
      </c>
    </row>
    <row r="33" spans="1:11">
      <c r="A33" s="5" t="s">
        <v>97</v>
      </c>
      <c r="B33" s="5" t="s">
        <v>192</v>
      </c>
      <c r="C33" s="6">
        <v>300000</v>
      </c>
      <c r="D33" s="7">
        <v>0.26</v>
      </c>
      <c r="E33" s="7">
        <v>0.1</v>
      </c>
      <c r="F33" s="7">
        <v>0.06</v>
      </c>
      <c r="G33" s="5">
        <v>50</v>
      </c>
      <c r="I33" s="5" t="b">
        <v>1</v>
      </c>
      <c r="J33" s="5" t="b">
        <v>1</v>
      </c>
      <c r="K33" s="5" t="b">
        <v>1</v>
      </c>
    </row>
    <row r="34" spans="1:11">
      <c r="A34" s="5" t="s">
        <v>97</v>
      </c>
      <c r="B34" s="5" t="s">
        <v>193</v>
      </c>
      <c r="C34" s="6">
        <v>300000</v>
      </c>
      <c r="D34" s="7">
        <v>0.25</v>
      </c>
      <c r="E34" s="7">
        <v>0.1</v>
      </c>
      <c r="F34" s="7">
        <v>0.05</v>
      </c>
      <c r="G34" s="5">
        <v>20</v>
      </c>
      <c r="I34" s="5" t="b">
        <v>1</v>
      </c>
      <c r="J34" s="5" t="b">
        <v>1</v>
      </c>
      <c r="K34" s="5" t="b">
        <v>1</v>
      </c>
    </row>
    <row r="35" spans="1:11">
      <c r="A35" s="5" t="s">
        <v>97</v>
      </c>
      <c r="B35" s="5" t="s">
        <v>194</v>
      </c>
      <c r="C35" s="6">
        <v>260000</v>
      </c>
      <c r="D35" s="7">
        <v>0.30769999999999997</v>
      </c>
      <c r="E35" s="7">
        <v>0.15379999999999999</v>
      </c>
      <c r="F35" s="7">
        <v>7.6899999999999996E-2</v>
      </c>
      <c r="G35" s="5">
        <v>52</v>
      </c>
      <c r="I35" s="5" t="b">
        <v>1</v>
      </c>
      <c r="J35" s="5" t="b">
        <v>1</v>
      </c>
      <c r="K35" s="5" t="b">
        <v>1</v>
      </c>
    </row>
    <row r="36" spans="1:11">
      <c r="A36" s="5" t="s">
        <v>97</v>
      </c>
      <c r="B36" s="5" t="s">
        <v>195</v>
      </c>
      <c r="C36" s="6">
        <v>2160000</v>
      </c>
      <c r="D36" s="7">
        <v>0.25</v>
      </c>
      <c r="E36" s="7">
        <v>0.1</v>
      </c>
      <c r="F36" s="7">
        <v>0.05</v>
      </c>
      <c r="G36" s="5">
        <v>60</v>
      </c>
      <c r="I36" s="5" t="b">
        <v>1</v>
      </c>
      <c r="J36" s="5" t="b">
        <v>1</v>
      </c>
      <c r="K36" s="5" t="b">
        <v>1</v>
      </c>
    </row>
    <row r="37" spans="1:11">
      <c r="A37" s="5" t="s">
        <v>98</v>
      </c>
      <c r="B37" s="5" t="s">
        <v>196</v>
      </c>
      <c r="C37" s="6">
        <v>2116800</v>
      </c>
      <c r="D37" s="7">
        <v>0.25</v>
      </c>
      <c r="E37" s="7">
        <v>0.1</v>
      </c>
      <c r="F37" s="7">
        <v>0.05</v>
      </c>
      <c r="G37" s="5">
        <v>22</v>
      </c>
      <c r="I37" s="5" t="b">
        <v>1</v>
      </c>
      <c r="J37" s="5" t="b">
        <v>1</v>
      </c>
      <c r="K37" s="5" t="b">
        <v>1</v>
      </c>
    </row>
    <row r="38" spans="1:11">
      <c r="A38" s="5" t="s">
        <v>98</v>
      </c>
      <c r="B38" s="5" t="s">
        <v>198</v>
      </c>
      <c r="C38" s="6">
        <v>2400000</v>
      </c>
      <c r="D38" s="7">
        <v>0.2571</v>
      </c>
      <c r="E38" s="7">
        <v>0.1143</v>
      </c>
      <c r="F38" s="7">
        <v>8.5699999999999998E-2</v>
      </c>
      <c r="G38" s="5">
        <v>35</v>
      </c>
      <c r="I38" s="5" t="b">
        <v>1</v>
      </c>
      <c r="J38" s="5" t="b">
        <v>1</v>
      </c>
      <c r="K38" s="5" t="b">
        <v>1</v>
      </c>
    </row>
    <row r="39" spans="1:11">
      <c r="A39" s="5" t="s">
        <v>98</v>
      </c>
      <c r="B39" s="5" t="s">
        <v>199</v>
      </c>
      <c r="C39" s="6">
        <v>1050000</v>
      </c>
      <c r="D39" s="7">
        <v>0.25</v>
      </c>
      <c r="E39" s="7">
        <v>0.1</v>
      </c>
      <c r="F39" s="7">
        <v>0.05</v>
      </c>
      <c r="G39" s="5">
        <v>35</v>
      </c>
      <c r="I39" s="5" t="b">
        <v>1</v>
      </c>
      <c r="J39" s="5" t="b">
        <v>1</v>
      </c>
      <c r="K39" s="5" t="b">
        <v>1</v>
      </c>
    </row>
    <row r="40" spans="1:11">
      <c r="A40" s="5" t="s">
        <v>98</v>
      </c>
      <c r="B40" s="5" t="s">
        <v>200</v>
      </c>
      <c r="C40" s="6">
        <v>8200000</v>
      </c>
      <c r="D40" s="7">
        <v>0.25</v>
      </c>
      <c r="E40" s="7">
        <v>0.1</v>
      </c>
      <c r="F40" s="7">
        <v>0.05</v>
      </c>
      <c r="G40" s="5">
        <v>410</v>
      </c>
      <c r="I40" s="5" t="b">
        <v>1</v>
      </c>
      <c r="J40" s="5" t="b">
        <v>1</v>
      </c>
      <c r="K40" s="5" t="b">
        <v>1</v>
      </c>
    </row>
    <row r="41" spans="1:11">
      <c r="A41" s="5" t="s">
        <v>98</v>
      </c>
      <c r="B41" s="5" t="s">
        <v>712</v>
      </c>
      <c r="C41" s="6">
        <v>400000</v>
      </c>
      <c r="D41" s="7">
        <v>0.25</v>
      </c>
      <c r="E41" s="7">
        <v>0.1</v>
      </c>
      <c r="F41" s="7">
        <v>0.05</v>
      </c>
      <c r="G41" s="5">
        <v>20</v>
      </c>
      <c r="I41" s="5" t="b">
        <v>1</v>
      </c>
      <c r="J41" s="5" t="b">
        <v>1</v>
      </c>
      <c r="K41" s="5" t="b">
        <v>1</v>
      </c>
    </row>
    <row r="42" spans="1:11">
      <c r="A42" s="5" t="s">
        <v>98</v>
      </c>
      <c r="B42" s="5" t="s">
        <v>202</v>
      </c>
      <c r="C42" s="6">
        <v>2100000</v>
      </c>
      <c r="D42" s="7">
        <v>0.25</v>
      </c>
      <c r="E42" s="7">
        <v>0.1</v>
      </c>
      <c r="F42" s="7">
        <v>0.05</v>
      </c>
      <c r="G42" s="5">
        <v>210</v>
      </c>
      <c r="I42" s="5" t="b">
        <v>1</v>
      </c>
      <c r="J42" s="5" t="b">
        <v>1</v>
      </c>
      <c r="K42" s="5" t="b">
        <v>1</v>
      </c>
    </row>
    <row r="43" spans="1:11">
      <c r="A43" s="5" t="s">
        <v>99</v>
      </c>
      <c r="B43" s="5" t="s">
        <v>203</v>
      </c>
      <c r="C43" s="6">
        <v>2000000</v>
      </c>
      <c r="D43" s="7">
        <v>0.25</v>
      </c>
      <c r="E43" s="7">
        <v>0.25</v>
      </c>
      <c r="F43" s="7">
        <v>0.05</v>
      </c>
      <c r="G43" s="5">
        <v>52</v>
      </c>
      <c r="I43" s="5" t="b">
        <v>1</v>
      </c>
      <c r="J43" s="5" t="b">
        <v>1</v>
      </c>
      <c r="K43" s="5" t="b">
        <v>1</v>
      </c>
    </row>
    <row r="44" spans="1:11">
      <c r="A44" s="5" t="s">
        <v>99</v>
      </c>
      <c r="B44" s="5" t="s">
        <v>205</v>
      </c>
      <c r="C44" s="6">
        <v>2000000</v>
      </c>
      <c r="D44" s="7">
        <v>0.25</v>
      </c>
      <c r="E44" s="7">
        <v>0.25</v>
      </c>
      <c r="F44" s="7">
        <v>0.05</v>
      </c>
      <c r="G44" s="5">
        <v>44</v>
      </c>
      <c r="I44" s="5" t="b">
        <v>1</v>
      </c>
      <c r="J44" s="5" t="b">
        <v>1</v>
      </c>
      <c r="K44" s="5" t="b">
        <v>1</v>
      </c>
    </row>
    <row r="45" spans="1:11">
      <c r="A45" s="5" t="s">
        <v>99</v>
      </c>
      <c r="B45" s="5" t="s">
        <v>206</v>
      </c>
      <c r="C45" s="6">
        <v>2000000</v>
      </c>
      <c r="D45" s="7">
        <v>0.25</v>
      </c>
      <c r="E45" s="7">
        <v>0.25</v>
      </c>
      <c r="F45" s="7">
        <v>0.05</v>
      </c>
      <c r="G45" s="5">
        <v>32</v>
      </c>
      <c r="I45" s="5" t="b">
        <v>1</v>
      </c>
      <c r="J45" s="5" t="b">
        <v>1</v>
      </c>
      <c r="K45" s="5" t="b">
        <v>1</v>
      </c>
    </row>
    <row r="46" spans="1:11">
      <c r="A46" s="5" t="s">
        <v>99</v>
      </c>
      <c r="B46" s="5" t="s">
        <v>207</v>
      </c>
      <c r="C46" s="6">
        <v>2000000</v>
      </c>
      <c r="D46" s="7">
        <v>0.1905</v>
      </c>
      <c r="E46" s="7">
        <v>0.1905</v>
      </c>
      <c r="F46" s="7">
        <v>0.16669999999999999</v>
      </c>
      <c r="G46" s="5">
        <v>42</v>
      </c>
      <c r="I46" s="5" t="b">
        <v>0</v>
      </c>
      <c r="J46" s="5" t="b">
        <v>1</v>
      </c>
      <c r="K46" s="5" t="b">
        <v>1</v>
      </c>
    </row>
    <row r="47" spans="1:11">
      <c r="A47" s="5" t="s">
        <v>99</v>
      </c>
      <c r="B47" s="5" t="s">
        <v>208</v>
      </c>
      <c r="C47" s="6">
        <v>2000000</v>
      </c>
      <c r="D47" s="7">
        <v>0.25</v>
      </c>
      <c r="E47" s="7">
        <v>0.25</v>
      </c>
      <c r="F47" s="7">
        <v>0.05</v>
      </c>
      <c r="G47" s="5">
        <v>30</v>
      </c>
      <c r="I47" s="5" t="b">
        <v>1</v>
      </c>
      <c r="J47" s="5" t="b">
        <v>1</v>
      </c>
      <c r="K47" s="5" t="b">
        <v>1</v>
      </c>
    </row>
    <row r="48" spans="1:11">
      <c r="A48" s="5" t="s">
        <v>99</v>
      </c>
      <c r="B48" s="5" t="s">
        <v>209</v>
      </c>
      <c r="C48" s="6">
        <v>2000000</v>
      </c>
      <c r="D48" s="7">
        <v>0.25</v>
      </c>
      <c r="E48" s="7">
        <v>0.25</v>
      </c>
      <c r="F48" s="7">
        <v>0.05</v>
      </c>
      <c r="G48" s="5">
        <v>42</v>
      </c>
      <c r="I48" s="5" t="b">
        <v>1</v>
      </c>
      <c r="J48" s="5" t="b">
        <v>1</v>
      </c>
      <c r="K48" s="5" t="b">
        <v>1</v>
      </c>
    </row>
    <row r="49" spans="1:11">
      <c r="A49" s="5" t="s">
        <v>99</v>
      </c>
      <c r="B49" s="5" t="s">
        <v>210</v>
      </c>
      <c r="C49" s="6">
        <v>1485000</v>
      </c>
      <c r="D49" s="7">
        <v>0.25</v>
      </c>
      <c r="E49" s="7">
        <v>0.25</v>
      </c>
      <c r="F49" s="7">
        <v>0.05</v>
      </c>
      <c r="G49" s="5">
        <v>30</v>
      </c>
      <c r="I49" s="5" t="b">
        <v>1</v>
      </c>
      <c r="J49" s="5" t="b">
        <v>1</v>
      </c>
      <c r="K49" s="5" t="b">
        <v>1</v>
      </c>
    </row>
    <row r="50" spans="1:11">
      <c r="A50" s="5" t="s">
        <v>99</v>
      </c>
      <c r="B50" s="5" t="s">
        <v>211</v>
      </c>
      <c r="C50" s="6">
        <v>2000000</v>
      </c>
      <c r="D50" s="7">
        <v>0.25</v>
      </c>
      <c r="E50" s="7">
        <v>0.25</v>
      </c>
      <c r="F50" s="7">
        <v>0.05</v>
      </c>
      <c r="G50" s="5">
        <v>38</v>
      </c>
      <c r="I50" s="5" t="b">
        <v>1</v>
      </c>
      <c r="J50" s="5" t="b">
        <v>1</v>
      </c>
      <c r="K50" s="5" t="b">
        <v>1</v>
      </c>
    </row>
    <row r="51" spans="1:11">
      <c r="A51" s="5" t="s">
        <v>99</v>
      </c>
      <c r="B51" s="5" t="s">
        <v>212</v>
      </c>
      <c r="C51" s="6">
        <v>1413000</v>
      </c>
      <c r="D51" s="7">
        <v>1</v>
      </c>
      <c r="E51" s="7">
        <v>0</v>
      </c>
      <c r="F51" s="7">
        <v>0.25</v>
      </c>
      <c r="G51" s="5">
        <v>44</v>
      </c>
      <c r="H51" s="5" t="s">
        <v>213</v>
      </c>
      <c r="I51" s="5" t="b">
        <v>1</v>
      </c>
      <c r="J51" s="5" t="b">
        <v>1</v>
      </c>
      <c r="K51" s="5" t="b">
        <v>1</v>
      </c>
    </row>
    <row r="52" spans="1:11">
      <c r="A52" s="5" t="s">
        <v>99</v>
      </c>
      <c r="B52" s="5" t="s">
        <v>214</v>
      </c>
      <c r="C52" s="6">
        <v>1413000</v>
      </c>
      <c r="D52" s="7">
        <v>0</v>
      </c>
      <c r="E52" s="7">
        <v>1</v>
      </c>
      <c r="F52" s="7">
        <v>0.125</v>
      </c>
      <c r="G52" s="5">
        <v>40</v>
      </c>
      <c r="H52" s="5" t="s">
        <v>168</v>
      </c>
      <c r="I52" s="5" t="b">
        <v>1</v>
      </c>
      <c r="J52" s="5" t="b">
        <v>1</v>
      </c>
      <c r="K52" s="5" t="b">
        <v>1</v>
      </c>
    </row>
    <row r="53" spans="1:11">
      <c r="A53" s="5" t="s">
        <v>99</v>
      </c>
      <c r="B53" s="5" t="s">
        <v>215</v>
      </c>
      <c r="C53" s="6">
        <v>1500000</v>
      </c>
      <c r="D53" s="7">
        <v>0.25</v>
      </c>
      <c r="E53" s="7">
        <v>0.25</v>
      </c>
      <c r="F53" s="7">
        <v>0.05</v>
      </c>
      <c r="G53" s="5">
        <v>40</v>
      </c>
      <c r="I53" s="5" t="b">
        <v>1</v>
      </c>
      <c r="J53" s="5" t="b">
        <v>1</v>
      </c>
      <c r="K53" s="5" t="b">
        <v>1</v>
      </c>
    </row>
    <row r="54" spans="1:11">
      <c r="A54" s="5" t="s">
        <v>99</v>
      </c>
      <c r="B54" s="5" t="s">
        <v>216</v>
      </c>
      <c r="C54" s="6">
        <v>6500000</v>
      </c>
      <c r="D54" s="7">
        <v>0.25</v>
      </c>
      <c r="E54" s="7">
        <v>0.25</v>
      </c>
      <c r="F54" s="7">
        <v>0.05</v>
      </c>
      <c r="G54" s="5">
        <v>106</v>
      </c>
      <c r="I54" s="5" t="b">
        <v>1</v>
      </c>
      <c r="J54" s="5" t="b">
        <v>1</v>
      </c>
      <c r="K54" s="5" t="b">
        <v>1</v>
      </c>
    </row>
    <row r="55" spans="1:11">
      <c r="A55" s="5" t="s">
        <v>99</v>
      </c>
      <c r="B55" s="5" t="s">
        <v>217</v>
      </c>
      <c r="C55" s="6">
        <v>930000</v>
      </c>
      <c r="D55" s="7">
        <v>0.25</v>
      </c>
      <c r="E55" s="7">
        <v>0.25</v>
      </c>
      <c r="F55" s="7">
        <v>0.05</v>
      </c>
      <c r="G55" s="5">
        <v>18</v>
      </c>
      <c r="I55" s="5" t="b">
        <v>1</v>
      </c>
      <c r="J55" s="5" t="b">
        <v>1</v>
      </c>
      <c r="K55" s="5" t="b">
        <v>1</v>
      </c>
    </row>
    <row r="56" spans="1:11">
      <c r="A56" s="5" t="s">
        <v>99</v>
      </c>
      <c r="B56" s="5" t="s">
        <v>218</v>
      </c>
      <c r="C56" s="6">
        <v>3000000</v>
      </c>
      <c r="D56" s="7">
        <v>0.24</v>
      </c>
      <c r="E56" s="7">
        <v>0.24</v>
      </c>
      <c r="F56" s="7">
        <v>0.12</v>
      </c>
      <c r="G56" s="5">
        <v>25</v>
      </c>
      <c r="I56" s="5" t="b">
        <v>1</v>
      </c>
      <c r="J56" s="5" t="b">
        <v>1</v>
      </c>
      <c r="K56" s="5" t="b">
        <v>1</v>
      </c>
    </row>
    <row r="57" spans="1:11">
      <c r="A57" s="5" t="s">
        <v>99</v>
      </c>
      <c r="B57" s="5" t="s">
        <v>219</v>
      </c>
      <c r="C57" s="6">
        <v>150000</v>
      </c>
      <c r="D57" s="7">
        <v>0.25</v>
      </c>
      <c r="E57" s="7">
        <v>0.25</v>
      </c>
      <c r="F57" s="7">
        <v>0.35699999999999998</v>
      </c>
      <c r="G57" s="5">
        <v>28</v>
      </c>
      <c r="I57" s="5" t="b">
        <v>1</v>
      </c>
      <c r="J57" s="5" t="b">
        <v>1</v>
      </c>
      <c r="K57" s="5" t="b">
        <v>1</v>
      </c>
    </row>
    <row r="58" spans="1:11">
      <c r="A58" s="5" t="s">
        <v>99</v>
      </c>
      <c r="B58" s="5" t="s">
        <v>220</v>
      </c>
      <c r="C58" s="6">
        <v>420000</v>
      </c>
      <c r="D58" s="7">
        <v>0.28000000000000003</v>
      </c>
      <c r="E58" s="7">
        <v>0.28000000000000003</v>
      </c>
      <c r="F58" s="7">
        <v>7.0000000000000007E-2</v>
      </c>
      <c r="G58" s="5">
        <v>14</v>
      </c>
      <c r="I58" s="5" t="b">
        <v>1</v>
      </c>
      <c r="J58" s="5" t="b">
        <v>1</v>
      </c>
      <c r="K58" s="5" t="b">
        <v>1</v>
      </c>
    </row>
    <row r="59" spans="1:11">
      <c r="A59" s="5" t="s">
        <v>99</v>
      </c>
      <c r="B59" s="5" t="s">
        <v>221</v>
      </c>
      <c r="C59" s="6">
        <v>384988.4</v>
      </c>
      <c r="D59" s="7">
        <v>0</v>
      </c>
      <c r="E59" s="7">
        <v>0.5</v>
      </c>
      <c r="F59" s="7">
        <v>0</v>
      </c>
      <c r="G59" s="5">
        <v>2</v>
      </c>
      <c r="I59" s="5" t="b">
        <v>0</v>
      </c>
      <c r="J59" s="5" t="b">
        <v>1</v>
      </c>
      <c r="K59" s="5" t="b">
        <v>0</v>
      </c>
    </row>
    <row r="60" spans="1:11">
      <c r="A60" s="5" t="s">
        <v>99</v>
      </c>
      <c r="B60" s="5" t="s">
        <v>222</v>
      </c>
      <c r="C60" s="6">
        <v>1400000</v>
      </c>
      <c r="D60" s="7">
        <v>0.25</v>
      </c>
      <c r="E60" s="7">
        <v>0.25</v>
      </c>
      <c r="F60" s="7">
        <v>0.05</v>
      </c>
      <c r="G60" s="5">
        <v>40</v>
      </c>
      <c r="I60" s="5" t="b">
        <v>1</v>
      </c>
      <c r="J60" s="5" t="b">
        <v>1</v>
      </c>
      <c r="K60" s="5" t="b">
        <v>1</v>
      </c>
    </row>
    <row r="61" spans="1:11">
      <c r="A61" s="5" t="s">
        <v>54</v>
      </c>
      <c r="B61" s="5" t="s">
        <v>223</v>
      </c>
      <c r="C61" s="6">
        <v>250000</v>
      </c>
      <c r="D61" s="7">
        <v>0</v>
      </c>
      <c r="E61" s="7">
        <v>0</v>
      </c>
      <c r="F61" s="7">
        <v>0</v>
      </c>
      <c r="G61" s="5">
        <v>5</v>
      </c>
      <c r="I61" s="5" t="b">
        <v>0</v>
      </c>
      <c r="J61" s="5" t="b">
        <v>1</v>
      </c>
      <c r="K61" s="5" t="b">
        <v>1</v>
      </c>
    </row>
    <row r="62" spans="1:11">
      <c r="A62" s="5" t="s">
        <v>54</v>
      </c>
      <c r="B62" s="5" t="s">
        <v>225</v>
      </c>
      <c r="C62" s="6">
        <v>800000</v>
      </c>
      <c r="D62" s="7">
        <v>0.25</v>
      </c>
      <c r="E62" s="7">
        <v>0.1</v>
      </c>
      <c r="F62" s="7">
        <v>0.05</v>
      </c>
      <c r="G62" s="5">
        <v>10</v>
      </c>
      <c r="I62" s="5" t="b">
        <v>1</v>
      </c>
      <c r="J62" s="5" t="b">
        <v>1</v>
      </c>
      <c r="K62" s="5" t="b">
        <v>1</v>
      </c>
    </row>
    <row r="63" spans="1:11">
      <c r="A63" s="5" t="s">
        <v>54</v>
      </c>
      <c r="B63" s="5" t="s">
        <v>226</v>
      </c>
      <c r="C63" s="6">
        <v>2420000</v>
      </c>
      <c r="D63" s="7">
        <v>0.25</v>
      </c>
      <c r="E63" s="7">
        <v>0.1</v>
      </c>
      <c r="F63" s="7">
        <v>0.05</v>
      </c>
      <c r="G63" s="5">
        <v>60</v>
      </c>
      <c r="I63" s="5" t="b">
        <v>1</v>
      </c>
      <c r="J63" s="5" t="b">
        <v>1</v>
      </c>
      <c r="K63" s="5" t="b">
        <v>1</v>
      </c>
    </row>
    <row r="64" spans="1:11">
      <c r="A64" s="5" t="s">
        <v>54</v>
      </c>
      <c r="B64" s="5" t="s">
        <v>227</v>
      </c>
      <c r="C64" s="6">
        <v>330085.32</v>
      </c>
      <c r="D64" s="7">
        <v>0.25</v>
      </c>
      <c r="E64" s="7">
        <v>0.1</v>
      </c>
      <c r="F64" s="7">
        <v>0.05</v>
      </c>
      <c r="G64" s="5">
        <v>12</v>
      </c>
      <c r="I64" s="5" t="b">
        <v>1</v>
      </c>
      <c r="J64" s="5" t="b">
        <v>1</v>
      </c>
      <c r="K64" s="5" t="b">
        <v>1</v>
      </c>
    </row>
    <row r="65" spans="1:11">
      <c r="A65" s="5" t="s">
        <v>100</v>
      </c>
      <c r="B65" s="5" t="s">
        <v>228</v>
      </c>
      <c r="C65" s="6">
        <v>1200000</v>
      </c>
      <c r="D65" s="7">
        <v>0.5</v>
      </c>
      <c r="E65" s="7">
        <v>0.1</v>
      </c>
      <c r="F65" s="7">
        <v>0.05</v>
      </c>
      <c r="G65" s="5">
        <v>20</v>
      </c>
      <c r="I65" s="5" t="b">
        <v>1</v>
      </c>
      <c r="J65" s="5" t="b">
        <v>1</v>
      </c>
      <c r="K65" s="5" t="b">
        <v>1</v>
      </c>
    </row>
    <row r="66" spans="1:11">
      <c r="A66" s="5" t="s">
        <v>100</v>
      </c>
      <c r="B66" s="5" t="s">
        <v>230</v>
      </c>
      <c r="C66" s="6">
        <v>1980000</v>
      </c>
      <c r="D66" s="7">
        <v>0.5</v>
      </c>
      <c r="E66" s="7">
        <v>0.5</v>
      </c>
      <c r="F66" s="7">
        <v>0.05</v>
      </c>
      <c r="G66" s="5">
        <v>66</v>
      </c>
      <c r="I66" s="5" t="b">
        <v>1</v>
      </c>
      <c r="J66" s="5" t="b">
        <v>1</v>
      </c>
      <c r="K66" s="5" t="b">
        <v>1</v>
      </c>
    </row>
    <row r="67" spans="1:11">
      <c r="A67" s="5" t="s">
        <v>100</v>
      </c>
      <c r="B67" s="5" t="s">
        <v>231</v>
      </c>
      <c r="C67" s="6">
        <v>4220000</v>
      </c>
      <c r="D67" s="7">
        <v>0.5</v>
      </c>
      <c r="E67" s="7">
        <v>0.1</v>
      </c>
      <c r="F67" s="7">
        <v>0.05</v>
      </c>
      <c r="G67" s="5">
        <v>74</v>
      </c>
      <c r="I67" s="5" t="b">
        <v>1</v>
      </c>
      <c r="J67" s="5" t="b">
        <v>1</v>
      </c>
      <c r="K67" s="5" t="b">
        <v>1</v>
      </c>
    </row>
    <row r="68" spans="1:11">
      <c r="A68" s="5" t="s">
        <v>100</v>
      </c>
      <c r="B68" s="5" t="s">
        <v>232</v>
      </c>
      <c r="C68" s="6">
        <v>3840000</v>
      </c>
      <c r="D68" s="7">
        <v>0.5</v>
      </c>
      <c r="E68" s="7">
        <v>0.1</v>
      </c>
      <c r="F68" s="7">
        <v>0.05</v>
      </c>
      <c r="G68" s="5">
        <v>48</v>
      </c>
      <c r="I68" s="5" t="b">
        <v>1</v>
      </c>
      <c r="J68" s="5" t="b">
        <v>1</v>
      </c>
      <c r="K68" s="5" t="b">
        <v>1</v>
      </c>
    </row>
    <row r="69" spans="1:11">
      <c r="A69" s="5" t="s">
        <v>100</v>
      </c>
      <c r="B69" s="5" t="s">
        <v>233</v>
      </c>
      <c r="C69" s="6">
        <v>1080000</v>
      </c>
      <c r="D69" s="7">
        <v>0.5</v>
      </c>
      <c r="E69" s="7">
        <v>0.1</v>
      </c>
      <c r="F69" s="7">
        <v>0.05</v>
      </c>
      <c r="G69" s="5">
        <v>27</v>
      </c>
      <c r="I69" s="5" t="b">
        <v>1</v>
      </c>
      <c r="J69" s="5" t="b">
        <v>1</v>
      </c>
      <c r="K69" s="5" t="b">
        <v>1</v>
      </c>
    </row>
    <row r="70" spans="1:11">
      <c r="A70" s="5" t="s">
        <v>100</v>
      </c>
      <c r="B70" s="5" t="s">
        <v>234</v>
      </c>
      <c r="C70" s="6">
        <v>2100000</v>
      </c>
      <c r="D70" s="7">
        <v>0.5</v>
      </c>
      <c r="E70" s="7">
        <v>0.1</v>
      </c>
      <c r="F70" s="7">
        <v>0.05</v>
      </c>
      <c r="G70" s="5">
        <v>7</v>
      </c>
      <c r="I70" s="5" t="b">
        <v>1</v>
      </c>
      <c r="J70" s="5" t="b">
        <v>1</v>
      </c>
      <c r="K70" s="5" t="b">
        <v>1</v>
      </c>
    </row>
    <row r="71" spans="1:11">
      <c r="A71" s="5" t="s">
        <v>100</v>
      </c>
      <c r="B71" s="5" t="s">
        <v>235</v>
      </c>
      <c r="C71" s="6">
        <v>7250000</v>
      </c>
      <c r="D71" s="7">
        <v>0.5</v>
      </c>
      <c r="E71" s="7">
        <v>0.1</v>
      </c>
      <c r="F71" s="7">
        <v>0.05</v>
      </c>
      <c r="G71" s="5">
        <v>113</v>
      </c>
      <c r="I71" s="5" t="b">
        <v>1</v>
      </c>
      <c r="J71" s="5" t="b">
        <v>1</v>
      </c>
      <c r="K71" s="5" t="b">
        <v>1</v>
      </c>
    </row>
    <row r="72" spans="1:11">
      <c r="A72" s="5" t="s">
        <v>100</v>
      </c>
      <c r="B72" s="5" t="s">
        <v>236</v>
      </c>
      <c r="C72" s="6">
        <v>840000</v>
      </c>
      <c r="D72" s="7">
        <v>0.5</v>
      </c>
      <c r="E72" s="7">
        <v>0.1</v>
      </c>
      <c r="F72" s="7">
        <v>0.05</v>
      </c>
      <c r="G72" s="5">
        <v>36</v>
      </c>
      <c r="I72" s="5" t="b">
        <v>1</v>
      </c>
      <c r="J72" s="5" t="b">
        <v>1</v>
      </c>
      <c r="K72" s="5" t="b">
        <v>1</v>
      </c>
    </row>
    <row r="73" spans="1:11">
      <c r="A73" s="5" t="s">
        <v>100</v>
      </c>
      <c r="B73" s="5" t="s">
        <v>237</v>
      </c>
      <c r="C73" s="6">
        <v>780000</v>
      </c>
      <c r="D73" s="7">
        <v>0.5</v>
      </c>
      <c r="E73" s="7">
        <v>0.1</v>
      </c>
      <c r="F73" s="7">
        <v>0.05</v>
      </c>
      <c r="G73" s="5">
        <v>12</v>
      </c>
      <c r="I73" s="5" t="b">
        <v>1</v>
      </c>
      <c r="J73" s="5" t="b">
        <v>1</v>
      </c>
      <c r="K73" s="5" t="b">
        <v>1</v>
      </c>
    </row>
    <row r="74" spans="1:11">
      <c r="A74" s="5" t="s">
        <v>100</v>
      </c>
      <c r="B74" s="5" t="s">
        <v>238</v>
      </c>
      <c r="C74" s="6">
        <v>6900000</v>
      </c>
      <c r="D74" s="7">
        <v>0.5</v>
      </c>
      <c r="E74" s="7">
        <v>0.1</v>
      </c>
      <c r="F74" s="7">
        <v>0.05</v>
      </c>
      <c r="G74" s="5">
        <v>29</v>
      </c>
      <c r="I74" s="5" t="b">
        <v>1</v>
      </c>
      <c r="J74" s="5" t="b">
        <v>1</v>
      </c>
      <c r="K74" s="5" t="b">
        <v>1</v>
      </c>
    </row>
    <row r="75" spans="1:11">
      <c r="A75" s="5" t="s">
        <v>100</v>
      </c>
      <c r="B75" s="5" t="s">
        <v>239</v>
      </c>
      <c r="C75" s="6">
        <v>7200000</v>
      </c>
      <c r="D75" s="7">
        <v>0.5</v>
      </c>
      <c r="E75" s="7">
        <v>0.1</v>
      </c>
      <c r="F75" s="7">
        <v>0.05</v>
      </c>
      <c r="G75" s="5">
        <v>75</v>
      </c>
      <c r="I75" s="5" t="b">
        <v>1</v>
      </c>
      <c r="J75" s="5" t="b">
        <v>1</v>
      </c>
      <c r="K75" s="5" t="b">
        <v>1</v>
      </c>
    </row>
    <row r="76" spans="1:11">
      <c r="A76" s="5" t="s">
        <v>100</v>
      </c>
      <c r="B76" s="5" t="s">
        <v>240</v>
      </c>
      <c r="C76" s="6">
        <v>3000000</v>
      </c>
      <c r="D76" s="7">
        <v>0.5</v>
      </c>
      <c r="E76" s="7">
        <v>0.17</v>
      </c>
      <c r="F76" s="7">
        <v>0.08</v>
      </c>
      <c r="G76" s="5">
        <v>12</v>
      </c>
      <c r="I76" s="5" t="b">
        <v>1</v>
      </c>
      <c r="J76" s="5" t="b">
        <v>1</v>
      </c>
      <c r="K76" s="5" t="b">
        <v>1</v>
      </c>
    </row>
    <row r="77" spans="1:11">
      <c r="A77" s="5" t="s">
        <v>100</v>
      </c>
      <c r="B77" s="5" t="s">
        <v>241</v>
      </c>
      <c r="C77" s="6">
        <v>500000</v>
      </c>
      <c r="D77" s="7">
        <v>0.5</v>
      </c>
      <c r="E77" s="7">
        <v>0.1</v>
      </c>
      <c r="F77" s="7">
        <v>0.1</v>
      </c>
      <c r="G77" s="5">
        <v>10</v>
      </c>
      <c r="I77" s="5" t="b">
        <v>1</v>
      </c>
      <c r="J77" s="5" t="b">
        <v>1</v>
      </c>
      <c r="K77" s="5" t="b">
        <v>1</v>
      </c>
    </row>
    <row r="78" spans="1:11">
      <c r="A78" s="5" t="s">
        <v>100</v>
      </c>
      <c r="B78" s="5" t="s">
        <v>242</v>
      </c>
      <c r="C78" s="6">
        <v>1050000</v>
      </c>
      <c r="D78" s="7">
        <v>0.5</v>
      </c>
      <c r="E78" s="7">
        <v>0.1</v>
      </c>
      <c r="F78" s="7">
        <v>0.05</v>
      </c>
      <c r="G78" s="5">
        <v>21</v>
      </c>
      <c r="I78" s="5" t="b">
        <v>1</v>
      </c>
      <c r="J78" s="5" t="b">
        <v>1</v>
      </c>
      <c r="K78" s="5" t="b">
        <v>1</v>
      </c>
    </row>
    <row r="79" spans="1:11">
      <c r="A79" s="5" t="s">
        <v>100</v>
      </c>
      <c r="B79" s="5" t="s">
        <v>243</v>
      </c>
      <c r="C79" s="6">
        <v>1200000</v>
      </c>
      <c r="D79" s="7">
        <v>0.5</v>
      </c>
      <c r="E79" s="7">
        <v>0.12</v>
      </c>
      <c r="F79" s="7">
        <v>0</v>
      </c>
      <c r="G79" s="5">
        <v>8</v>
      </c>
      <c r="I79" s="5" t="b">
        <v>1</v>
      </c>
      <c r="J79" s="5" t="b">
        <v>1</v>
      </c>
      <c r="K79" s="5" t="b">
        <v>1</v>
      </c>
    </row>
    <row r="80" spans="1:11">
      <c r="A80" s="5" t="s">
        <v>100</v>
      </c>
      <c r="B80" s="5" t="s">
        <v>244</v>
      </c>
      <c r="C80" s="6">
        <v>1250000</v>
      </c>
      <c r="D80" s="7">
        <v>0.4</v>
      </c>
      <c r="E80" s="7">
        <v>0.2</v>
      </c>
      <c r="F80" s="7">
        <v>0</v>
      </c>
      <c r="G80" s="5">
        <v>5</v>
      </c>
      <c r="I80" s="5" t="b">
        <v>1</v>
      </c>
      <c r="J80" s="5" t="b">
        <v>1</v>
      </c>
      <c r="K80" s="5" t="b">
        <v>1</v>
      </c>
    </row>
    <row r="81" spans="1:11">
      <c r="A81" s="5" t="s">
        <v>100</v>
      </c>
      <c r="B81" s="5" t="s">
        <v>245</v>
      </c>
      <c r="C81" s="6">
        <v>1700000</v>
      </c>
      <c r="D81" s="7">
        <v>0.55000000000000004</v>
      </c>
      <c r="E81" s="7">
        <v>0.15</v>
      </c>
      <c r="F81" s="7">
        <v>0.05</v>
      </c>
      <c r="G81" s="5">
        <v>40</v>
      </c>
      <c r="I81" s="5" t="b">
        <v>1</v>
      </c>
      <c r="J81" s="5" t="b">
        <v>1</v>
      </c>
      <c r="K81" s="5" t="b">
        <v>1</v>
      </c>
    </row>
    <row r="82" spans="1:11">
      <c r="A82" s="5" t="s">
        <v>100</v>
      </c>
      <c r="B82" s="5" t="s">
        <v>246</v>
      </c>
      <c r="C82" s="6">
        <v>5150000</v>
      </c>
      <c r="D82" s="7">
        <v>0.5</v>
      </c>
      <c r="E82" s="7">
        <v>0.1</v>
      </c>
      <c r="F82" s="7">
        <v>0.05</v>
      </c>
      <c r="G82" s="5">
        <v>43</v>
      </c>
      <c r="I82" s="5" t="b">
        <v>1</v>
      </c>
      <c r="J82" s="5" t="b">
        <v>1</v>
      </c>
      <c r="K82" s="5" t="b">
        <v>1</v>
      </c>
    </row>
    <row r="83" spans="1:11">
      <c r="A83" s="5" t="s">
        <v>100</v>
      </c>
      <c r="B83" s="5" t="s">
        <v>247</v>
      </c>
      <c r="C83" s="6">
        <v>900000</v>
      </c>
      <c r="D83" s="7">
        <v>0.5</v>
      </c>
      <c r="E83" s="7">
        <v>0.1</v>
      </c>
      <c r="F83" s="7">
        <v>0.05</v>
      </c>
      <c r="G83" s="5">
        <v>20</v>
      </c>
      <c r="I83" s="5" t="b">
        <v>1</v>
      </c>
      <c r="J83" s="5" t="b">
        <v>1</v>
      </c>
      <c r="K83" s="5" t="b">
        <v>1</v>
      </c>
    </row>
    <row r="84" spans="1:11">
      <c r="A84" s="5" t="s">
        <v>100</v>
      </c>
      <c r="B84" s="5" t="s">
        <v>248</v>
      </c>
      <c r="C84" s="6">
        <v>1750000</v>
      </c>
      <c r="D84" s="7">
        <v>0.5</v>
      </c>
      <c r="E84" s="7">
        <v>0.1</v>
      </c>
      <c r="F84" s="7">
        <v>0.05</v>
      </c>
      <c r="G84" s="5">
        <v>35</v>
      </c>
      <c r="I84" s="5" t="b">
        <v>1</v>
      </c>
      <c r="J84" s="5" t="b">
        <v>1</v>
      </c>
      <c r="K84" s="5" t="b">
        <v>1</v>
      </c>
    </row>
    <row r="85" spans="1:11">
      <c r="A85" s="5" t="s">
        <v>100</v>
      </c>
      <c r="B85" s="5" t="s">
        <v>249</v>
      </c>
      <c r="C85" s="6">
        <v>1000000</v>
      </c>
      <c r="D85" s="7">
        <v>0.5</v>
      </c>
      <c r="E85" s="7">
        <v>0.1</v>
      </c>
      <c r="F85" s="7">
        <v>0.05</v>
      </c>
      <c r="G85" s="5">
        <v>33</v>
      </c>
      <c r="I85" s="5" t="b">
        <v>1</v>
      </c>
      <c r="J85" s="5" t="b">
        <v>1</v>
      </c>
      <c r="K85" s="5" t="b">
        <v>1</v>
      </c>
    </row>
    <row r="86" spans="1:11">
      <c r="A86" s="5" t="s">
        <v>100</v>
      </c>
      <c r="B86" s="5" t="s">
        <v>250</v>
      </c>
      <c r="C86" s="6">
        <v>3000000</v>
      </c>
      <c r="D86" s="7">
        <v>0.5</v>
      </c>
      <c r="E86" s="7">
        <v>0.1</v>
      </c>
      <c r="F86" s="7">
        <v>0.05</v>
      </c>
      <c r="G86" s="5">
        <v>12</v>
      </c>
      <c r="I86" s="5" t="b">
        <v>1</v>
      </c>
      <c r="J86" s="5" t="b">
        <v>1</v>
      </c>
      <c r="K86" s="5" t="b">
        <v>1</v>
      </c>
    </row>
    <row r="87" spans="1:11">
      <c r="A87" s="5" t="s">
        <v>100</v>
      </c>
      <c r="B87" s="5" t="s">
        <v>251</v>
      </c>
      <c r="C87" s="6">
        <v>900000</v>
      </c>
      <c r="D87" s="7">
        <v>0.5</v>
      </c>
      <c r="E87" s="7">
        <v>0.1</v>
      </c>
      <c r="F87" s="7">
        <v>0.05</v>
      </c>
      <c r="G87" s="5">
        <v>30</v>
      </c>
      <c r="I87" s="5" t="b">
        <v>1</v>
      </c>
      <c r="J87" s="5" t="b">
        <v>1</v>
      </c>
      <c r="K87" s="5" t="b">
        <v>1</v>
      </c>
    </row>
    <row r="88" spans="1:11">
      <c r="A88" s="5" t="s">
        <v>100</v>
      </c>
      <c r="B88" s="5" t="s">
        <v>252</v>
      </c>
      <c r="C88" s="6">
        <v>160000</v>
      </c>
      <c r="D88" s="7">
        <v>0.5</v>
      </c>
      <c r="E88" s="7">
        <v>0.1</v>
      </c>
      <c r="F88" s="7">
        <v>0.05</v>
      </c>
      <c r="G88" s="5">
        <v>16</v>
      </c>
      <c r="I88" s="5" t="b">
        <v>1</v>
      </c>
      <c r="J88" s="5" t="b">
        <v>1</v>
      </c>
      <c r="K88" s="5" t="b">
        <v>1</v>
      </c>
    </row>
    <row r="89" spans="1:11">
      <c r="A89" s="5" t="s">
        <v>100</v>
      </c>
      <c r="B89" s="5" t="s">
        <v>253</v>
      </c>
      <c r="C89" s="6">
        <v>840000</v>
      </c>
      <c r="D89" s="7">
        <v>0.5</v>
      </c>
      <c r="E89" s="7">
        <v>0.1</v>
      </c>
      <c r="F89" s="7">
        <v>0.05</v>
      </c>
      <c r="G89" s="5">
        <v>28</v>
      </c>
      <c r="I89" s="5" t="b">
        <v>1</v>
      </c>
      <c r="J89" s="5" t="b">
        <v>1</v>
      </c>
      <c r="K89" s="5" t="b">
        <v>1</v>
      </c>
    </row>
    <row r="90" spans="1:11">
      <c r="A90" s="5" t="s">
        <v>100</v>
      </c>
      <c r="B90" s="5" t="s">
        <v>254</v>
      </c>
      <c r="C90" s="6">
        <v>2520000</v>
      </c>
      <c r="D90" s="7">
        <v>0.5</v>
      </c>
      <c r="E90" s="7">
        <v>0.1071</v>
      </c>
      <c r="F90" s="7">
        <v>4.7600000000000003E-2</v>
      </c>
      <c r="G90" s="5">
        <v>84</v>
      </c>
      <c r="I90" s="5" t="b">
        <v>1</v>
      </c>
      <c r="J90" s="5" t="b">
        <v>1</v>
      </c>
      <c r="K90" s="5" t="b">
        <v>1</v>
      </c>
    </row>
    <row r="91" spans="1:11">
      <c r="A91" s="5" t="s">
        <v>100</v>
      </c>
      <c r="B91" s="5" t="s">
        <v>255</v>
      </c>
      <c r="C91" s="6">
        <v>1000000</v>
      </c>
      <c r="D91" s="7">
        <v>0.5</v>
      </c>
      <c r="E91" s="7">
        <v>0.1</v>
      </c>
      <c r="F91" s="7">
        <v>0.05</v>
      </c>
      <c r="G91" s="5">
        <v>20</v>
      </c>
      <c r="I91" s="5" t="b">
        <v>1</v>
      </c>
      <c r="J91" s="5" t="b">
        <v>1</v>
      </c>
      <c r="K91" s="5" t="b">
        <v>1</v>
      </c>
    </row>
    <row r="92" spans="1:11">
      <c r="A92" s="5" t="s">
        <v>100</v>
      </c>
      <c r="B92" s="5" t="s">
        <v>713</v>
      </c>
      <c r="C92" s="6">
        <v>4300000</v>
      </c>
      <c r="D92" s="7">
        <v>0.48</v>
      </c>
      <c r="E92" s="7">
        <v>0.48</v>
      </c>
      <c r="F92" s="7">
        <v>4.6511627906976702E-2</v>
      </c>
      <c r="G92" s="5">
        <v>86</v>
      </c>
      <c r="I92" s="5" t="b">
        <v>1</v>
      </c>
      <c r="J92" s="5" t="b">
        <v>1</v>
      </c>
      <c r="K92" s="5" t="b">
        <v>1</v>
      </c>
    </row>
    <row r="93" spans="1:11">
      <c r="A93" s="5" t="s">
        <v>100</v>
      </c>
      <c r="B93" s="5" t="s">
        <v>257</v>
      </c>
      <c r="C93" s="6">
        <v>4200000</v>
      </c>
      <c r="D93" s="7">
        <v>0</v>
      </c>
      <c r="E93" s="7">
        <v>0.1132</v>
      </c>
      <c r="F93" s="7">
        <v>5.6599999999999998E-2</v>
      </c>
      <c r="G93" s="5">
        <v>53</v>
      </c>
      <c r="I93" s="5" t="b">
        <v>1</v>
      </c>
      <c r="J93" s="5" t="b">
        <v>1</v>
      </c>
      <c r="K93" s="5" t="b">
        <v>1</v>
      </c>
    </row>
    <row r="94" spans="1:11">
      <c r="A94" s="5" t="s">
        <v>55</v>
      </c>
      <c r="B94" s="5" t="s">
        <v>258</v>
      </c>
      <c r="C94" s="6">
        <v>5224089</v>
      </c>
      <c r="D94" s="7">
        <v>0.25</v>
      </c>
      <c r="E94" s="7">
        <v>0.1</v>
      </c>
      <c r="F94" s="7">
        <v>0.05</v>
      </c>
      <c r="G94" s="5">
        <v>100</v>
      </c>
      <c r="I94" s="5" t="b">
        <v>1</v>
      </c>
      <c r="J94" s="5" t="b">
        <v>1</v>
      </c>
      <c r="K94" s="5" t="b">
        <v>1</v>
      </c>
    </row>
    <row r="95" spans="1:11">
      <c r="A95" s="5" t="s">
        <v>56</v>
      </c>
      <c r="B95" s="5" t="s">
        <v>260</v>
      </c>
      <c r="C95" s="6">
        <v>4060000</v>
      </c>
      <c r="D95" s="7">
        <v>0.25</v>
      </c>
      <c r="E95" s="7">
        <v>0.1</v>
      </c>
      <c r="F95" s="7">
        <v>0.05</v>
      </c>
      <c r="G95" s="5">
        <v>124</v>
      </c>
      <c r="I95" s="5" t="b">
        <v>1</v>
      </c>
      <c r="J95" s="5" t="b">
        <v>1</v>
      </c>
      <c r="K95" s="5" t="b">
        <v>1</v>
      </c>
    </row>
    <row r="96" spans="1:11">
      <c r="A96" s="5" t="s">
        <v>56</v>
      </c>
      <c r="B96" s="5" t="s">
        <v>262</v>
      </c>
      <c r="C96" s="6">
        <v>5990000</v>
      </c>
      <c r="D96" s="7">
        <v>0.25</v>
      </c>
      <c r="E96" s="7">
        <v>0.1</v>
      </c>
      <c r="F96" s="7">
        <v>0.05</v>
      </c>
      <c r="G96" s="5">
        <v>79</v>
      </c>
      <c r="I96" s="5" t="b">
        <v>1</v>
      </c>
      <c r="J96" s="5" t="b">
        <v>1</v>
      </c>
      <c r="K96" s="5" t="b">
        <v>1</v>
      </c>
    </row>
    <row r="97" spans="1:11">
      <c r="A97" s="5" t="s">
        <v>56</v>
      </c>
      <c r="B97" s="5" t="s">
        <v>263</v>
      </c>
      <c r="C97" s="6">
        <v>5580000</v>
      </c>
      <c r="D97" s="7">
        <v>0.25</v>
      </c>
      <c r="E97" s="7">
        <v>0.1</v>
      </c>
      <c r="F97" s="7">
        <v>0.05</v>
      </c>
      <c r="G97" s="5">
        <v>219</v>
      </c>
      <c r="I97" s="5" t="b">
        <v>1</v>
      </c>
      <c r="J97" s="5" t="b">
        <v>1</v>
      </c>
      <c r="K97" s="5" t="b">
        <v>1</v>
      </c>
    </row>
    <row r="98" spans="1:11">
      <c r="A98" s="5" t="s">
        <v>57</v>
      </c>
      <c r="B98" s="5" t="s">
        <v>264</v>
      </c>
      <c r="C98" s="6">
        <v>450000</v>
      </c>
      <c r="D98" s="7">
        <v>0.25</v>
      </c>
      <c r="E98" s="7">
        <v>0.1</v>
      </c>
      <c r="F98" s="7">
        <v>0.05</v>
      </c>
      <c r="G98" s="5">
        <v>5</v>
      </c>
      <c r="I98" s="5" t="b">
        <v>1</v>
      </c>
      <c r="J98" s="5" t="b">
        <v>1</v>
      </c>
      <c r="K98" s="5" t="b">
        <v>1</v>
      </c>
    </row>
    <row r="99" spans="1:11">
      <c r="A99" s="5" t="s">
        <v>57</v>
      </c>
      <c r="B99" s="5" t="s">
        <v>266</v>
      </c>
      <c r="C99" s="6">
        <v>2643100</v>
      </c>
      <c r="D99" s="7">
        <v>0.25</v>
      </c>
      <c r="E99" s="7">
        <v>0.1</v>
      </c>
      <c r="F99" s="7">
        <v>0.05</v>
      </c>
      <c r="G99" s="5">
        <v>259</v>
      </c>
      <c r="I99" s="5" t="b">
        <v>1</v>
      </c>
      <c r="J99" s="5" t="b">
        <v>1</v>
      </c>
      <c r="K99" s="5" t="b">
        <v>1</v>
      </c>
    </row>
    <row r="100" spans="1:11">
      <c r="A100" s="5" t="s">
        <v>57</v>
      </c>
      <c r="B100" s="5" t="s">
        <v>267</v>
      </c>
      <c r="C100" s="6">
        <v>472868</v>
      </c>
      <c r="D100" s="7">
        <v>0</v>
      </c>
      <c r="E100" s="7">
        <v>0</v>
      </c>
      <c r="F100" s="7">
        <v>0</v>
      </c>
      <c r="G100" s="5">
        <v>1</v>
      </c>
      <c r="I100" s="5" t="b">
        <v>1</v>
      </c>
      <c r="J100" s="5" t="b">
        <v>1</v>
      </c>
      <c r="K100" s="5" t="b">
        <v>1</v>
      </c>
    </row>
    <row r="101" spans="1:11">
      <c r="A101" s="5" t="s">
        <v>58</v>
      </c>
      <c r="B101" s="5" t="s">
        <v>268</v>
      </c>
      <c r="C101" s="6">
        <v>1197706.2</v>
      </c>
      <c r="D101" s="7">
        <v>0.25</v>
      </c>
      <c r="E101" s="7">
        <v>0.1</v>
      </c>
      <c r="F101" s="7">
        <v>0.1</v>
      </c>
      <c r="G101" s="5">
        <v>25</v>
      </c>
      <c r="I101" s="5" t="b">
        <v>1</v>
      </c>
      <c r="J101" s="5" t="b">
        <v>1</v>
      </c>
      <c r="K101" s="5" t="b">
        <v>1</v>
      </c>
    </row>
    <row r="102" spans="1:11">
      <c r="A102" s="5" t="s">
        <v>58</v>
      </c>
      <c r="B102" s="5" t="s">
        <v>270</v>
      </c>
      <c r="C102" s="6">
        <v>2004628.5</v>
      </c>
      <c r="D102" s="7">
        <v>0.25</v>
      </c>
      <c r="E102" s="7">
        <v>0.1</v>
      </c>
      <c r="F102" s="7">
        <v>0.1</v>
      </c>
      <c r="G102" s="5">
        <v>50</v>
      </c>
      <c r="I102" s="5" t="b">
        <v>1</v>
      </c>
      <c r="J102" s="5" t="b">
        <v>1</v>
      </c>
      <c r="K102" s="5" t="b">
        <v>1</v>
      </c>
    </row>
    <row r="103" spans="1:11">
      <c r="A103" s="5" t="s">
        <v>58</v>
      </c>
      <c r="B103" s="5" t="s">
        <v>271</v>
      </c>
      <c r="C103" s="6">
        <v>1431877.6</v>
      </c>
      <c r="D103" s="7">
        <v>0.25</v>
      </c>
      <c r="E103" s="7">
        <v>0.1</v>
      </c>
      <c r="F103" s="7">
        <v>0.1</v>
      </c>
      <c r="G103" s="5">
        <v>30</v>
      </c>
      <c r="I103" s="5" t="b">
        <v>1</v>
      </c>
      <c r="J103" s="5" t="b">
        <v>1</v>
      </c>
      <c r="K103" s="5" t="b">
        <v>1</v>
      </c>
    </row>
    <row r="104" spans="1:11">
      <c r="A104" s="5" t="s">
        <v>58</v>
      </c>
      <c r="B104" s="5" t="s">
        <v>272</v>
      </c>
      <c r="C104" s="6">
        <v>2004628.5</v>
      </c>
      <c r="D104" s="7">
        <v>0.26</v>
      </c>
      <c r="E104" s="7">
        <v>0.1</v>
      </c>
      <c r="F104" s="7">
        <v>0.06</v>
      </c>
      <c r="G104" s="5">
        <v>50</v>
      </c>
      <c r="I104" s="5" t="b">
        <v>1</v>
      </c>
      <c r="J104" s="5" t="b">
        <v>1</v>
      </c>
      <c r="K104" s="5" t="b">
        <v>1</v>
      </c>
    </row>
    <row r="105" spans="1:11">
      <c r="A105" s="5" t="s">
        <v>101</v>
      </c>
      <c r="B105" s="5" t="s">
        <v>273</v>
      </c>
      <c r="C105" s="6">
        <v>1020000</v>
      </c>
      <c r="D105" s="7">
        <v>0.25</v>
      </c>
      <c r="E105" s="7">
        <v>0.1</v>
      </c>
      <c r="F105" s="7">
        <v>0.1</v>
      </c>
      <c r="G105" s="5">
        <v>28</v>
      </c>
      <c r="I105" s="5" t="b">
        <v>1</v>
      </c>
      <c r="J105" s="5" t="b">
        <v>1</v>
      </c>
      <c r="K105" s="5" t="b">
        <v>1</v>
      </c>
    </row>
    <row r="106" spans="1:11">
      <c r="A106" s="5" t="s">
        <v>101</v>
      </c>
      <c r="B106" s="5" t="s">
        <v>275</v>
      </c>
      <c r="C106" s="6">
        <v>4560000</v>
      </c>
      <c r="D106" s="7">
        <v>0.25</v>
      </c>
      <c r="E106" s="7">
        <v>0.1</v>
      </c>
      <c r="F106" s="7">
        <v>0.1</v>
      </c>
      <c r="G106" s="5">
        <v>38</v>
      </c>
      <c r="I106" s="5" t="b">
        <v>1</v>
      </c>
      <c r="J106" s="5" t="b">
        <v>1</v>
      </c>
      <c r="K106" s="5" t="b">
        <v>1</v>
      </c>
    </row>
    <row r="107" spans="1:11">
      <c r="A107" s="5" t="s">
        <v>101</v>
      </c>
      <c r="B107" s="5" t="s">
        <v>276</v>
      </c>
      <c r="C107" s="6">
        <v>1500000</v>
      </c>
      <c r="D107" s="7">
        <v>0.25</v>
      </c>
      <c r="E107" s="7">
        <v>0.1</v>
      </c>
      <c r="F107" s="7">
        <v>0.1</v>
      </c>
      <c r="G107" s="5">
        <v>3</v>
      </c>
      <c r="I107" s="5" t="b">
        <v>1</v>
      </c>
      <c r="J107" s="5" t="b">
        <v>1</v>
      </c>
      <c r="K107" s="5" t="b">
        <v>1</v>
      </c>
    </row>
    <row r="108" spans="1:11">
      <c r="A108" s="5" t="s">
        <v>101</v>
      </c>
      <c r="B108" s="5" t="s">
        <v>714</v>
      </c>
      <c r="C108" s="6">
        <v>1000000</v>
      </c>
      <c r="D108" s="7">
        <v>0.25</v>
      </c>
      <c r="E108" s="7">
        <v>0.1</v>
      </c>
      <c r="F108" s="7">
        <v>0.1</v>
      </c>
      <c r="G108" s="5">
        <v>20</v>
      </c>
      <c r="I108" s="5" t="b">
        <v>1</v>
      </c>
      <c r="J108" s="5" t="b">
        <v>1</v>
      </c>
      <c r="K108" s="5" t="b">
        <v>1</v>
      </c>
    </row>
    <row r="109" spans="1:11">
      <c r="A109" s="5" t="s">
        <v>101</v>
      </c>
      <c r="B109" s="5" t="s">
        <v>715</v>
      </c>
      <c r="C109" s="6">
        <v>2000000</v>
      </c>
      <c r="D109" s="7">
        <v>0.25</v>
      </c>
      <c r="E109" s="7">
        <v>0.1</v>
      </c>
      <c r="F109" s="7">
        <v>0.1</v>
      </c>
      <c r="G109" s="5">
        <v>20</v>
      </c>
      <c r="I109" s="5" t="b">
        <v>1</v>
      </c>
      <c r="J109" s="5" t="b">
        <v>1</v>
      </c>
      <c r="K109" s="5" t="b">
        <v>1</v>
      </c>
    </row>
    <row r="110" spans="1:11">
      <c r="A110" s="5" t="s">
        <v>101</v>
      </c>
      <c r="B110" s="5" t="s">
        <v>279</v>
      </c>
      <c r="C110" s="6">
        <v>15000000</v>
      </c>
      <c r="D110" s="7">
        <v>0.25</v>
      </c>
      <c r="E110" s="7">
        <v>0.1</v>
      </c>
      <c r="F110" s="7">
        <v>0.1</v>
      </c>
      <c r="G110" s="5">
        <v>410</v>
      </c>
      <c r="I110" s="5" t="b">
        <v>1</v>
      </c>
      <c r="J110" s="5" t="b">
        <v>1</v>
      </c>
      <c r="K110" s="5" t="b">
        <v>1</v>
      </c>
    </row>
    <row r="111" spans="1:11">
      <c r="A111" s="5" t="s">
        <v>101</v>
      </c>
      <c r="B111" s="5" t="s">
        <v>280</v>
      </c>
      <c r="C111" s="6">
        <v>15000000</v>
      </c>
      <c r="D111" s="7">
        <v>0.25</v>
      </c>
      <c r="E111" s="7">
        <v>0.1</v>
      </c>
      <c r="F111" s="7">
        <v>0.1</v>
      </c>
      <c r="G111" s="5">
        <v>13</v>
      </c>
      <c r="I111" s="5" t="b">
        <v>1</v>
      </c>
      <c r="J111" s="5" t="b">
        <v>1</v>
      </c>
      <c r="K111" s="5" t="b">
        <v>1</v>
      </c>
    </row>
    <row r="112" spans="1:11">
      <c r="A112" s="5" t="s">
        <v>101</v>
      </c>
      <c r="B112" s="5" t="s">
        <v>281</v>
      </c>
      <c r="C112" s="6">
        <v>15900000</v>
      </c>
      <c r="D112" s="7">
        <v>0.25</v>
      </c>
      <c r="E112" s="7">
        <v>0.1</v>
      </c>
      <c r="F112" s="7">
        <v>0.1</v>
      </c>
      <c r="G112" s="5">
        <v>114</v>
      </c>
      <c r="I112" s="5" t="b">
        <v>1</v>
      </c>
      <c r="J112" s="5" t="b">
        <v>1</v>
      </c>
      <c r="K112" s="5" t="b">
        <v>1</v>
      </c>
    </row>
    <row r="113" spans="1:11">
      <c r="A113" s="5" t="s">
        <v>101</v>
      </c>
      <c r="B113" s="5" t="s">
        <v>282</v>
      </c>
      <c r="C113" s="6">
        <v>2000000</v>
      </c>
      <c r="D113" s="7">
        <v>0.25</v>
      </c>
      <c r="E113" s="7">
        <v>0.1</v>
      </c>
      <c r="F113" s="7">
        <v>0.1</v>
      </c>
      <c r="G113" s="5">
        <v>30</v>
      </c>
      <c r="I113" s="5" t="b">
        <v>1</v>
      </c>
      <c r="J113" s="5" t="b">
        <v>1</v>
      </c>
      <c r="K113" s="5" t="b">
        <v>1</v>
      </c>
    </row>
    <row r="114" spans="1:11">
      <c r="A114" s="5" t="s">
        <v>101</v>
      </c>
      <c r="B114" s="5" t="s">
        <v>283</v>
      </c>
      <c r="C114" s="6">
        <v>2691000</v>
      </c>
      <c r="D114" s="7">
        <v>0.25</v>
      </c>
      <c r="E114" s="7">
        <v>0.1</v>
      </c>
      <c r="F114" s="7">
        <v>0.1</v>
      </c>
      <c r="G114" s="5">
        <v>26</v>
      </c>
      <c r="I114" s="5" t="b">
        <v>1</v>
      </c>
      <c r="J114" s="5" t="b">
        <v>1</v>
      </c>
      <c r="K114" s="5" t="b">
        <v>1</v>
      </c>
    </row>
    <row r="115" spans="1:11">
      <c r="A115" s="5" t="s">
        <v>101</v>
      </c>
      <c r="B115" s="5" t="s">
        <v>284</v>
      </c>
      <c r="C115" s="6">
        <v>2400000</v>
      </c>
      <c r="D115" s="7">
        <v>0.25</v>
      </c>
      <c r="E115" s="7">
        <v>0.1</v>
      </c>
      <c r="F115" s="7">
        <v>0.1</v>
      </c>
      <c r="G115" s="5">
        <v>20</v>
      </c>
      <c r="I115" s="5" t="b">
        <v>1</v>
      </c>
      <c r="J115" s="5" t="b">
        <v>1</v>
      </c>
      <c r="K115" s="5" t="b">
        <v>1</v>
      </c>
    </row>
    <row r="116" spans="1:11">
      <c r="A116" s="5" t="s">
        <v>101</v>
      </c>
      <c r="B116" s="5" t="s">
        <v>285</v>
      </c>
      <c r="C116" s="6">
        <v>3000000</v>
      </c>
      <c r="D116" s="7">
        <v>0.25</v>
      </c>
      <c r="E116" s="7">
        <v>0.1</v>
      </c>
      <c r="F116" s="7">
        <v>0.1</v>
      </c>
      <c r="G116" s="5">
        <v>50</v>
      </c>
      <c r="I116" s="5" t="b">
        <v>1</v>
      </c>
      <c r="J116" s="5" t="b">
        <v>1</v>
      </c>
      <c r="K116" s="5" t="b">
        <v>1</v>
      </c>
    </row>
    <row r="117" spans="1:11">
      <c r="A117" s="5" t="s">
        <v>101</v>
      </c>
      <c r="B117" s="5" t="s">
        <v>286</v>
      </c>
      <c r="C117" s="6">
        <v>2500000</v>
      </c>
      <c r="D117" s="7">
        <v>0.25</v>
      </c>
      <c r="E117" s="7">
        <v>0.1</v>
      </c>
      <c r="F117" s="7">
        <v>0.1</v>
      </c>
      <c r="G117" s="5">
        <v>16</v>
      </c>
      <c r="I117" s="5" t="b">
        <v>1</v>
      </c>
      <c r="J117" s="5" t="b">
        <v>1</v>
      </c>
      <c r="K117" s="5" t="b">
        <v>1</v>
      </c>
    </row>
    <row r="118" spans="1:11">
      <c r="A118" s="5" t="s">
        <v>101</v>
      </c>
      <c r="B118" s="5" t="s">
        <v>287</v>
      </c>
      <c r="C118" s="6">
        <v>14988000</v>
      </c>
      <c r="D118" s="7">
        <v>0.25</v>
      </c>
      <c r="E118" s="7">
        <v>0.1</v>
      </c>
      <c r="F118" s="7">
        <v>0.1</v>
      </c>
      <c r="G118" s="5">
        <v>40</v>
      </c>
      <c r="I118" s="5" t="b">
        <v>1</v>
      </c>
      <c r="J118" s="5" t="b">
        <v>1</v>
      </c>
      <c r="K118" s="5" t="b">
        <v>1</v>
      </c>
    </row>
    <row r="119" spans="1:11">
      <c r="A119" s="5" t="s">
        <v>101</v>
      </c>
      <c r="B119" s="5" t="s">
        <v>288</v>
      </c>
      <c r="C119" s="6">
        <v>1000000</v>
      </c>
      <c r="D119" s="7">
        <v>0.25</v>
      </c>
      <c r="E119" s="7">
        <v>0.1</v>
      </c>
      <c r="F119" s="7">
        <v>0.1</v>
      </c>
      <c r="G119" s="5">
        <v>20</v>
      </c>
      <c r="I119" s="5" t="b">
        <v>1</v>
      </c>
      <c r="J119" s="5" t="b">
        <v>1</v>
      </c>
      <c r="K119" s="5" t="b">
        <v>1</v>
      </c>
    </row>
    <row r="120" spans="1:11">
      <c r="A120" s="5" t="s">
        <v>101</v>
      </c>
      <c r="B120" s="5" t="s">
        <v>289</v>
      </c>
      <c r="C120" s="6">
        <v>3000000</v>
      </c>
      <c r="D120" s="7">
        <v>0.5</v>
      </c>
      <c r="E120" s="8">
        <v>0.5</v>
      </c>
      <c r="F120" s="7">
        <v>0</v>
      </c>
      <c r="G120" s="5">
        <v>98</v>
      </c>
      <c r="H120" s="5" t="s">
        <v>213</v>
      </c>
      <c r="I120" s="5" t="b">
        <v>1</v>
      </c>
      <c r="J120" s="5" t="b">
        <v>1</v>
      </c>
      <c r="K120" s="5" t="b">
        <v>0</v>
      </c>
    </row>
    <row r="121" spans="1:11">
      <c r="A121" s="5" t="s">
        <v>59</v>
      </c>
      <c r="B121" s="5" t="s">
        <v>290</v>
      </c>
      <c r="C121" s="6">
        <v>2530000</v>
      </c>
      <c r="D121" s="7">
        <v>0.25</v>
      </c>
      <c r="E121" s="7">
        <v>0.1</v>
      </c>
      <c r="F121" s="7">
        <v>0.05</v>
      </c>
      <c r="G121" s="5">
        <v>89</v>
      </c>
      <c r="I121" s="5" t="b">
        <v>1</v>
      </c>
      <c r="J121" s="5" t="b">
        <v>1</v>
      </c>
      <c r="K121" s="5" t="b">
        <v>1</v>
      </c>
    </row>
    <row r="122" spans="1:11">
      <c r="A122" s="5" t="s">
        <v>59</v>
      </c>
      <c r="B122" s="5" t="s">
        <v>292</v>
      </c>
      <c r="C122" s="6">
        <v>1050000</v>
      </c>
      <c r="D122" s="7">
        <v>0.25</v>
      </c>
      <c r="E122" s="7">
        <v>0.1</v>
      </c>
      <c r="F122" s="7">
        <v>0.05</v>
      </c>
      <c r="G122" s="5">
        <v>39</v>
      </c>
      <c r="I122" s="5" t="b">
        <v>1</v>
      </c>
      <c r="J122" s="5" t="b">
        <v>1</v>
      </c>
      <c r="K122" s="5" t="b">
        <v>1</v>
      </c>
    </row>
    <row r="123" spans="1:11">
      <c r="A123" s="5" t="s">
        <v>59</v>
      </c>
      <c r="B123" s="5" t="s">
        <v>293</v>
      </c>
      <c r="C123" s="6">
        <v>120000</v>
      </c>
      <c r="D123" s="7">
        <v>0.25</v>
      </c>
      <c r="E123" s="7">
        <v>0.1</v>
      </c>
      <c r="F123" s="7">
        <v>0.05</v>
      </c>
      <c r="G123" s="5">
        <v>6</v>
      </c>
      <c r="I123" s="5" t="b">
        <v>1</v>
      </c>
      <c r="J123" s="5" t="b">
        <v>1</v>
      </c>
      <c r="K123" s="5" t="b">
        <v>1</v>
      </c>
    </row>
    <row r="124" spans="1:11">
      <c r="A124" s="5" t="s">
        <v>60</v>
      </c>
      <c r="B124" s="5" t="s">
        <v>294</v>
      </c>
      <c r="C124" s="6">
        <v>2844000</v>
      </c>
      <c r="D124" s="7">
        <v>0.25</v>
      </c>
      <c r="E124" s="7">
        <v>0.1</v>
      </c>
      <c r="F124" s="7">
        <v>0.05</v>
      </c>
      <c r="G124" s="5">
        <v>94</v>
      </c>
      <c r="I124" s="5" t="b">
        <v>1</v>
      </c>
      <c r="J124" s="5" t="b">
        <v>1</v>
      </c>
      <c r="K124" s="5" t="b">
        <v>1</v>
      </c>
    </row>
    <row r="125" spans="1:11">
      <c r="A125" s="5" t="s">
        <v>60</v>
      </c>
      <c r="B125" s="5" t="s">
        <v>296</v>
      </c>
      <c r="C125" s="6">
        <v>1674000</v>
      </c>
      <c r="D125" s="7">
        <v>0.25</v>
      </c>
      <c r="E125" s="7">
        <v>0.1</v>
      </c>
      <c r="F125" s="7">
        <v>0.05</v>
      </c>
      <c r="G125" s="5">
        <v>55</v>
      </c>
      <c r="I125" s="5" t="b">
        <v>1</v>
      </c>
      <c r="J125" s="5" t="b">
        <v>1</v>
      </c>
      <c r="K125" s="5" t="b">
        <v>1</v>
      </c>
    </row>
    <row r="126" spans="1:11">
      <c r="A126" s="5" t="s">
        <v>60</v>
      </c>
      <c r="B126" s="5" t="s">
        <v>297</v>
      </c>
      <c r="C126" s="6">
        <v>7840000</v>
      </c>
      <c r="D126" s="7">
        <v>0.25</v>
      </c>
      <c r="E126" s="7">
        <v>0.1</v>
      </c>
      <c r="F126" s="7">
        <v>0.05</v>
      </c>
      <c r="G126" s="5">
        <v>225</v>
      </c>
      <c r="I126" s="5" t="b">
        <v>1</v>
      </c>
      <c r="J126" s="5" t="b">
        <v>1</v>
      </c>
      <c r="K126" s="5" t="b">
        <v>1</v>
      </c>
    </row>
    <row r="127" spans="1:11">
      <c r="A127" s="5" t="s">
        <v>102</v>
      </c>
      <c r="B127" s="5" t="s">
        <v>298</v>
      </c>
      <c r="C127" s="6">
        <v>2000000</v>
      </c>
      <c r="D127" s="7">
        <v>0.25</v>
      </c>
      <c r="E127" s="7">
        <v>0.1</v>
      </c>
      <c r="F127" s="7">
        <v>0.05</v>
      </c>
      <c r="G127" s="5">
        <v>20</v>
      </c>
      <c r="I127" s="5" t="b">
        <v>1</v>
      </c>
      <c r="J127" s="5" t="b">
        <v>1</v>
      </c>
      <c r="K127" s="5" t="b">
        <v>1</v>
      </c>
    </row>
    <row r="128" spans="1:11">
      <c r="A128" s="5" t="s">
        <v>102</v>
      </c>
      <c r="B128" s="5" t="s">
        <v>300</v>
      </c>
      <c r="C128" s="6">
        <v>900000</v>
      </c>
      <c r="D128" s="7">
        <v>0.25</v>
      </c>
      <c r="E128" s="7">
        <v>0.1</v>
      </c>
      <c r="F128" s="7">
        <v>0.05</v>
      </c>
      <c r="G128" s="5">
        <v>3</v>
      </c>
      <c r="I128" s="5" t="b">
        <v>1</v>
      </c>
      <c r="J128" s="5" t="b">
        <v>1</v>
      </c>
      <c r="K128" s="5" t="b">
        <v>1</v>
      </c>
    </row>
    <row r="129" spans="1:11">
      <c r="A129" s="5" t="s">
        <v>102</v>
      </c>
      <c r="B129" s="5" t="s">
        <v>301</v>
      </c>
      <c r="C129" s="6">
        <v>3150000</v>
      </c>
      <c r="D129" s="7">
        <v>0.26829999999999998</v>
      </c>
      <c r="E129" s="7">
        <v>9.7599999999999992E-2</v>
      </c>
      <c r="F129" s="7">
        <v>4.8800000000000003E-2</v>
      </c>
      <c r="G129" s="5">
        <v>82</v>
      </c>
      <c r="I129" s="5" t="b">
        <v>1</v>
      </c>
      <c r="J129" s="5" t="b">
        <v>1</v>
      </c>
      <c r="K129" s="5" t="b">
        <v>1</v>
      </c>
    </row>
    <row r="130" spans="1:11">
      <c r="A130" s="5" t="s">
        <v>102</v>
      </c>
      <c r="B130" s="5" t="s">
        <v>302</v>
      </c>
      <c r="C130" s="6">
        <v>24456206.84</v>
      </c>
      <c r="D130" s="7">
        <v>0.24660000000000001</v>
      </c>
      <c r="E130" s="7">
        <v>0.1507</v>
      </c>
      <c r="F130" s="7">
        <v>0.16439999999999999</v>
      </c>
      <c r="G130" s="5">
        <v>73</v>
      </c>
      <c r="I130" s="5" t="b">
        <v>1</v>
      </c>
      <c r="J130" s="5" t="b">
        <v>1</v>
      </c>
      <c r="K130" s="5" t="b">
        <v>1</v>
      </c>
    </row>
    <row r="131" spans="1:11">
      <c r="A131" s="5" t="s">
        <v>103</v>
      </c>
      <c r="B131" s="5" t="s">
        <v>716</v>
      </c>
      <c r="C131" s="6">
        <v>2100000</v>
      </c>
      <c r="D131" s="7">
        <v>0.25</v>
      </c>
      <c r="E131" s="7">
        <v>0.1</v>
      </c>
      <c r="F131" s="7">
        <v>0.05</v>
      </c>
      <c r="G131" s="5">
        <v>50</v>
      </c>
      <c r="I131" s="5" t="b">
        <v>1</v>
      </c>
      <c r="J131" s="5" t="b">
        <v>1</v>
      </c>
      <c r="K131" s="5" t="b">
        <v>1</v>
      </c>
    </row>
    <row r="132" spans="1:11">
      <c r="A132" s="5" t="s">
        <v>103</v>
      </c>
      <c r="B132" s="5" t="s">
        <v>305</v>
      </c>
      <c r="C132" s="6">
        <v>1200000</v>
      </c>
      <c r="D132" s="7">
        <v>0.25</v>
      </c>
      <c r="E132" s="7">
        <v>0.25</v>
      </c>
      <c r="F132" s="7">
        <v>0</v>
      </c>
      <c r="G132" s="5">
        <v>4</v>
      </c>
      <c r="I132" s="5" t="b">
        <v>1</v>
      </c>
      <c r="J132" s="5" t="b">
        <v>1</v>
      </c>
      <c r="K132" s="5" t="b">
        <v>1</v>
      </c>
    </row>
    <row r="133" spans="1:11">
      <c r="A133" s="5" t="s">
        <v>103</v>
      </c>
      <c r="B133" s="5" t="s">
        <v>306</v>
      </c>
      <c r="C133" s="6">
        <v>480000</v>
      </c>
      <c r="D133" s="7">
        <v>0.25</v>
      </c>
      <c r="E133" s="7">
        <v>0.1</v>
      </c>
      <c r="F133" s="7">
        <v>0</v>
      </c>
      <c r="G133" s="5">
        <v>4</v>
      </c>
      <c r="I133" s="5" t="b">
        <v>1</v>
      </c>
      <c r="J133" s="5" t="b">
        <v>1</v>
      </c>
      <c r="K133" s="5" t="b">
        <v>1</v>
      </c>
    </row>
    <row r="134" spans="1:11">
      <c r="A134" s="5" t="s">
        <v>103</v>
      </c>
      <c r="B134" s="5" t="s">
        <v>307</v>
      </c>
      <c r="C134" s="6">
        <v>800000</v>
      </c>
      <c r="D134" s="7">
        <v>0.25</v>
      </c>
      <c r="E134" s="7">
        <v>0.1</v>
      </c>
      <c r="F134" s="7">
        <v>0.05</v>
      </c>
      <c r="G134" s="5">
        <v>20</v>
      </c>
      <c r="I134" s="5" t="b">
        <v>1</v>
      </c>
      <c r="J134" s="5" t="b">
        <v>1</v>
      </c>
      <c r="K134" s="5" t="b">
        <v>1</v>
      </c>
    </row>
    <row r="135" spans="1:11">
      <c r="A135" s="5" t="s">
        <v>103</v>
      </c>
      <c r="B135" s="5" t="s">
        <v>308</v>
      </c>
      <c r="C135" s="6">
        <v>1120000</v>
      </c>
      <c r="D135" s="7">
        <v>0.25</v>
      </c>
      <c r="E135" s="7">
        <v>0.1</v>
      </c>
      <c r="F135" s="7">
        <v>0.05</v>
      </c>
      <c r="G135" s="5">
        <v>56</v>
      </c>
      <c r="I135" s="5" t="b">
        <v>1</v>
      </c>
      <c r="J135" s="5" t="b">
        <v>1</v>
      </c>
      <c r="K135" s="5" t="b">
        <v>1</v>
      </c>
    </row>
    <row r="136" spans="1:11">
      <c r="A136" s="5" t="s">
        <v>103</v>
      </c>
      <c r="B136" s="5" t="s">
        <v>309</v>
      </c>
      <c r="C136" s="6">
        <v>2100000</v>
      </c>
      <c r="D136" s="7">
        <v>0.25</v>
      </c>
      <c r="E136" s="7">
        <v>0.1</v>
      </c>
      <c r="F136" s="7">
        <v>0.05</v>
      </c>
      <c r="G136" s="5">
        <v>50</v>
      </c>
      <c r="I136" s="5" t="b">
        <v>1</v>
      </c>
      <c r="J136" s="5" t="b">
        <v>1</v>
      </c>
      <c r="K136" s="5" t="b">
        <v>1</v>
      </c>
    </row>
    <row r="137" spans="1:11">
      <c r="A137" s="5" t="s">
        <v>103</v>
      </c>
      <c r="B137" s="5" t="s">
        <v>310</v>
      </c>
      <c r="C137" s="6">
        <v>3200000</v>
      </c>
      <c r="D137" s="7">
        <v>0.25</v>
      </c>
      <c r="E137" s="7">
        <v>0.1</v>
      </c>
      <c r="F137" s="7">
        <v>0.05</v>
      </c>
      <c r="G137" s="5">
        <v>10</v>
      </c>
      <c r="I137" s="5" t="b">
        <v>1</v>
      </c>
      <c r="J137" s="5" t="b">
        <v>1</v>
      </c>
      <c r="K137" s="5" t="b">
        <v>1</v>
      </c>
    </row>
    <row r="138" spans="1:11">
      <c r="A138" s="5" t="s">
        <v>103</v>
      </c>
      <c r="B138" s="5" t="s">
        <v>311</v>
      </c>
      <c r="C138" s="6">
        <v>2500000</v>
      </c>
      <c r="D138" s="7">
        <v>0.25</v>
      </c>
      <c r="E138" s="7">
        <v>0.1</v>
      </c>
      <c r="F138" s="7">
        <v>0.05</v>
      </c>
      <c r="G138" s="5">
        <v>50</v>
      </c>
      <c r="I138" s="5" t="b">
        <v>1</v>
      </c>
      <c r="J138" s="5" t="b">
        <v>1</v>
      </c>
      <c r="K138" s="5" t="b">
        <v>1</v>
      </c>
    </row>
    <row r="139" spans="1:11">
      <c r="A139" s="5" t="s">
        <v>103</v>
      </c>
      <c r="B139" s="5" t="s">
        <v>312</v>
      </c>
      <c r="C139" s="6">
        <v>560000</v>
      </c>
      <c r="D139" s="7">
        <v>0.25</v>
      </c>
      <c r="E139" s="7">
        <v>0.1</v>
      </c>
      <c r="F139" s="7">
        <v>0.05</v>
      </c>
      <c r="G139" s="5">
        <v>14</v>
      </c>
      <c r="I139" s="5" t="b">
        <v>1</v>
      </c>
      <c r="J139" s="5" t="b">
        <v>1</v>
      </c>
      <c r="K139" s="5" t="b">
        <v>1</v>
      </c>
    </row>
    <row r="140" spans="1:11">
      <c r="A140" s="5" t="s">
        <v>103</v>
      </c>
      <c r="B140" s="5" t="s">
        <v>313</v>
      </c>
      <c r="C140" s="6">
        <v>1700000</v>
      </c>
      <c r="D140" s="7">
        <v>0.25</v>
      </c>
      <c r="E140" s="7">
        <v>0.1</v>
      </c>
      <c r="F140" s="7">
        <v>0.05</v>
      </c>
      <c r="G140" s="5">
        <v>33</v>
      </c>
      <c r="I140" s="5" t="b">
        <v>1</v>
      </c>
      <c r="J140" s="5" t="b">
        <v>1</v>
      </c>
      <c r="K140" s="5" t="b">
        <v>1</v>
      </c>
    </row>
    <row r="141" spans="1:11">
      <c r="A141" s="5" t="s">
        <v>103</v>
      </c>
      <c r="B141" s="5" t="s">
        <v>314</v>
      </c>
      <c r="C141" s="6">
        <v>1870000</v>
      </c>
      <c r="D141" s="7">
        <v>0.25</v>
      </c>
      <c r="E141" s="7">
        <v>0.1</v>
      </c>
      <c r="F141" s="7">
        <v>0.05</v>
      </c>
      <c r="G141" s="5">
        <v>26</v>
      </c>
      <c r="I141" s="5" t="b">
        <v>1</v>
      </c>
      <c r="J141" s="5" t="b">
        <v>1</v>
      </c>
      <c r="K141" s="5" t="b">
        <v>1</v>
      </c>
    </row>
    <row r="142" spans="1:11">
      <c r="A142" s="5" t="s">
        <v>103</v>
      </c>
      <c r="B142" s="5" t="s">
        <v>315</v>
      </c>
      <c r="C142" s="6">
        <v>3870000</v>
      </c>
      <c r="D142" s="7">
        <v>0.25</v>
      </c>
      <c r="E142" s="7">
        <v>0.1</v>
      </c>
      <c r="F142" s="7">
        <v>0.05</v>
      </c>
      <c r="G142" s="5">
        <v>57</v>
      </c>
      <c r="I142" s="5" t="b">
        <v>1</v>
      </c>
      <c r="J142" s="5" t="b">
        <v>1</v>
      </c>
      <c r="K142" s="5" t="b">
        <v>1</v>
      </c>
    </row>
    <row r="143" spans="1:11">
      <c r="A143" s="5" t="s">
        <v>103</v>
      </c>
      <c r="B143" s="5" t="s">
        <v>316</v>
      </c>
      <c r="C143" s="6">
        <v>1700000</v>
      </c>
      <c r="D143" s="7">
        <v>0.25</v>
      </c>
      <c r="E143" s="7">
        <v>0.1</v>
      </c>
      <c r="F143" s="7">
        <v>0.05</v>
      </c>
      <c r="G143" s="5">
        <v>47</v>
      </c>
      <c r="I143" s="5" t="b">
        <v>1</v>
      </c>
      <c r="J143" s="5" t="b">
        <v>1</v>
      </c>
      <c r="K143" s="5" t="b">
        <v>1</v>
      </c>
    </row>
    <row r="144" spans="1:11">
      <c r="A144" s="5" t="s">
        <v>103</v>
      </c>
      <c r="B144" s="5" t="s">
        <v>317</v>
      </c>
      <c r="C144" s="6">
        <v>1050000</v>
      </c>
      <c r="D144" s="7">
        <v>0.25</v>
      </c>
      <c r="E144" s="7">
        <v>0.1</v>
      </c>
      <c r="F144" s="7">
        <v>0.05</v>
      </c>
      <c r="G144" s="5">
        <v>25</v>
      </c>
      <c r="I144" s="5" t="b">
        <v>1</v>
      </c>
      <c r="J144" s="5" t="b">
        <v>1</v>
      </c>
      <c r="K144" s="5" t="b">
        <v>1</v>
      </c>
    </row>
    <row r="145" spans="1:11">
      <c r="A145" s="5" t="s">
        <v>103</v>
      </c>
      <c r="B145" s="5" t="s">
        <v>318</v>
      </c>
      <c r="C145" s="6">
        <v>880000</v>
      </c>
      <c r="D145" s="7">
        <v>0.25</v>
      </c>
      <c r="E145" s="7">
        <v>0.1</v>
      </c>
      <c r="F145" s="7">
        <v>0.05</v>
      </c>
      <c r="G145" s="5">
        <v>20</v>
      </c>
      <c r="I145" s="5" t="b">
        <v>1</v>
      </c>
      <c r="J145" s="5" t="b">
        <v>1</v>
      </c>
      <c r="K145" s="5" t="b">
        <v>1</v>
      </c>
    </row>
    <row r="146" spans="1:11">
      <c r="A146" s="5" t="s">
        <v>103</v>
      </c>
      <c r="B146" s="5" t="s">
        <v>319</v>
      </c>
      <c r="C146" s="6">
        <v>5600000</v>
      </c>
      <c r="D146" s="7">
        <v>0.25</v>
      </c>
      <c r="E146" s="7">
        <v>0.1</v>
      </c>
      <c r="F146" s="7">
        <v>0.05</v>
      </c>
      <c r="G146" s="5">
        <v>18</v>
      </c>
      <c r="I146" s="5" t="b">
        <v>1</v>
      </c>
      <c r="J146" s="5" t="b">
        <v>1</v>
      </c>
      <c r="K146" s="5" t="b">
        <v>1</v>
      </c>
    </row>
    <row r="147" spans="1:11">
      <c r="A147" s="5" t="s">
        <v>103</v>
      </c>
      <c r="B147" s="5" t="s">
        <v>320</v>
      </c>
      <c r="C147" s="6">
        <v>1300000</v>
      </c>
      <c r="D147" s="7">
        <v>0.25</v>
      </c>
      <c r="E147" s="7">
        <v>0.1</v>
      </c>
      <c r="F147" s="7">
        <v>0.05</v>
      </c>
      <c r="G147" s="5">
        <v>30</v>
      </c>
      <c r="I147" s="5" t="b">
        <v>1</v>
      </c>
      <c r="J147" s="5" t="b">
        <v>1</v>
      </c>
      <c r="K147" s="5" t="b">
        <v>1</v>
      </c>
    </row>
    <row r="148" spans="1:11">
      <c r="A148" s="5" t="s">
        <v>103</v>
      </c>
      <c r="B148" s="5" t="s">
        <v>321</v>
      </c>
      <c r="C148" s="6">
        <v>1000000</v>
      </c>
      <c r="D148" s="7">
        <v>0</v>
      </c>
      <c r="E148" s="7">
        <v>0</v>
      </c>
      <c r="F148" s="7">
        <v>0</v>
      </c>
      <c r="G148" s="5">
        <v>10</v>
      </c>
      <c r="I148" s="5" t="b">
        <v>0</v>
      </c>
      <c r="J148" s="5" t="b">
        <v>0</v>
      </c>
      <c r="K148" s="5" t="b">
        <v>0</v>
      </c>
    </row>
    <row r="149" spans="1:11">
      <c r="A149" s="5" t="s">
        <v>103</v>
      </c>
      <c r="B149" s="5" t="s">
        <v>322</v>
      </c>
      <c r="C149" s="6">
        <v>400000</v>
      </c>
      <c r="D149" s="7">
        <v>0.25</v>
      </c>
      <c r="E149" s="7">
        <v>0.1</v>
      </c>
      <c r="F149" s="7">
        <v>0.05</v>
      </c>
      <c r="G149" s="5">
        <v>5</v>
      </c>
      <c r="I149" s="5" t="b">
        <v>1</v>
      </c>
      <c r="J149" s="5" t="b">
        <v>1</v>
      </c>
      <c r="K149" s="5" t="b">
        <v>1</v>
      </c>
    </row>
    <row r="150" spans="1:11">
      <c r="A150" s="5" t="s">
        <v>103</v>
      </c>
      <c r="B150" s="5" t="s">
        <v>323</v>
      </c>
      <c r="C150" s="6">
        <v>900000</v>
      </c>
      <c r="D150" s="7">
        <v>0.25</v>
      </c>
      <c r="E150" s="7">
        <v>0.1</v>
      </c>
      <c r="F150" s="7">
        <v>0.05</v>
      </c>
      <c r="G150" s="5">
        <v>20</v>
      </c>
      <c r="I150" s="5" t="b">
        <v>1</v>
      </c>
      <c r="J150" s="5" t="b">
        <v>1</v>
      </c>
      <c r="K150" s="5" t="b">
        <v>1</v>
      </c>
    </row>
    <row r="151" spans="1:11">
      <c r="A151" s="5" t="s">
        <v>103</v>
      </c>
      <c r="B151" s="5" t="s">
        <v>324</v>
      </c>
      <c r="C151" s="6">
        <v>800000</v>
      </c>
      <c r="D151" s="7">
        <v>0</v>
      </c>
      <c r="E151" s="7">
        <v>0</v>
      </c>
      <c r="F151" s="7">
        <v>0</v>
      </c>
      <c r="G151" s="5">
        <v>10</v>
      </c>
      <c r="I151" s="5" t="b">
        <v>0</v>
      </c>
      <c r="J151" s="5" t="b">
        <v>0</v>
      </c>
      <c r="K151" s="5" t="b">
        <v>0</v>
      </c>
    </row>
    <row r="152" spans="1:11">
      <c r="A152" s="5" t="s">
        <v>103</v>
      </c>
      <c r="B152" s="5" t="s">
        <v>325</v>
      </c>
      <c r="C152" s="6">
        <v>400000</v>
      </c>
      <c r="D152" s="7">
        <v>0</v>
      </c>
      <c r="E152" s="7">
        <v>0</v>
      </c>
      <c r="F152" s="7">
        <v>0</v>
      </c>
      <c r="G152" s="5">
        <v>20</v>
      </c>
      <c r="I152" s="5" t="b">
        <v>0</v>
      </c>
      <c r="J152" s="5" t="b">
        <v>0</v>
      </c>
      <c r="K152" s="5" t="b">
        <v>0</v>
      </c>
    </row>
    <row r="153" spans="1:11">
      <c r="A153" s="5" t="s">
        <v>103</v>
      </c>
      <c r="B153" s="5" t="s">
        <v>326</v>
      </c>
      <c r="C153" s="6">
        <v>6000000</v>
      </c>
      <c r="D153" s="7">
        <v>0.25</v>
      </c>
      <c r="E153" s="7">
        <v>0.1</v>
      </c>
      <c r="F153" s="7">
        <v>0.05</v>
      </c>
      <c r="G153" s="5">
        <v>30</v>
      </c>
      <c r="I153" s="5" t="b">
        <v>1</v>
      </c>
      <c r="J153" s="5" t="b">
        <v>1</v>
      </c>
      <c r="K153" s="5" t="b">
        <v>1</v>
      </c>
    </row>
    <row r="154" spans="1:11">
      <c r="A154" s="5" t="s">
        <v>61</v>
      </c>
      <c r="B154" s="5" t="s">
        <v>327</v>
      </c>
      <c r="C154" s="6">
        <v>900000</v>
      </c>
      <c r="D154" s="7">
        <v>0.25</v>
      </c>
      <c r="E154" s="7">
        <v>8.3299999999999999E-2</v>
      </c>
      <c r="F154" s="7">
        <v>5.5599999999999997E-2</v>
      </c>
      <c r="G154" s="5">
        <v>36</v>
      </c>
      <c r="I154" s="5" t="b">
        <v>1</v>
      </c>
      <c r="J154" s="5" t="b">
        <v>1</v>
      </c>
      <c r="K154" s="5" t="b">
        <v>1</v>
      </c>
    </row>
    <row r="155" spans="1:11">
      <c r="A155" s="5" t="s">
        <v>61</v>
      </c>
      <c r="B155" s="5" t="s">
        <v>329</v>
      </c>
      <c r="C155" s="6">
        <v>250000</v>
      </c>
      <c r="D155" s="7">
        <v>0.2</v>
      </c>
      <c r="E155" s="7">
        <v>0.2</v>
      </c>
      <c r="F155" s="7">
        <v>0.2</v>
      </c>
      <c r="G155" s="5">
        <v>5</v>
      </c>
      <c r="I155" s="5" t="b">
        <v>1</v>
      </c>
      <c r="J155" s="5" t="b">
        <v>1</v>
      </c>
      <c r="K155" s="5" t="b">
        <v>1</v>
      </c>
    </row>
    <row r="156" spans="1:11">
      <c r="A156" s="5" t="s">
        <v>61</v>
      </c>
      <c r="B156" s="5" t="s">
        <v>330</v>
      </c>
      <c r="C156" s="6">
        <v>290000</v>
      </c>
      <c r="D156" s="7">
        <v>0.24</v>
      </c>
      <c r="E156" s="7">
        <v>0.1</v>
      </c>
      <c r="F156" s="7">
        <v>0.04</v>
      </c>
      <c r="G156" s="5">
        <v>29</v>
      </c>
      <c r="I156" s="5" t="b">
        <v>1</v>
      </c>
      <c r="J156" s="5" t="b">
        <v>1</v>
      </c>
      <c r="K156" s="5" t="b">
        <v>1</v>
      </c>
    </row>
    <row r="157" spans="1:11">
      <c r="A157" s="5" t="s">
        <v>61</v>
      </c>
      <c r="B157" s="5" t="s">
        <v>331</v>
      </c>
      <c r="C157" s="6">
        <v>1015000</v>
      </c>
      <c r="D157" s="7">
        <v>0.24</v>
      </c>
      <c r="E157" s="7">
        <v>0.1</v>
      </c>
      <c r="F157" s="7">
        <v>0.04</v>
      </c>
      <c r="G157" s="5">
        <v>29</v>
      </c>
      <c r="I157" s="5" t="b">
        <v>1</v>
      </c>
      <c r="J157" s="5" t="b">
        <v>1</v>
      </c>
      <c r="K157" s="5" t="b">
        <v>1</v>
      </c>
    </row>
    <row r="158" spans="1:11">
      <c r="A158" s="5" t="s">
        <v>61</v>
      </c>
      <c r="B158" s="5" t="s">
        <v>332</v>
      </c>
      <c r="C158" s="6">
        <v>900000</v>
      </c>
      <c r="D158" s="7">
        <v>0.25</v>
      </c>
      <c r="E158" s="7">
        <v>0.1</v>
      </c>
      <c r="F158" s="7">
        <v>0.05</v>
      </c>
      <c r="G158" s="5">
        <v>45</v>
      </c>
      <c r="I158" s="5" t="b">
        <v>1</v>
      </c>
      <c r="J158" s="5" t="b">
        <v>1</v>
      </c>
      <c r="K158" s="5" t="b">
        <v>1</v>
      </c>
    </row>
    <row r="159" spans="1:11">
      <c r="A159" s="5" t="s">
        <v>62</v>
      </c>
      <c r="B159" s="5" t="s">
        <v>333</v>
      </c>
      <c r="C159" s="6">
        <v>500000</v>
      </c>
      <c r="D159" s="7">
        <v>0.25</v>
      </c>
      <c r="E159" s="7">
        <v>0.1</v>
      </c>
      <c r="F159" s="7">
        <v>0.1</v>
      </c>
      <c r="G159" s="5">
        <v>20</v>
      </c>
      <c r="I159" s="5" t="b">
        <v>1</v>
      </c>
      <c r="J159" s="5" t="b">
        <v>1</v>
      </c>
      <c r="K159" s="5" t="b">
        <v>1</v>
      </c>
    </row>
    <row r="160" spans="1:11">
      <c r="A160" s="5" t="s">
        <v>62</v>
      </c>
      <c r="B160" s="5" t="s">
        <v>335</v>
      </c>
      <c r="C160" s="6">
        <v>480000</v>
      </c>
      <c r="D160" s="7">
        <v>0.25</v>
      </c>
      <c r="E160" s="7">
        <v>0.1</v>
      </c>
      <c r="F160" s="7">
        <v>0.1</v>
      </c>
      <c r="G160" s="5">
        <v>24</v>
      </c>
      <c r="I160" s="5" t="b">
        <v>1</v>
      </c>
      <c r="J160" s="5" t="b">
        <v>1</v>
      </c>
      <c r="K160" s="5" t="b">
        <v>1</v>
      </c>
    </row>
    <row r="161" spans="1:11">
      <c r="A161" s="5" t="s">
        <v>62</v>
      </c>
      <c r="B161" s="5" t="s">
        <v>336</v>
      </c>
      <c r="C161" s="6">
        <v>480000</v>
      </c>
      <c r="D161" s="7">
        <v>0.25</v>
      </c>
      <c r="E161" s="7">
        <v>0.1</v>
      </c>
      <c r="F161" s="7">
        <v>0.1</v>
      </c>
      <c r="G161" s="5">
        <v>36</v>
      </c>
      <c r="I161" s="5" t="b">
        <v>1</v>
      </c>
      <c r="J161" s="5" t="b">
        <v>1</v>
      </c>
      <c r="K161" s="5" t="b">
        <v>1</v>
      </c>
    </row>
    <row r="162" spans="1:11">
      <c r="A162" s="5" t="s">
        <v>62</v>
      </c>
      <c r="B162" s="5" t="s">
        <v>337</v>
      </c>
      <c r="C162" s="6">
        <v>150000</v>
      </c>
      <c r="D162" s="7">
        <v>0.25</v>
      </c>
      <c r="E162" s="7">
        <v>0.1</v>
      </c>
      <c r="F162" s="7">
        <v>0.1</v>
      </c>
      <c r="G162" s="5">
        <v>6</v>
      </c>
      <c r="I162" s="5" t="b">
        <v>1</v>
      </c>
      <c r="J162" s="5" t="b">
        <v>1</v>
      </c>
      <c r="K162" s="5" t="b">
        <v>1</v>
      </c>
    </row>
    <row r="163" spans="1:11">
      <c r="A163" s="5" t="s">
        <v>62</v>
      </c>
      <c r="B163" s="5" t="s">
        <v>338</v>
      </c>
      <c r="C163" s="6">
        <v>480000</v>
      </c>
      <c r="D163" s="7">
        <v>0.25</v>
      </c>
      <c r="E163" s="7">
        <v>0.1</v>
      </c>
      <c r="F163" s="7">
        <v>0.1</v>
      </c>
      <c r="G163" s="5">
        <v>20</v>
      </c>
      <c r="I163" s="5" t="b">
        <v>1</v>
      </c>
      <c r="J163" s="5" t="b">
        <v>1</v>
      </c>
      <c r="K163" s="5" t="b">
        <v>1</v>
      </c>
    </row>
    <row r="164" spans="1:11">
      <c r="A164" s="5" t="s">
        <v>62</v>
      </c>
      <c r="B164" s="5" t="s">
        <v>339</v>
      </c>
      <c r="C164" s="6">
        <v>577489.37</v>
      </c>
      <c r="D164" s="7">
        <v>0.25</v>
      </c>
      <c r="E164" s="7">
        <v>0.1</v>
      </c>
      <c r="F164" s="7">
        <v>0.1</v>
      </c>
      <c r="G164" s="5">
        <v>12</v>
      </c>
      <c r="I164" s="5" t="b">
        <v>1</v>
      </c>
      <c r="J164" s="5" t="b">
        <v>1</v>
      </c>
      <c r="K164" s="5" t="b">
        <v>1</v>
      </c>
    </row>
    <row r="165" spans="1:11">
      <c r="A165" s="5" t="s">
        <v>62</v>
      </c>
      <c r="B165" s="5" t="s">
        <v>340</v>
      </c>
      <c r="C165" s="6">
        <v>2000000</v>
      </c>
      <c r="D165" s="7">
        <v>0.25</v>
      </c>
      <c r="E165" s="7">
        <v>0</v>
      </c>
      <c r="F165" s="7">
        <v>0.1</v>
      </c>
      <c r="G165" s="5">
        <v>30</v>
      </c>
      <c r="I165" s="5" t="b">
        <v>1</v>
      </c>
      <c r="J165" s="5" t="b">
        <v>0</v>
      </c>
      <c r="K165" s="5" t="b">
        <v>1</v>
      </c>
    </row>
    <row r="166" spans="1:11">
      <c r="A166" s="5" t="s">
        <v>62</v>
      </c>
      <c r="B166" s="5" t="s">
        <v>341</v>
      </c>
      <c r="C166" s="6">
        <v>288000</v>
      </c>
      <c r="D166" s="7">
        <v>0.25</v>
      </c>
      <c r="E166" s="7">
        <v>0.1</v>
      </c>
      <c r="F166" s="7">
        <v>0.1</v>
      </c>
      <c r="G166" s="5">
        <v>16</v>
      </c>
      <c r="I166" s="5" t="b">
        <v>1</v>
      </c>
      <c r="J166" s="5" t="b">
        <v>1</v>
      </c>
      <c r="K166" s="5" t="b">
        <v>1</v>
      </c>
    </row>
    <row r="167" spans="1:11">
      <c r="A167" s="5" t="s">
        <v>62</v>
      </c>
      <c r="B167" s="5" t="s">
        <v>342</v>
      </c>
      <c r="C167" s="6">
        <v>1600000</v>
      </c>
      <c r="D167" s="7">
        <v>0</v>
      </c>
      <c r="E167" s="7">
        <v>0</v>
      </c>
      <c r="F167" s="7">
        <v>0</v>
      </c>
      <c r="G167" s="5">
        <v>3</v>
      </c>
      <c r="I167" s="5" t="b">
        <v>0</v>
      </c>
      <c r="J167" s="5" t="b">
        <v>1</v>
      </c>
      <c r="K167" s="5" t="b">
        <v>1</v>
      </c>
    </row>
    <row r="168" spans="1:11">
      <c r="A168" s="5" t="s">
        <v>62</v>
      </c>
      <c r="B168" s="5" t="s">
        <v>717</v>
      </c>
      <c r="C168" s="6">
        <v>1622228.16</v>
      </c>
      <c r="D168" s="7">
        <v>0</v>
      </c>
      <c r="E168" s="7">
        <v>0</v>
      </c>
      <c r="F168" s="7">
        <v>0</v>
      </c>
      <c r="G168" s="5">
        <v>48</v>
      </c>
      <c r="I168" s="5" t="b">
        <v>0</v>
      </c>
      <c r="J168" s="5" t="b">
        <v>0</v>
      </c>
      <c r="K168" s="5" t="b">
        <v>0</v>
      </c>
    </row>
    <row r="169" spans="1:11">
      <c r="A169" s="5" t="s">
        <v>62</v>
      </c>
      <c r="B169" s="5" t="s">
        <v>344</v>
      </c>
      <c r="C169" s="6">
        <v>350272</v>
      </c>
      <c r="D169" s="7">
        <v>0</v>
      </c>
      <c r="E169" s="7">
        <v>0</v>
      </c>
      <c r="F169" s="7">
        <v>1</v>
      </c>
      <c r="G169" s="5">
        <v>26</v>
      </c>
      <c r="H169" s="5" t="s">
        <v>345</v>
      </c>
      <c r="I169" s="5" t="b">
        <v>0</v>
      </c>
      <c r="J169" s="5" t="b">
        <v>0</v>
      </c>
      <c r="K169" s="5" t="b">
        <v>1</v>
      </c>
    </row>
    <row r="170" spans="1:11">
      <c r="A170" s="5" t="s">
        <v>62</v>
      </c>
      <c r="B170" s="5" t="s">
        <v>346</v>
      </c>
      <c r="C170" s="6">
        <v>523104.55</v>
      </c>
      <c r="D170" s="7">
        <v>0</v>
      </c>
      <c r="E170" s="7">
        <v>0</v>
      </c>
      <c r="F170" s="7">
        <v>0</v>
      </c>
      <c r="G170" s="5">
        <v>12</v>
      </c>
      <c r="I170" s="5" t="b">
        <v>0</v>
      </c>
      <c r="J170" s="5" t="b">
        <v>0</v>
      </c>
      <c r="K170" s="5" t="b">
        <v>0</v>
      </c>
    </row>
    <row r="171" spans="1:11">
      <c r="A171" s="5" t="s">
        <v>62</v>
      </c>
      <c r="B171" s="5" t="s">
        <v>347</v>
      </c>
      <c r="C171" s="6">
        <v>350000</v>
      </c>
      <c r="D171" s="7">
        <v>0.25</v>
      </c>
      <c r="E171" s="7">
        <v>0.1</v>
      </c>
      <c r="F171" s="7">
        <v>0.1</v>
      </c>
      <c r="G171" s="5">
        <v>30</v>
      </c>
      <c r="I171" s="5" t="b">
        <v>1</v>
      </c>
      <c r="J171" s="5" t="b">
        <v>1</v>
      </c>
      <c r="K171" s="5" t="b">
        <v>1</v>
      </c>
    </row>
    <row r="172" spans="1:11">
      <c r="A172" s="5" t="s">
        <v>63</v>
      </c>
      <c r="B172" s="5" t="s">
        <v>349</v>
      </c>
      <c r="C172" s="6">
        <v>3910000</v>
      </c>
      <c r="D172" s="7">
        <v>0.25</v>
      </c>
      <c r="E172" s="7">
        <v>0.1</v>
      </c>
      <c r="F172" s="7">
        <v>0.05</v>
      </c>
      <c r="G172" s="5">
        <v>57</v>
      </c>
      <c r="I172" s="5" t="b">
        <v>1</v>
      </c>
      <c r="J172" s="5" t="b">
        <v>1</v>
      </c>
      <c r="K172" s="5" t="b">
        <v>1</v>
      </c>
    </row>
    <row r="173" spans="1:11">
      <c r="A173" s="5" t="s">
        <v>63</v>
      </c>
      <c r="B173" s="5" t="s">
        <v>351</v>
      </c>
      <c r="C173" s="6">
        <v>421392.11</v>
      </c>
      <c r="D173" s="7">
        <v>0.25</v>
      </c>
      <c r="E173" s="7">
        <v>0.1</v>
      </c>
      <c r="F173" s="7">
        <v>0.05</v>
      </c>
      <c r="G173" s="5">
        <v>42</v>
      </c>
      <c r="I173" s="5" t="b">
        <v>1</v>
      </c>
      <c r="J173" s="5" t="b">
        <v>1</v>
      </c>
      <c r="K173" s="5" t="b">
        <v>1</v>
      </c>
    </row>
    <row r="174" spans="1:11">
      <c r="A174" s="5" t="s">
        <v>63</v>
      </c>
      <c r="B174" s="5" t="s">
        <v>352</v>
      </c>
      <c r="C174" s="6">
        <v>485313.39</v>
      </c>
      <c r="D174" s="7">
        <v>0.25</v>
      </c>
      <c r="E174" s="7">
        <v>0.1</v>
      </c>
      <c r="F174" s="7">
        <v>0.05</v>
      </c>
      <c r="G174" s="5">
        <v>29</v>
      </c>
      <c r="I174" s="5" t="b">
        <v>1</v>
      </c>
      <c r="J174" s="5" t="b">
        <v>1</v>
      </c>
      <c r="K174" s="5" t="b">
        <v>1</v>
      </c>
    </row>
    <row r="175" spans="1:11">
      <c r="A175" s="5" t="s">
        <v>63</v>
      </c>
      <c r="B175" s="5" t="s">
        <v>353</v>
      </c>
      <c r="C175" s="6">
        <v>960784.25</v>
      </c>
      <c r="D175" s="7">
        <v>0.25</v>
      </c>
      <c r="E175" s="7">
        <v>0.1</v>
      </c>
      <c r="F175" s="7">
        <v>0.05</v>
      </c>
      <c r="G175" s="5">
        <v>3</v>
      </c>
      <c r="I175" s="5" t="b">
        <v>1</v>
      </c>
      <c r="J175" s="5" t="b">
        <v>1</v>
      </c>
      <c r="K175" s="5" t="b">
        <v>1</v>
      </c>
    </row>
    <row r="176" spans="1:11">
      <c r="A176" s="5" t="s">
        <v>63</v>
      </c>
      <c r="B176" s="5" t="s">
        <v>354</v>
      </c>
      <c r="C176" s="6">
        <v>2401960.5</v>
      </c>
      <c r="D176" s="7">
        <v>0.25</v>
      </c>
      <c r="E176" s="7">
        <v>0.1</v>
      </c>
      <c r="F176" s="7">
        <v>0.05</v>
      </c>
      <c r="G176" s="5">
        <v>40</v>
      </c>
      <c r="I176" s="5" t="b">
        <v>1</v>
      </c>
      <c r="J176" s="5" t="b">
        <v>1</v>
      </c>
      <c r="K176" s="5" t="b">
        <v>1</v>
      </c>
    </row>
    <row r="177" spans="1:11">
      <c r="A177" s="5" t="s">
        <v>63</v>
      </c>
      <c r="B177" s="5" t="s">
        <v>355</v>
      </c>
      <c r="C177" s="6">
        <v>948000</v>
      </c>
      <c r="D177" s="7">
        <v>0.25</v>
      </c>
      <c r="E177" s="7">
        <v>0.1</v>
      </c>
      <c r="F177" s="7">
        <v>0.05</v>
      </c>
      <c r="G177" s="5">
        <v>57</v>
      </c>
      <c r="I177" s="5" t="b">
        <v>1</v>
      </c>
      <c r="J177" s="5" t="b">
        <v>1</v>
      </c>
      <c r="K177" s="5" t="b">
        <v>1</v>
      </c>
    </row>
    <row r="178" spans="1:11">
      <c r="A178" s="5" t="s">
        <v>104</v>
      </c>
      <c r="B178" s="5" t="s">
        <v>356</v>
      </c>
      <c r="C178" s="6">
        <v>1957000</v>
      </c>
      <c r="D178" s="7">
        <v>0.3</v>
      </c>
      <c r="E178" s="7">
        <v>0.1</v>
      </c>
      <c r="F178" s="7">
        <v>0.1</v>
      </c>
      <c r="G178" s="5">
        <v>50</v>
      </c>
      <c r="I178" s="5" t="b">
        <v>1</v>
      </c>
      <c r="J178" s="5" t="b">
        <v>1</v>
      </c>
      <c r="K178" s="5" t="b">
        <v>1</v>
      </c>
    </row>
    <row r="179" spans="1:11">
      <c r="A179" s="5" t="s">
        <v>104</v>
      </c>
      <c r="B179" s="5" t="s">
        <v>358</v>
      </c>
      <c r="C179" s="6">
        <v>5400000</v>
      </c>
      <c r="D179" s="7">
        <v>0.25</v>
      </c>
      <c r="E179" s="7">
        <v>0.1</v>
      </c>
      <c r="F179" s="7">
        <v>0.1</v>
      </c>
      <c r="G179" s="5">
        <v>40</v>
      </c>
      <c r="I179" s="5" t="b">
        <v>1</v>
      </c>
      <c r="J179" s="5" t="b">
        <v>1</v>
      </c>
      <c r="K179" s="5" t="b">
        <v>1</v>
      </c>
    </row>
    <row r="180" spans="1:11">
      <c r="A180" s="5" t="s">
        <v>104</v>
      </c>
      <c r="B180" s="5" t="s">
        <v>359</v>
      </c>
      <c r="C180" s="6">
        <v>907000</v>
      </c>
      <c r="D180" s="7">
        <v>0.25</v>
      </c>
      <c r="E180" s="7">
        <v>0.1</v>
      </c>
      <c r="F180" s="7">
        <v>0.1</v>
      </c>
      <c r="G180" s="5">
        <v>2</v>
      </c>
      <c r="I180" s="5" t="b">
        <v>1</v>
      </c>
      <c r="J180" s="5" t="b">
        <v>1</v>
      </c>
      <c r="K180" s="5" t="b">
        <v>1</v>
      </c>
    </row>
    <row r="181" spans="1:11">
      <c r="A181" s="5" t="s">
        <v>104</v>
      </c>
      <c r="B181" s="5" t="s">
        <v>360</v>
      </c>
      <c r="C181" s="6">
        <v>1000000</v>
      </c>
      <c r="D181" s="7">
        <v>0.25</v>
      </c>
      <c r="E181" s="7">
        <v>0.1</v>
      </c>
      <c r="F181" s="7">
        <v>0.1</v>
      </c>
      <c r="G181" s="5">
        <v>15</v>
      </c>
      <c r="I181" s="5" t="b">
        <v>1</v>
      </c>
      <c r="J181" s="5" t="b">
        <v>1</v>
      </c>
      <c r="K181" s="5" t="b">
        <v>1</v>
      </c>
    </row>
    <row r="182" spans="1:11">
      <c r="A182" s="5" t="s">
        <v>104</v>
      </c>
      <c r="B182" s="5" t="s">
        <v>361</v>
      </c>
      <c r="C182" s="6">
        <v>2500000</v>
      </c>
      <c r="D182" s="7">
        <v>0.25</v>
      </c>
      <c r="E182" s="7">
        <v>0.1</v>
      </c>
      <c r="F182" s="7">
        <v>0.1</v>
      </c>
      <c r="G182" s="5">
        <v>20</v>
      </c>
      <c r="I182" s="5" t="b">
        <v>1</v>
      </c>
      <c r="J182" s="5" t="b">
        <v>1</v>
      </c>
      <c r="K182" s="5" t="b">
        <v>1</v>
      </c>
    </row>
    <row r="183" spans="1:11">
      <c r="A183" s="5" t="s">
        <v>104</v>
      </c>
      <c r="B183" s="5" t="s">
        <v>362</v>
      </c>
      <c r="C183" s="6">
        <v>2500000</v>
      </c>
      <c r="D183" s="7">
        <v>0.25</v>
      </c>
      <c r="E183" s="7">
        <v>0.1</v>
      </c>
      <c r="F183" s="7">
        <v>0.1</v>
      </c>
      <c r="G183" s="5">
        <v>36</v>
      </c>
      <c r="I183" s="5" t="b">
        <v>1</v>
      </c>
      <c r="J183" s="5" t="b">
        <v>1</v>
      </c>
      <c r="K183" s="5" t="b">
        <v>1</v>
      </c>
    </row>
    <row r="184" spans="1:11">
      <c r="A184" s="5" t="s">
        <v>104</v>
      </c>
      <c r="B184" s="5" t="s">
        <v>363</v>
      </c>
      <c r="C184" s="6">
        <v>1000000</v>
      </c>
      <c r="D184" s="7">
        <v>0.25</v>
      </c>
      <c r="E184" s="7">
        <v>0.1</v>
      </c>
      <c r="F184" s="7">
        <v>0.1</v>
      </c>
      <c r="G184" s="5">
        <v>39</v>
      </c>
      <c r="I184" s="5" t="b">
        <v>1</v>
      </c>
      <c r="J184" s="5" t="b">
        <v>1</v>
      </c>
      <c r="K184" s="5" t="b">
        <v>1</v>
      </c>
    </row>
    <row r="185" spans="1:11">
      <c r="A185" s="5" t="s">
        <v>104</v>
      </c>
      <c r="B185" s="5" t="s">
        <v>364</v>
      </c>
      <c r="C185" s="6">
        <v>2000000</v>
      </c>
      <c r="D185" s="7">
        <v>0.25</v>
      </c>
      <c r="E185" s="7">
        <v>0.1</v>
      </c>
      <c r="F185" s="7">
        <v>0.1</v>
      </c>
      <c r="G185" s="5">
        <v>20</v>
      </c>
      <c r="I185" s="5" t="b">
        <v>1</v>
      </c>
      <c r="J185" s="5" t="b">
        <v>1</v>
      </c>
      <c r="K185" s="5" t="b">
        <v>1</v>
      </c>
    </row>
    <row r="186" spans="1:11">
      <c r="A186" s="5" t="s">
        <v>104</v>
      </c>
      <c r="B186" s="5" t="s">
        <v>365</v>
      </c>
      <c r="C186" s="6">
        <v>1000000</v>
      </c>
      <c r="D186" s="7">
        <v>0.25</v>
      </c>
      <c r="E186" s="7">
        <v>0.1</v>
      </c>
      <c r="F186" s="7">
        <v>0.1</v>
      </c>
      <c r="G186" s="5">
        <v>13</v>
      </c>
      <c r="I186" s="5" t="b">
        <v>1</v>
      </c>
      <c r="J186" s="5" t="b">
        <v>1</v>
      </c>
      <c r="K186" s="5" t="b">
        <v>1</v>
      </c>
    </row>
    <row r="187" spans="1:11">
      <c r="A187" s="5" t="s">
        <v>104</v>
      </c>
      <c r="B187" s="5" t="s">
        <v>366</v>
      </c>
      <c r="C187" s="6">
        <v>1000000</v>
      </c>
      <c r="D187" s="7">
        <v>0.25</v>
      </c>
      <c r="E187" s="7">
        <v>0.1</v>
      </c>
      <c r="F187" s="7">
        <v>0.1</v>
      </c>
      <c r="G187" s="5">
        <v>18</v>
      </c>
      <c r="I187" s="5" t="b">
        <v>1</v>
      </c>
      <c r="J187" s="5" t="b">
        <v>1</v>
      </c>
      <c r="K187" s="5" t="b">
        <v>1</v>
      </c>
    </row>
    <row r="188" spans="1:11">
      <c r="A188" s="5" t="s">
        <v>104</v>
      </c>
      <c r="B188" s="5" t="s">
        <v>367</v>
      </c>
      <c r="C188" s="6">
        <v>2000000</v>
      </c>
      <c r="D188" s="7">
        <v>0.25</v>
      </c>
      <c r="E188" s="7">
        <v>0.1</v>
      </c>
      <c r="F188" s="7">
        <v>0.1</v>
      </c>
      <c r="G188" s="5">
        <v>22</v>
      </c>
      <c r="I188" s="5" t="b">
        <v>1</v>
      </c>
      <c r="J188" s="5" t="b">
        <v>1</v>
      </c>
      <c r="K188" s="5" t="b">
        <v>1</v>
      </c>
    </row>
    <row r="189" spans="1:11">
      <c r="A189" s="5" t="s">
        <v>104</v>
      </c>
      <c r="B189" s="5" t="s">
        <v>368</v>
      </c>
      <c r="C189" s="6">
        <v>2000000</v>
      </c>
      <c r="D189" s="7">
        <v>0.25</v>
      </c>
      <c r="E189" s="7">
        <v>0.1</v>
      </c>
      <c r="F189" s="7">
        <v>0.1</v>
      </c>
      <c r="G189" s="5">
        <v>62</v>
      </c>
      <c r="I189" s="5" t="b">
        <v>1</v>
      </c>
      <c r="J189" s="5" t="b">
        <v>1</v>
      </c>
      <c r="K189" s="5" t="b">
        <v>1</v>
      </c>
    </row>
    <row r="190" spans="1:11">
      <c r="A190" s="5" t="s">
        <v>104</v>
      </c>
      <c r="B190" s="5" t="s">
        <v>369</v>
      </c>
      <c r="C190" s="6">
        <v>4000000</v>
      </c>
      <c r="D190" s="7">
        <v>0.25</v>
      </c>
      <c r="E190" s="7">
        <v>0.1</v>
      </c>
      <c r="F190" s="7">
        <v>0.1</v>
      </c>
      <c r="G190" s="5">
        <v>73</v>
      </c>
      <c r="I190" s="5" t="b">
        <v>1</v>
      </c>
      <c r="J190" s="5" t="b">
        <v>1</v>
      </c>
      <c r="K190" s="5" t="b">
        <v>1</v>
      </c>
    </row>
    <row r="191" spans="1:11">
      <c r="A191" s="5" t="s">
        <v>104</v>
      </c>
      <c r="B191" s="5" t="s">
        <v>370</v>
      </c>
      <c r="C191" s="6">
        <v>2000000</v>
      </c>
      <c r="D191" s="7">
        <v>0.25</v>
      </c>
      <c r="E191" s="7">
        <v>0.1</v>
      </c>
      <c r="F191" s="7">
        <v>0.1</v>
      </c>
      <c r="G191" s="5">
        <v>22</v>
      </c>
      <c r="I191" s="5" t="b">
        <v>1</v>
      </c>
      <c r="J191" s="5" t="b">
        <v>1</v>
      </c>
      <c r="K191" s="5" t="b">
        <v>1</v>
      </c>
    </row>
    <row r="192" spans="1:11">
      <c r="A192" s="5" t="s">
        <v>104</v>
      </c>
      <c r="B192" s="5" t="s">
        <v>371</v>
      </c>
      <c r="C192" s="6">
        <v>1500000</v>
      </c>
      <c r="D192" s="7">
        <v>0.25</v>
      </c>
      <c r="E192" s="7">
        <v>0.1</v>
      </c>
      <c r="F192" s="7">
        <v>0.1</v>
      </c>
      <c r="G192" s="5">
        <v>12</v>
      </c>
      <c r="I192" s="5" t="b">
        <v>1</v>
      </c>
      <c r="J192" s="5" t="b">
        <v>1</v>
      </c>
      <c r="K192" s="5" t="b">
        <v>1</v>
      </c>
    </row>
    <row r="193" spans="1:11">
      <c r="A193" s="5" t="s">
        <v>104</v>
      </c>
      <c r="B193" s="5" t="s">
        <v>372</v>
      </c>
      <c r="C193" s="6">
        <v>1000000</v>
      </c>
      <c r="D193" s="7">
        <v>0.25</v>
      </c>
      <c r="E193" s="7">
        <v>0.1</v>
      </c>
      <c r="F193" s="7">
        <v>0.1</v>
      </c>
      <c r="G193" s="5">
        <v>25</v>
      </c>
      <c r="I193" s="5" t="b">
        <v>1</v>
      </c>
      <c r="J193" s="5" t="b">
        <v>1</v>
      </c>
      <c r="K193" s="5" t="b">
        <v>1</v>
      </c>
    </row>
    <row r="194" spans="1:11">
      <c r="A194" s="5" t="s">
        <v>104</v>
      </c>
      <c r="B194" s="5" t="s">
        <v>373</v>
      </c>
      <c r="C194" s="6">
        <v>3500000</v>
      </c>
      <c r="D194" s="7">
        <v>0.25</v>
      </c>
      <c r="E194" s="7">
        <v>0.1</v>
      </c>
      <c r="F194" s="7">
        <v>0.1</v>
      </c>
      <c r="G194" s="5">
        <v>27</v>
      </c>
      <c r="I194" s="5" t="b">
        <v>1</v>
      </c>
      <c r="J194" s="5" t="b">
        <v>1</v>
      </c>
      <c r="K194" s="5" t="b">
        <v>1</v>
      </c>
    </row>
    <row r="195" spans="1:11">
      <c r="A195" s="5" t="s">
        <v>104</v>
      </c>
      <c r="B195" s="5" t="s">
        <v>374</v>
      </c>
      <c r="C195" s="6">
        <v>6050000</v>
      </c>
      <c r="D195" s="7">
        <v>0.25</v>
      </c>
      <c r="E195" s="7">
        <v>0.1</v>
      </c>
      <c r="F195" s="7">
        <v>0.1</v>
      </c>
      <c r="G195" s="5">
        <v>32</v>
      </c>
      <c r="I195" s="5" t="b">
        <v>1</v>
      </c>
      <c r="J195" s="5" t="b">
        <v>1</v>
      </c>
      <c r="K195" s="5" t="b">
        <v>1</v>
      </c>
    </row>
    <row r="196" spans="1:11">
      <c r="A196" s="5" t="s">
        <v>104</v>
      </c>
      <c r="B196" s="5" t="s">
        <v>375</v>
      </c>
      <c r="C196" s="6">
        <v>1000000</v>
      </c>
      <c r="D196" s="7">
        <v>0.25</v>
      </c>
      <c r="E196" s="7">
        <v>0.1</v>
      </c>
      <c r="F196" s="7">
        <v>0.1</v>
      </c>
      <c r="G196" s="5">
        <v>10</v>
      </c>
      <c r="I196" s="5" t="b">
        <v>1</v>
      </c>
      <c r="J196" s="5" t="b">
        <v>1</v>
      </c>
      <c r="K196" s="5" t="b">
        <v>1</v>
      </c>
    </row>
    <row r="197" spans="1:11">
      <c r="A197" s="5" t="s">
        <v>104</v>
      </c>
      <c r="B197" s="5" t="s">
        <v>376</v>
      </c>
      <c r="C197" s="6">
        <v>4950000</v>
      </c>
      <c r="D197" s="7">
        <v>0.23680000000000001</v>
      </c>
      <c r="E197" s="7">
        <v>7.8899999999999998E-2</v>
      </c>
      <c r="F197" s="7">
        <v>7.8899999999999998E-2</v>
      </c>
      <c r="G197" s="5">
        <v>38</v>
      </c>
      <c r="I197" s="5" t="b">
        <v>1</v>
      </c>
      <c r="J197" s="5" t="b">
        <v>0</v>
      </c>
      <c r="K197" s="5" t="b">
        <v>1</v>
      </c>
    </row>
    <row r="198" spans="1:11">
      <c r="A198" s="5" t="s">
        <v>64</v>
      </c>
      <c r="B198" s="5" t="s">
        <v>377</v>
      </c>
      <c r="C198" s="6">
        <v>420000</v>
      </c>
      <c r="D198" s="7">
        <v>0.25</v>
      </c>
      <c r="E198" s="7">
        <v>0.1</v>
      </c>
      <c r="F198" s="7">
        <v>0.05</v>
      </c>
      <c r="G198" s="5">
        <v>14</v>
      </c>
      <c r="I198" s="5" t="b">
        <v>1</v>
      </c>
      <c r="J198" s="5" t="b">
        <v>1</v>
      </c>
      <c r="K198" s="5" t="b">
        <v>1</v>
      </c>
    </row>
    <row r="199" spans="1:11">
      <c r="A199" s="5" t="s">
        <v>64</v>
      </c>
      <c r="B199" s="5" t="s">
        <v>379</v>
      </c>
      <c r="C199" s="6">
        <v>1200000</v>
      </c>
      <c r="D199" s="7">
        <v>0.25</v>
      </c>
      <c r="E199" s="7">
        <v>0.1</v>
      </c>
      <c r="F199" s="7">
        <v>0.05</v>
      </c>
      <c r="G199" s="5">
        <v>10</v>
      </c>
      <c r="I199" s="5" t="b">
        <v>1</v>
      </c>
      <c r="J199" s="5" t="b">
        <v>1</v>
      </c>
      <c r="K199" s="5" t="b">
        <v>1</v>
      </c>
    </row>
    <row r="200" spans="1:11">
      <c r="A200" s="5" t="s">
        <v>64</v>
      </c>
      <c r="B200" s="5" t="s">
        <v>380</v>
      </c>
      <c r="C200" s="6">
        <v>240000</v>
      </c>
      <c r="D200" s="7">
        <v>1</v>
      </c>
      <c r="E200" s="7">
        <v>0.1</v>
      </c>
      <c r="F200" s="7">
        <v>7.0000000000000007E-2</v>
      </c>
      <c r="G200" s="5">
        <v>30</v>
      </c>
      <c r="H200" s="5" t="s">
        <v>213</v>
      </c>
      <c r="I200" s="5" t="b">
        <v>1</v>
      </c>
      <c r="J200" s="5" t="b">
        <v>1</v>
      </c>
      <c r="K200" s="5" t="b">
        <v>1</v>
      </c>
    </row>
    <row r="201" spans="1:11">
      <c r="A201" s="5" t="s">
        <v>64</v>
      </c>
      <c r="B201" s="5" t="s">
        <v>381</v>
      </c>
      <c r="C201" s="6">
        <v>800000</v>
      </c>
      <c r="D201" s="7">
        <v>0.25</v>
      </c>
      <c r="E201" s="7">
        <v>0.1</v>
      </c>
      <c r="F201" s="7">
        <v>0.05</v>
      </c>
      <c r="G201" s="5">
        <v>20</v>
      </c>
      <c r="I201" s="5" t="b">
        <v>1</v>
      </c>
      <c r="J201" s="5" t="b">
        <v>1</v>
      </c>
      <c r="K201" s="5" t="b">
        <v>1</v>
      </c>
    </row>
    <row r="202" spans="1:11">
      <c r="A202" s="5" t="s">
        <v>64</v>
      </c>
      <c r="B202" s="5" t="s">
        <v>382</v>
      </c>
      <c r="C202" s="6">
        <v>240000</v>
      </c>
      <c r="D202" s="7">
        <v>0.26</v>
      </c>
      <c r="E202" s="7">
        <v>0.1</v>
      </c>
      <c r="F202" s="7">
        <v>0.06</v>
      </c>
      <c r="G202" s="5">
        <v>30</v>
      </c>
      <c r="I202" s="5" t="b">
        <v>1</v>
      </c>
      <c r="J202" s="5" t="b">
        <v>1</v>
      </c>
      <c r="K202" s="5" t="b">
        <v>1</v>
      </c>
    </row>
    <row r="203" spans="1:11">
      <c r="A203" s="5" t="s">
        <v>64</v>
      </c>
      <c r="B203" s="5" t="s">
        <v>383</v>
      </c>
      <c r="C203" s="6">
        <v>500000</v>
      </c>
      <c r="D203" s="7">
        <v>0.23</v>
      </c>
      <c r="E203" s="7">
        <v>0.12</v>
      </c>
      <c r="F203" s="7">
        <v>0.06</v>
      </c>
      <c r="G203" s="5">
        <v>17</v>
      </c>
      <c r="I203" s="5" t="b">
        <v>1</v>
      </c>
      <c r="J203" s="5" t="b">
        <v>1</v>
      </c>
      <c r="K203" s="5" t="b">
        <v>1</v>
      </c>
    </row>
    <row r="204" spans="1:11">
      <c r="A204" s="5" t="s">
        <v>64</v>
      </c>
      <c r="B204" s="5" t="s">
        <v>384</v>
      </c>
      <c r="C204" s="6">
        <v>370000</v>
      </c>
      <c r="D204" s="7">
        <v>0.23</v>
      </c>
      <c r="E204" s="7">
        <v>0.15</v>
      </c>
      <c r="F204" s="7">
        <v>0.15</v>
      </c>
      <c r="G204" s="5">
        <v>13</v>
      </c>
      <c r="I204" s="5" t="b">
        <v>1</v>
      </c>
      <c r="J204" s="5" t="b">
        <v>1</v>
      </c>
      <c r="K204" s="5" t="b">
        <v>1</v>
      </c>
    </row>
    <row r="205" spans="1:11">
      <c r="A205" s="5" t="s">
        <v>64</v>
      </c>
      <c r="B205" s="5" t="s">
        <v>385</v>
      </c>
      <c r="C205" s="6">
        <v>200000</v>
      </c>
      <c r="D205" s="7">
        <v>0.26</v>
      </c>
      <c r="E205" s="7">
        <v>0.13</v>
      </c>
      <c r="F205" s="7">
        <v>0.06</v>
      </c>
      <c r="G205" s="5">
        <v>15</v>
      </c>
      <c r="I205" s="5" t="b">
        <v>1</v>
      </c>
      <c r="J205" s="5" t="b">
        <v>1</v>
      </c>
      <c r="K205" s="5" t="b">
        <v>1</v>
      </c>
    </row>
    <row r="206" spans="1:11">
      <c r="A206" s="5" t="s">
        <v>64</v>
      </c>
      <c r="B206" s="5" t="s">
        <v>386</v>
      </c>
      <c r="C206" s="6">
        <v>1320000</v>
      </c>
      <c r="D206" s="7">
        <v>0.24</v>
      </c>
      <c r="E206" s="7">
        <v>0.09</v>
      </c>
      <c r="F206" s="7">
        <v>0.06</v>
      </c>
      <c r="G206" s="5">
        <v>75</v>
      </c>
      <c r="I206" s="5" t="b">
        <v>0</v>
      </c>
      <c r="J206" s="5" t="b">
        <v>1</v>
      </c>
      <c r="K206" s="5" t="b">
        <v>1</v>
      </c>
    </row>
    <row r="207" spans="1:11">
      <c r="A207" s="5" t="s">
        <v>65</v>
      </c>
      <c r="B207" s="5" t="s">
        <v>387</v>
      </c>
      <c r="C207" s="6">
        <v>868254.06</v>
      </c>
      <c r="D207" s="7">
        <v>0.25</v>
      </c>
      <c r="E207" s="7">
        <v>0.1</v>
      </c>
      <c r="F207" s="7">
        <v>0.05</v>
      </c>
      <c r="G207" s="5">
        <v>48</v>
      </c>
      <c r="I207" s="5" t="b">
        <v>1</v>
      </c>
      <c r="J207" s="5" t="b">
        <v>1</v>
      </c>
      <c r="K207" s="5" t="b">
        <v>1</v>
      </c>
    </row>
    <row r="208" spans="1:11">
      <c r="A208" s="5" t="s">
        <v>65</v>
      </c>
      <c r="B208" s="5" t="s">
        <v>389</v>
      </c>
      <c r="C208" s="6">
        <v>1070000</v>
      </c>
      <c r="D208" s="7">
        <v>0.25</v>
      </c>
      <c r="E208" s="7">
        <v>0.1</v>
      </c>
      <c r="F208" s="7">
        <v>0.05</v>
      </c>
      <c r="G208" s="5">
        <v>38</v>
      </c>
      <c r="I208" s="5" t="b">
        <v>1</v>
      </c>
      <c r="J208" s="5" t="b">
        <v>1</v>
      </c>
      <c r="K208" s="5" t="b">
        <v>1</v>
      </c>
    </row>
    <row r="209" spans="1:11">
      <c r="A209" s="5" t="s">
        <v>65</v>
      </c>
      <c r="B209" s="5" t="s">
        <v>390</v>
      </c>
      <c r="C209" s="6">
        <v>600000</v>
      </c>
      <c r="D209" s="7">
        <v>0.25</v>
      </c>
      <c r="E209" s="7">
        <v>0.1</v>
      </c>
      <c r="F209" s="7">
        <v>0.05</v>
      </c>
      <c r="G209" s="5">
        <v>65</v>
      </c>
      <c r="I209" s="5" t="b">
        <v>1</v>
      </c>
      <c r="J209" s="5" t="b">
        <v>1</v>
      </c>
      <c r="K209" s="5" t="b">
        <v>1</v>
      </c>
    </row>
    <row r="210" spans="1:11">
      <c r="A210" s="5" t="s">
        <v>66</v>
      </c>
      <c r="B210" s="5" t="s">
        <v>391</v>
      </c>
      <c r="C210" s="6">
        <v>745000</v>
      </c>
      <c r="D210" s="7">
        <v>0.26</v>
      </c>
      <c r="E210" s="7">
        <v>0.1</v>
      </c>
      <c r="F210" s="7">
        <v>0.08</v>
      </c>
      <c r="G210" s="5">
        <v>51</v>
      </c>
      <c r="I210" s="5" t="b">
        <v>1</v>
      </c>
      <c r="J210" s="5" t="b">
        <v>1</v>
      </c>
      <c r="K210" s="5" t="b">
        <v>1</v>
      </c>
    </row>
    <row r="211" spans="1:11">
      <c r="A211" s="5" t="s">
        <v>66</v>
      </c>
      <c r="B211" s="5" t="s">
        <v>393</v>
      </c>
      <c r="C211" s="6">
        <v>733500</v>
      </c>
      <c r="D211" s="7">
        <v>0.28000000000000003</v>
      </c>
      <c r="E211" s="7">
        <v>0.1</v>
      </c>
      <c r="F211" s="7">
        <v>0.09</v>
      </c>
      <c r="G211" s="5">
        <v>46</v>
      </c>
      <c r="I211" s="5" t="b">
        <v>1</v>
      </c>
      <c r="J211" s="5" t="b">
        <v>1</v>
      </c>
      <c r="K211" s="5" t="b">
        <v>1</v>
      </c>
    </row>
    <row r="212" spans="1:11">
      <c r="A212" s="5" t="s">
        <v>66</v>
      </c>
      <c r="B212" s="5" t="s">
        <v>394</v>
      </c>
      <c r="C212" s="6">
        <v>462000</v>
      </c>
      <c r="D212" s="7">
        <v>0.3</v>
      </c>
      <c r="E212" s="7">
        <v>0.1</v>
      </c>
      <c r="F212" s="7">
        <v>0.1</v>
      </c>
      <c r="G212" s="5">
        <v>20</v>
      </c>
      <c r="I212" s="5" t="b">
        <v>1</v>
      </c>
      <c r="J212" s="5" t="b">
        <v>1</v>
      </c>
      <c r="K212" s="5" t="b">
        <v>1</v>
      </c>
    </row>
    <row r="213" spans="1:11">
      <c r="A213" s="5" t="s">
        <v>66</v>
      </c>
      <c r="B213" s="5" t="s">
        <v>395</v>
      </c>
      <c r="C213" s="6">
        <v>861000</v>
      </c>
      <c r="D213" s="7">
        <v>0.25</v>
      </c>
      <c r="E213" s="7">
        <v>0.09</v>
      </c>
      <c r="F213" s="7">
        <v>7.0000000000000007E-2</v>
      </c>
      <c r="G213" s="5">
        <v>58</v>
      </c>
      <c r="I213" s="5" t="b">
        <v>1</v>
      </c>
      <c r="J213" s="5" t="b">
        <v>1</v>
      </c>
      <c r="K213" s="5" t="b">
        <v>1</v>
      </c>
    </row>
    <row r="214" spans="1:11">
      <c r="A214" s="5" t="s">
        <v>66</v>
      </c>
      <c r="B214" s="5" t="s">
        <v>396</v>
      </c>
      <c r="C214" s="6">
        <v>839000</v>
      </c>
      <c r="D214" s="7">
        <v>0.25</v>
      </c>
      <c r="E214" s="7">
        <v>0.1</v>
      </c>
      <c r="F214" s="7">
        <v>0.06</v>
      </c>
      <c r="G214" s="5">
        <v>83</v>
      </c>
      <c r="I214" s="5" t="b">
        <v>1</v>
      </c>
      <c r="J214" s="5" t="b">
        <v>1</v>
      </c>
      <c r="K214" s="5" t="b">
        <v>1</v>
      </c>
    </row>
    <row r="215" spans="1:11">
      <c r="A215" s="5" t="s">
        <v>66</v>
      </c>
      <c r="B215" s="5" t="s">
        <v>397</v>
      </c>
      <c r="C215" s="6">
        <v>1748733.4</v>
      </c>
      <c r="D215" s="7">
        <v>0.25</v>
      </c>
      <c r="E215" s="7">
        <v>0.1</v>
      </c>
      <c r="F215" s="7">
        <v>0.05</v>
      </c>
      <c r="G215" s="5">
        <v>10</v>
      </c>
      <c r="I215" s="5" t="b">
        <v>1</v>
      </c>
      <c r="J215" s="5" t="b">
        <v>1</v>
      </c>
      <c r="K215" s="5" t="b">
        <v>1</v>
      </c>
    </row>
    <row r="216" spans="1:11">
      <c r="A216" s="5" t="s">
        <v>66</v>
      </c>
      <c r="B216" s="5" t="s">
        <v>398</v>
      </c>
      <c r="C216" s="6">
        <v>630000</v>
      </c>
      <c r="D216" s="7">
        <v>0.25</v>
      </c>
      <c r="E216" s="7">
        <v>0.1</v>
      </c>
      <c r="F216" s="7">
        <v>0.05</v>
      </c>
      <c r="G216" s="5">
        <v>119</v>
      </c>
      <c r="I216" s="5" t="b">
        <v>1</v>
      </c>
      <c r="J216" s="5" t="b">
        <v>1</v>
      </c>
      <c r="K216" s="5" t="b">
        <v>1</v>
      </c>
    </row>
    <row r="217" spans="1:11">
      <c r="A217" s="5" t="s">
        <v>66</v>
      </c>
      <c r="B217" s="5" t="s">
        <v>399</v>
      </c>
      <c r="C217" s="6">
        <v>600000</v>
      </c>
      <c r="D217" s="7">
        <v>0.25</v>
      </c>
      <c r="E217" s="7">
        <v>0.1</v>
      </c>
      <c r="F217" s="7">
        <v>0.05</v>
      </c>
      <c r="G217" s="5">
        <v>15</v>
      </c>
      <c r="I217" s="5" t="b">
        <v>1</v>
      </c>
      <c r="J217" s="5" t="b">
        <v>1</v>
      </c>
      <c r="K217" s="5" t="b">
        <v>1</v>
      </c>
    </row>
    <row r="218" spans="1:11">
      <c r="A218" s="5" t="s">
        <v>67</v>
      </c>
      <c r="B218" s="5" t="s">
        <v>400</v>
      </c>
      <c r="C218" s="6">
        <v>4789485.7</v>
      </c>
      <c r="D218" s="7">
        <v>0.2</v>
      </c>
      <c r="E218" s="7">
        <v>0.2</v>
      </c>
      <c r="F218" s="7">
        <v>0.06</v>
      </c>
      <c r="G218" s="5">
        <v>188</v>
      </c>
      <c r="I218" s="5" t="b">
        <v>0</v>
      </c>
      <c r="J218" s="5" t="b">
        <v>1</v>
      </c>
      <c r="K218" s="5" t="b">
        <v>1</v>
      </c>
    </row>
    <row r="219" spans="1:11">
      <c r="A219" s="5" t="s">
        <v>67</v>
      </c>
      <c r="B219" s="5" t="s">
        <v>718</v>
      </c>
      <c r="C219" s="6">
        <v>300000</v>
      </c>
      <c r="D219" s="7">
        <v>0.25</v>
      </c>
      <c r="E219" s="7">
        <v>0.25</v>
      </c>
      <c r="F219" s="7">
        <v>0.05</v>
      </c>
      <c r="G219" s="5">
        <v>30</v>
      </c>
      <c r="I219" s="5" t="b">
        <v>1</v>
      </c>
      <c r="J219" s="5" t="b">
        <v>1</v>
      </c>
      <c r="K219" s="5" t="b">
        <v>1</v>
      </c>
    </row>
    <row r="220" spans="1:11">
      <c r="A220" s="5" t="s">
        <v>67</v>
      </c>
      <c r="B220" s="5" t="s">
        <v>403</v>
      </c>
      <c r="C220" s="6">
        <v>500000</v>
      </c>
      <c r="D220" s="7">
        <v>0.25</v>
      </c>
      <c r="E220" s="7">
        <v>0.25</v>
      </c>
      <c r="F220" s="7">
        <v>0.05</v>
      </c>
      <c r="G220" s="5">
        <v>10</v>
      </c>
      <c r="I220" s="5" t="b">
        <v>1</v>
      </c>
      <c r="J220" s="5" t="b">
        <v>1</v>
      </c>
      <c r="K220" s="5" t="b">
        <v>1</v>
      </c>
    </row>
    <row r="221" spans="1:11">
      <c r="A221" s="5" t="s">
        <v>67</v>
      </c>
      <c r="B221" s="5" t="s">
        <v>404</v>
      </c>
      <c r="C221" s="6">
        <v>400000</v>
      </c>
      <c r="D221" s="7">
        <v>0.25</v>
      </c>
      <c r="E221" s="7">
        <v>0.25</v>
      </c>
      <c r="F221" s="7">
        <v>0.05</v>
      </c>
      <c r="G221" s="5">
        <v>25</v>
      </c>
      <c r="I221" s="5" t="b">
        <v>1</v>
      </c>
      <c r="J221" s="5" t="b">
        <v>1</v>
      </c>
      <c r="K221" s="5" t="b">
        <v>1</v>
      </c>
    </row>
    <row r="222" spans="1:11">
      <c r="A222" s="5" t="s">
        <v>67</v>
      </c>
      <c r="B222" s="5" t="s">
        <v>405</v>
      </c>
      <c r="C222" s="6">
        <v>2400000</v>
      </c>
      <c r="D222" s="7">
        <v>0.25</v>
      </c>
      <c r="E222" s="7">
        <v>0.25</v>
      </c>
      <c r="F222" s="7">
        <v>0.05</v>
      </c>
      <c r="G222" s="5">
        <v>30</v>
      </c>
      <c r="I222" s="5" t="b">
        <v>1</v>
      </c>
      <c r="J222" s="5" t="b">
        <v>1</v>
      </c>
      <c r="K222" s="5" t="b">
        <v>1</v>
      </c>
    </row>
    <row r="223" spans="1:11">
      <c r="A223" s="5" t="s">
        <v>67</v>
      </c>
      <c r="B223" s="5" t="s">
        <v>406</v>
      </c>
      <c r="C223" s="6">
        <v>1080000</v>
      </c>
      <c r="D223" s="7">
        <v>0.25</v>
      </c>
      <c r="E223" s="7">
        <v>0.25</v>
      </c>
      <c r="F223" s="7">
        <v>0.05</v>
      </c>
      <c r="G223" s="5">
        <v>36</v>
      </c>
      <c r="I223" s="5" t="b">
        <v>1</v>
      </c>
      <c r="J223" s="5" t="b">
        <v>1</v>
      </c>
      <c r="K223" s="5" t="b">
        <v>1</v>
      </c>
    </row>
    <row r="224" spans="1:11">
      <c r="A224" s="5" t="s">
        <v>67</v>
      </c>
      <c r="B224" s="5" t="s">
        <v>407</v>
      </c>
      <c r="C224" s="6">
        <v>1197371.44</v>
      </c>
      <c r="D224" s="7">
        <v>0.25</v>
      </c>
      <c r="E224" s="7">
        <v>0.25</v>
      </c>
      <c r="F224" s="7">
        <v>0.05</v>
      </c>
      <c r="G224" s="5">
        <v>40</v>
      </c>
      <c r="I224" s="5" t="b">
        <v>1</v>
      </c>
      <c r="J224" s="5" t="b">
        <v>1</v>
      </c>
      <c r="K224" s="5" t="b">
        <v>1</v>
      </c>
    </row>
    <row r="225" spans="1:11">
      <c r="A225" s="5" t="s">
        <v>67</v>
      </c>
      <c r="B225" s="5" t="s">
        <v>408</v>
      </c>
      <c r="C225" s="6">
        <v>2400000</v>
      </c>
      <c r="D225" s="7">
        <v>0.25</v>
      </c>
      <c r="E225" s="7">
        <v>0.25</v>
      </c>
      <c r="F225" s="7">
        <v>0.05</v>
      </c>
      <c r="G225" s="5">
        <v>40</v>
      </c>
      <c r="I225" s="5" t="b">
        <v>1</v>
      </c>
      <c r="J225" s="5" t="b">
        <v>1</v>
      </c>
      <c r="K225" s="5" t="b">
        <v>1</v>
      </c>
    </row>
    <row r="226" spans="1:11">
      <c r="A226" s="5" t="s">
        <v>67</v>
      </c>
      <c r="B226" s="5" t="s">
        <v>409</v>
      </c>
      <c r="C226" s="6">
        <v>300000</v>
      </c>
      <c r="D226" s="7">
        <v>0.25</v>
      </c>
      <c r="E226" s="7">
        <v>0.25</v>
      </c>
      <c r="F226" s="7">
        <v>0.05</v>
      </c>
      <c r="G226" s="5">
        <v>15</v>
      </c>
      <c r="I226" s="5" t="b">
        <v>1</v>
      </c>
      <c r="J226" s="5" t="b">
        <v>1</v>
      </c>
      <c r="K226" s="5" t="b">
        <v>1</v>
      </c>
    </row>
    <row r="227" spans="1:11">
      <c r="A227" s="5" t="s">
        <v>105</v>
      </c>
      <c r="B227" s="5" t="s">
        <v>410</v>
      </c>
      <c r="C227" s="6">
        <v>6450000</v>
      </c>
      <c r="D227" s="7">
        <v>0.25</v>
      </c>
      <c r="E227" s="7">
        <v>0.1</v>
      </c>
      <c r="F227" s="7">
        <v>0.05</v>
      </c>
      <c r="G227" s="5">
        <v>209</v>
      </c>
      <c r="I227" s="5" t="b">
        <v>1</v>
      </c>
      <c r="J227" s="5" t="b">
        <v>1</v>
      </c>
      <c r="K227" s="5" t="b">
        <v>1</v>
      </c>
    </row>
    <row r="228" spans="1:11">
      <c r="A228" s="5" t="s">
        <v>105</v>
      </c>
      <c r="B228" s="5" t="s">
        <v>412</v>
      </c>
      <c r="C228" s="6">
        <v>6300000</v>
      </c>
      <c r="D228" s="7">
        <v>0.2031</v>
      </c>
      <c r="E228" s="7">
        <v>0.1042</v>
      </c>
      <c r="F228" s="7">
        <v>0</v>
      </c>
      <c r="G228" s="5">
        <v>192</v>
      </c>
      <c r="I228" s="5" t="b">
        <v>1</v>
      </c>
      <c r="J228" s="5" t="b">
        <v>1</v>
      </c>
      <c r="K228" s="5" t="b">
        <v>0</v>
      </c>
    </row>
    <row r="229" spans="1:11">
      <c r="A229" s="5" t="s">
        <v>105</v>
      </c>
      <c r="B229" s="5" t="s">
        <v>413</v>
      </c>
      <c r="C229" s="6">
        <v>5700000</v>
      </c>
      <c r="D229" s="7">
        <v>0.25</v>
      </c>
      <c r="E229" s="7">
        <v>0.1</v>
      </c>
      <c r="F229" s="7">
        <v>0.05</v>
      </c>
      <c r="G229" s="5">
        <v>30</v>
      </c>
      <c r="I229" s="5" t="b">
        <v>1</v>
      </c>
      <c r="J229" s="5" t="b">
        <v>1</v>
      </c>
      <c r="K229" s="5" t="b">
        <v>1</v>
      </c>
    </row>
    <row r="230" spans="1:11">
      <c r="A230" s="5" t="s">
        <v>105</v>
      </c>
      <c r="B230" s="5" t="s">
        <v>414</v>
      </c>
      <c r="C230" s="6">
        <v>4900000</v>
      </c>
      <c r="D230" s="7">
        <v>0.25</v>
      </c>
      <c r="E230" s="7">
        <v>0.1</v>
      </c>
      <c r="F230" s="7">
        <v>0.05</v>
      </c>
      <c r="G230" s="5">
        <v>35</v>
      </c>
      <c r="I230" s="5" t="b">
        <v>1</v>
      </c>
      <c r="J230" s="5" t="b">
        <v>1</v>
      </c>
      <c r="K230" s="5" t="b">
        <v>1</v>
      </c>
    </row>
    <row r="231" spans="1:11">
      <c r="A231" s="5" t="s">
        <v>105</v>
      </c>
      <c r="B231" s="5" t="s">
        <v>415</v>
      </c>
      <c r="C231" s="6">
        <v>5700000</v>
      </c>
      <c r="D231" s="7">
        <v>0.25</v>
      </c>
      <c r="E231" s="7">
        <v>0.1</v>
      </c>
      <c r="F231" s="7">
        <v>0.05</v>
      </c>
      <c r="G231" s="5">
        <v>310</v>
      </c>
      <c r="I231" s="5" t="b">
        <v>1</v>
      </c>
      <c r="J231" s="5" t="b">
        <v>1</v>
      </c>
      <c r="K231" s="5" t="b">
        <v>1</v>
      </c>
    </row>
    <row r="232" spans="1:11">
      <c r="A232" s="5" t="s">
        <v>105</v>
      </c>
      <c r="B232" s="5" t="s">
        <v>416</v>
      </c>
      <c r="C232" s="6">
        <v>2000000</v>
      </c>
      <c r="D232" s="7">
        <v>0.25</v>
      </c>
      <c r="E232" s="7">
        <v>0.1</v>
      </c>
      <c r="F232" s="7">
        <v>0.05</v>
      </c>
      <c r="G232" s="5">
        <v>400</v>
      </c>
      <c r="I232" s="5" t="b">
        <v>1</v>
      </c>
      <c r="J232" s="5" t="b">
        <v>1</v>
      </c>
      <c r="K232" s="5" t="b">
        <v>1</v>
      </c>
    </row>
    <row r="233" spans="1:11">
      <c r="A233" s="5" t="s">
        <v>106</v>
      </c>
      <c r="B233" s="5" t="s">
        <v>417</v>
      </c>
      <c r="C233" s="6">
        <v>2760000</v>
      </c>
      <c r="D233" s="7">
        <v>0.25</v>
      </c>
      <c r="E233" s="7">
        <v>0.1</v>
      </c>
      <c r="F233" s="7">
        <v>0.05</v>
      </c>
      <c r="G233" s="5">
        <v>23</v>
      </c>
      <c r="I233" s="5" t="b">
        <v>1</v>
      </c>
      <c r="J233" s="5" t="b">
        <v>1</v>
      </c>
      <c r="K233" s="5" t="b">
        <v>1</v>
      </c>
    </row>
    <row r="234" spans="1:11">
      <c r="A234" s="5" t="s">
        <v>106</v>
      </c>
      <c r="B234" s="5" t="s">
        <v>419</v>
      </c>
      <c r="C234" s="6">
        <v>488000</v>
      </c>
      <c r="D234" s="7">
        <v>0</v>
      </c>
      <c r="E234" s="7">
        <v>0</v>
      </c>
      <c r="F234" s="7">
        <v>0</v>
      </c>
      <c r="G234" s="5">
        <v>1</v>
      </c>
      <c r="I234" s="5" t="b">
        <v>1</v>
      </c>
      <c r="J234" s="5" t="b">
        <v>1</v>
      </c>
      <c r="K234" s="5" t="b">
        <v>1</v>
      </c>
    </row>
    <row r="235" spans="1:11">
      <c r="A235" s="5" t="s">
        <v>106</v>
      </c>
      <c r="B235" s="5" t="s">
        <v>420</v>
      </c>
      <c r="C235" s="6">
        <v>1000000</v>
      </c>
      <c r="D235" s="7">
        <v>0.25</v>
      </c>
      <c r="E235" s="7">
        <v>0.1</v>
      </c>
      <c r="F235" s="7">
        <v>0.05</v>
      </c>
      <c r="G235" s="5">
        <v>10</v>
      </c>
      <c r="I235" s="5" t="b">
        <v>1</v>
      </c>
      <c r="J235" s="5" t="b">
        <v>1</v>
      </c>
      <c r="K235" s="5" t="b">
        <v>1</v>
      </c>
    </row>
    <row r="236" spans="1:11">
      <c r="A236" s="5" t="s">
        <v>106</v>
      </c>
      <c r="B236" s="5" t="s">
        <v>421</v>
      </c>
      <c r="C236" s="6">
        <v>640000</v>
      </c>
      <c r="D236" s="7">
        <v>0.25</v>
      </c>
      <c r="E236" s="7">
        <v>0.1</v>
      </c>
      <c r="F236" s="7">
        <v>0.05</v>
      </c>
      <c r="G236" s="5">
        <v>8</v>
      </c>
      <c r="I236" s="5" t="b">
        <v>1</v>
      </c>
      <c r="J236" s="5" t="b">
        <v>1</v>
      </c>
      <c r="K236" s="5" t="b">
        <v>1</v>
      </c>
    </row>
    <row r="237" spans="1:11">
      <c r="A237" s="5" t="s">
        <v>106</v>
      </c>
      <c r="B237" s="5" t="s">
        <v>422</v>
      </c>
      <c r="C237" s="6">
        <v>4500000</v>
      </c>
      <c r="D237" s="7">
        <v>0.25</v>
      </c>
      <c r="E237" s="7">
        <v>0.1</v>
      </c>
      <c r="F237" s="7">
        <v>0.05</v>
      </c>
      <c r="G237" s="5">
        <v>53</v>
      </c>
      <c r="I237" s="5" t="b">
        <v>1</v>
      </c>
      <c r="J237" s="5" t="b">
        <v>1</v>
      </c>
      <c r="K237" s="5" t="b">
        <v>1</v>
      </c>
    </row>
    <row r="238" spans="1:11">
      <c r="A238" s="5" t="s">
        <v>106</v>
      </c>
      <c r="B238" s="5" t="s">
        <v>423</v>
      </c>
      <c r="C238" s="6">
        <v>7300000</v>
      </c>
      <c r="D238" s="7">
        <v>0.21</v>
      </c>
      <c r="E238" s="7">
        <v>0.1</v>
      </c>
      <c r="F238" s="7">
        <v>0.05</v>
      </c>
      <c r="G238" s="5">
        <v>100</v>
      </c>
      <c r="I238" s="5" t="b">
        <v>1</v>
      </c>
      <c r="J238" s="5" t="b">
        <v>1</v>
      </c>
      <c r="K238" s="5" t="b">
        <v>1</v>
      </c>
    </row>
    <row r="239" spans="1:11">
      <c r="A239" s="5" t="s">
        <v>106</v>
      </c>
      <c r="B239" s="5" t="s">
        <v>424</v>
      </c>
      <c r="C239" s="6">
        <v>1400000</v>
      </c>
      <c r="D239" s="7">
        <v>0.25</v>
      </c>
      <c r="E239" s="7">
        <v>0.1</v>
      </c>
      <c r="F239" s="7">
        <v>0.05</v>
      </c>
      <c r="G239" s="5">
        <v>23</v>
      </c>
      <c r="I239" s="5" t="b">
        <v>1</v>
      </c>
      <c r="J239" s="5" t="b">
        <v>1</v>
      </c>
      <c r="K239" s="5" t="b">
        <v>1</v>
      </c>
    </row>
    <row r="240" spans="1:11">
      <c r="A240" s="5" t="s">
        <v>106</v>
      </c>
      <c r="B240" s="5" t="s">
        <v>425</v>
      </c>
      <c r="C240" s="6">
        <v>360000</v>
      </c>
      <c r="D240" s="7">
        <v>0.25</v>
      </c>
      <c r="E240" s="7">
        <v>0.1</v>
      </c>
      <c r="F240" s="7">
        <v>0.05</v>
      </c>
      <c r="G240" s="5">
        <v>12</v>
      </c>
      <c r="I240" s="5" t="b">
        <v>1</v>
      </c>
      <c r="J240" s="5" t="b">
        <v>1</v>
      </c>
      <c r="K240" s="5" t="b">
        <v>1</v>
      </c>
    </row>
    <row r="241" spans="1:11">
      <c r="A241" s="5" t="s">
        <v>107</v>
      </c>
      <c r="B241" s="5" t="s">
        <v>426</v>
      </c>
      <c r="C241" s="6">
        <v>600000</v>
      </c>
      <c r="D241" s="7">
        <v>0.25</v>
      </c>
      <c r="E241" s="7">
        <v>0.1</v>
      </c>
      <c r="F241" s="7">
        <v>0.05</v>
      </c>
      <c r="G241" s="5">
        <v>32</v>
      </c>
      <c r="I241" s="5" t="b">
        <v>1</v>
      </c>
      <c r="J241" s="5" t="b">
        <v>1</v>
      </c>
      <c r="K241" s="5" t="b">
        <v>1</v>
      </c>
    </row>
    <row r="242" spans="1:11">
      <c r="A242" s="5" t="s">
        <v>107</v>
      </c>
      <c r="B242" s="5" t="s">
        <v>428</v>
      </c>
      <c r="C242" s="6">
        <v>2428000</v>
      </c>
      <c r="D242" s="7">
        <v>0.25</v>
      </c>
      <c r="E242" s="7">
        <v>0.15</v>
      </c>
      <c r="F242" s="7">
        <v>7.4999999999999997E-2</v>
      </c>
      <c r="G242" s="5">
        <v>40</v>
      </c>
      <c r="I242" s="5" t="b">
        <v>1</v>
      </c>
      <c r="J242" s="5" t="b">
        <v>1</v>
      </c>
      <c r="K242" s="5" t="b">
        <v>1</v>
      </c>
    </row>
    <row r="243" spans="1:11">
      <c r="A243" s="5" t="s">
        <v>107</v>
      </c>
      <c r="B243" s="5" t="s">
        <v>429</v>
      </c>
      <c r="C243" s="6">
        <v>600000</v>
      </c>
      <c r="D243" s="7">
        <v>0.25</v>
      </c>
      <c r="E243" s="7">
        <v>0.1</v>
      </c>
      <c r="F243" s="7">
        <v>0.05</v>
      </c>
      <c r="G243" s="5">
        <v>2</v>
      </c>
      <c r="I243" s="5" t="b">
        <v>1</v>
      </c>
      <c r="J243" s="5" t="b">
        <v>1</v>
      </c>
      <c r="K243" s="5" t="b">
        <v>1</v>
      </c>
    </row>
    <row r="244" spans="1:11">
      <c r="A244" s="5" t="s">
        <v>107</v>
      </c>
      <c r="B244" s="5" t="s">
        <v>430</v>
      </c>
      <c r="C244" s="6">
        <v>400000</v>
      </c>
      <c r="D244" s="7">
        <v>0.25</v>
      </c>
      <c r="E244" s="7">
        <v>0.1</v>
      </c>
      <c r="F244" s="7">
        <v>0.05</v>
      </c>
      <c r="G244" s="5">
        <v>4</v>
      </c>
      <c r="I244" s="5" t="b">
        <v>1</v>
      </c>
      <c r="J244" s="5" t="b">
        <v>1</v>
      </c>
      <c r="K244" s="5" t="b">
        <v>1</v>
      </c>
    </row>
    <row r="245" spans="1:11">
      <c r="A245" s="5" t="s">
        <v>107</v>
      </c>
      <c r="B245" s="5" t="s">
        <v>431</v>
      </c>
      <c r="C245" s="6">
        <v>1000000</v>
      </c>
      <c r="D245" s="7">
        <v>0.2</v>
      </c>
      <c r="E245" s="7">
        <v>0.1</v>
      </c>
      <c r="F245" s="7">
        <v>0.05</v>
      </c>
      <c r="I245" s="5" t="b">
        <v>0</v>
      </c>
      <c r="J245" s="5" t="b">
        <v>1</v>
      </c>
      <c r="K245" s="5" t="b">
        <v>1</v>
      </c>
    </row>
    <row r="246" spans="1:11">
      <c r="A246" s="5" t="s">
        <v>107</v>
      </c>
      <c r="B246" s="5" t="s">
        <v>432</v>
      </c>
      <c r="C246" s="6">
        <v>750000</v>
      </c>
      <c r="D246" s="7">
        <v>0.25</v>
      </c>
      <c r="E246" s="7">
        <v>0.1</v>
      </c>
      <c r="F246" s="7">
        <v>0.05</v>
      </c>
      <c r="G246" s="5">
        <v>50</v>
      </c>
      <c r="I246" s="5" t="b">
        <v>1</v>
      </c>
      <c r="J246" s="5" t="b">
        <v>1</v>
      </c>
      <c r="K246" s="5" t="b">
        <v>1</v>
      </c>
    </row>
    <row r="247" spans="1:11">
      <c r="A247" s="5" t="s">
        <v>107</v>
      </c>
      <c r="B247" s="5" t="s">
        <v>433</v>
      </c>
      <c r="C247" s="6">
        <v>500000</v>
      </c>
      <c r="D247" s="7">
        <v>0.25</v>
      </c>
      <c r="E247" s="7">
        <v>0.1</v>
      </c>
      <c r="F247" s="7">
        <v>0.05</v>
      </c>
      <c r="G247" s="5">
        <v>39</v>
      </c>
      <c r="I247" s="5" t="b">
        <v>1</v>
      </c>
      <c r="J247" s="5" t="b">
        <v>1</v>
      </c>
      <c r="K247" s="5" t="b">
        <v>1</v>
      </c>
    </row>
    <row r="248" spans="1:11">
      <c r="A248" s="5" t="s">
        <v>107</v>
      </c>
      <c r="B248" s="5" t="s">
        <v>434</v>
      </c>
      <c r="C248" s="6">
        <v>700000</v>
      </c>
      <c r="D248" s="7">
        <v>0.25</v>
      </c>
      <c r="E248" s="7">
        <v>0.1</v>
      </c>
      <c r="F248" s="7">
        <v>0.05</v>
      </c>
      <c r="G248" s="5">
        <v>32</v>
      </c>
      <c r="I248" s="5" t="b">
        <v>1</v>
      </c>
      <c r="J248" s="5" t="b">
        <v>1</v>
      </c>
      <c r="K248" s="5" t="b">
        <v>1</v>
      </c>
    </row>
    <row r="249" spans="1:11">
      <c r="A249" s="5" t="s">
        <v>107</v>
      </c>
      <c r="B249" s="5" t="s">
        <v>435</v>
      </c>
      <c r="C249" s="6">
        <v>300000</v>
      </c>
      <c r="D249" s="7">
        <v>0.25</v>
      </c>
      <c r="E249" s="7">
        <v>0.1</v>
      </c>
      <c r="F249" s="7">
        <v>0.05</v>
      </c>
      <c r="G249" s="5">
        <v>90</v>
      </c>
      <c r="I249" s="5" t="b">
        <v>1</v>
      </c>
      <c r="J249" s="5" t="b">
        <v>1</v>
      </c>
      <c r="K249" s="5" t="b">
        <v>1</v>
      </c>
    </row>
    <row r="250" spans="1:11">
      <c r="A250" s="5" t="s">
        <v>107</v>
      </c>
      <c r="B250" s="5" t="s">
        <v>436</v>
      </c>
      <c r="C250" s="6">
        <v>2100000</v>
      </c>
      <c r="D250" s="7">
        <v>0.25</v>
      </c>
      <c r="E250" s="7">
        <v>0.1</v>
      </c>
      <c r="F250" s="7">
        <v>0.05</v>
      </c>
      <c r="G250" s="5">
        <v>7</v>
      </c>
      <c r="I250" s="5" t="b">
        <v>1</v>
      </c>
      <c r="J250" s="5" t="b">
        <v>1</v>
      </c>
      <c r="K250" s="5" t="b">
        <v>1</v>
      </c>
    </row>
    <row r="251" spans="1:11">
      <c r="A251" s="5" t="s">
        <v>107</v>
      </c>
      <c r="B251" s="5" t="s">
        <v>437</v>
      </c>
      <c r="C251" s="6">
        <v>400000</v>
      </c>
      <c r="D251" s="7">
        <v>0.25</v>
      </c>
      <c r="E251" s="7">
        <v>0.1</v>
      </c>
      <c r="F251" s="7">
        <v>0.05</v>
      </c>
      <c r="G251" s="5">
        <v>40</v>
      </c>
      <c r="I251" s="5" t="b">
        <v>1</v>
      </c>
      <c r="J251" s="5" t="b">
        <v>1</v>
      </c>
      <c r="K251" s="5" t="b">
        <v>1</v>
      </c>
    </row>
    <row r="252" spans="1:11">
      <c r="A252" s="5" t="s">
        <v>107</v>
      </c>
      <c r="B252" s="5" t="s">
        <v>438</v>
      </c>
      <c r="C252" s="6">
        <v>200000</v>
      </c>
      <c r="D252" s="7">
        <v>0.25</v>
      </c>
      <c r="E252" s="7">
        <v>0.1</v>
      </c>
      <c r="F252" s="7">
        <v>0.05</v>
      </c>
      <c r="G252" s="5">
        <v>12</v>
      </c>
      <c r="I252" s="5" t="b">
        <v>1</v>
      </c>
      <c r="J252" s="5" t="b">
        <v>1</v>
      </c>
      <c r="K252" s="5" t="b">
        <v>1</v>
      </c>
    </row>
    <row r="253" spans="1:11">
      <c r="A253" s="5" t="s">
        <v>107</v>
      </c>
      <c r="B253" s="5" t="s">
        <v>439</v>
      </c>
      <c r="C253" s="6">
        <v>300000</v>
      </c>
      <c r="D253" s="7">
        <v>0.2</v>
      </c>
      <c r="E253" s="7">
        <v>0.1</v>
      </c>
      <c r="F253" s="7">
        <v>0.06</v>
      </c>
      <c r="G253" s="5">
        <v>30</v>
      </c>
      <c r="I253" s="5" t="b">
        <v>0</v>
      </c>
      <c r="J253" s="5" t="b">
        <v>1</v>
      </c>
      <c r="K253" s="5" t="b">
        <v>1</v>
      </c>
    </row>
    <row r="254" spans="1:11">
      <c r="A254" s="5" t="s">
        <v>107</v>
      </c>
      <c r="B254" s="5" t="s">
        <v>440</v>
      </c>
      <c r="C254" s="6">
        <v>600000</v>
      </c>
      <c r="D254" s="7">
        <v>0.25</v>
      </c>
      <c r="E254" s="7">
        <v>0.1</v>
      </c>
      <c r="F254" s="7">
        <v>0.05</v>
      </c>
      <c r="I254" s="5" t="b">
        <v>1</v>
      </c>
      <c r="J254" s="5" t="b">
        <v>1</v>
      </c>
      <c r="K254" s="5" t="b">
        <v>1</v>
      </c>
    </row>
    <row r="255" spans="1:11">
      <c r="A255" s="5" t="s">
        <v>107</v>
      </c>
      <c r="B255" s="5" t="s">
        <v>441</v>
      </c>
      <c r="C255" s="6">
        <v>300000</v>
      </c>
      <c r="D255" s="7">
        <v>0.2</v>
      </c>
      <c r="E255" s="7">
        <v>0.2</v>
      </c>
      <c r="F255" s="7">
        <v>0.16669999999999999</v>
      </c>
      <c r="G255" s="5">
        <v>30</v>
      </c>
      <c r="I255" s="5" t="b">
        <v>0</v>
      </c>
      <c r="J255" s="5" t="b">
        <v>1</v>
      </c>
      <c r="K255" s="5" t="b">
        <v>1</v>
      </c>
    </row>
    <row r="256" spans="1:11">
      <c r="A256" s="5" t="s">
        <v>107</v>
      </c>
      <c r="B256" s="5" t="s">
        <v>442</v>
      </c>
      <c r="C256" s="6">
        <v>650000</v>
      </c>
      <c r="D256" s="7">
        <v>0.25</v>
      </c>
      <c r="E256" s="7">
        <v>0.2</v>
      </c>
      <c r="F256" s="7">
        <v>0.05</v>
      </c>
      <c r="G256" s="5">
        <v>130</v>
      </c>
      <c r="I256" s="5" t="b">
        <v>1</v>
      </c>
      <c r="J256" s="5" t="b">
        <v>1</v>
      </c>
      <c r="K256" s="5" t="b">
        <v>1</v>
      </c>
    </row>
    <row r="257" spans="1:11">
      <c r="A257" s="5" t="s">
        <v>107</v>
      </c>
      <c r="B257" s="5" t="s">
        <v>443</v>
      </c>
      <c r="C257" s="6">
        <v>900000</v>
      </c>
      <c r="D257" s="7">
        <v>0.25</v>
      </c>
      <c r="E257" s="7">
        <v>0.1</v>
      </c>
      <c r="F257" s="7">
        <v>0.05</v>
      </c>
      <c r="I257" s="5" t="b">
        <v>1</v>
      </c>
      <c r="J257" s="5" t="b">
        <v>1</v>
      </c>
      <c r="K257" s="5" t="b">
        <v>1</v>
      </c>
    </row>
    <row r="258" spans="1:11">
      <c r="A258" s="5" t="s">
        <v>107</v>
      </c>
      <c r="B258" s="5" t="s">
        <v>444</v>
      </c>
      <c r="C258" s="6">
        <v>300000</v>
      </c>
      <c r="D258" s="7">
        <v>0.23</v>
      </c>
      <c r="E258" s="7">
        <v>0.23</v>
      </c>
      <c r="F258" s="7">
        <v>0.03</v>
      </c>
      <c r="G258" s="5">
        <v>30</v>
      </c>
      <c r="I258" s="5" t="b">
        <v>1</v>
      </c>
      <c r="J258" s="5" t="b">
        <v>1</v>
      </c>
      <c r="K258" s="5" t="b">
        <v>0</v>
      </c>
    </row>
    <row r="259" spans="1:11">
      <c r="A259" s="5" t="s">
        <v>107</v>
      </c>
      <c r="B259" s="5" t="s">
        <v>445</v>
      </c>
      <c r="C259" s="6">
        <v>1500000</v>
      </c>
      <c r="D259" s="7">
        <v>0.25</v>
      </c>
      <c r="E259" s="7">
        <v>0.1</v>
      </c>
      <c r="F259" s="7">
        <v>0.05</v>
      </c>
      <c r="G259" s="5">
        <v>20</v>
      </c>
      <c r="I259" s="5" t="b">
        <v>1</v>
      </c>
      <c r="J259" s="5" t="b">
        <v>1</v>
      </c>
      <c r="K259" s="5" t="b">
        <v>1</v>
      </c>
    </row>
    <row r="260" spans="1:11">
      <c r="A260" s="5" t="s">
        <v>107</v>
      </c>
      <c r="B260" s="5" t="s">
        <v>446</v>
      </c>
      <c r="C260" s="6">
        <v>1000000</v>
      </c>
      <c r="D260" s="7">
        <v>0.25</v>
      </c>
      <c r="E260" s="7">
        <v>0.1</v>
      </c>
      <c r="F260" s="7">
        <v>0.05</v>
      </c>
      <c r="G260" s="5">
        <v>20</v>
      </c>
      <c r="I260" s="5" t="b">
        <v>1</v>
      </c>
      <c r="J260" s="5" t="b">
        <v>1</v>
      </c>
      <c r="K260" s="5" t="b">
        <v>1</v>
      </c>
    </row>
    <row r="261" spans="1:11">
      <c r="A261" s="5" t="s">
        <v>107</v>
      </c>
      <c r="B261" s="5" t="s">
        <v>447</v>
      </c>
      <c r="C261" s="6">
        <v>1500000</v>
      </c>
      <c r="D261" s="7">
        <v>0.25</v>
      </c>
      <c r="E261" s="7">
        <v>0.1</v>
      </c>
      <c r="F261" s="7">
        <v>0.05</v>
      </c>
      <c r="G261" s="5">
        <v>18</v>
      </c>
      <c r="I261" s="5" t="b">
        <v>1</v>
      </c>
      <c r="J261" s="5" t="b">
        <v>1</v>
      </c>
      <c r="K261" s="5" t="b">
        <v>1</v>
      </c>
    </row>
    <row r="262" spans="1:11">
      <c r="A262" s="5" t="s">
        <v>107</v>
      </c>
      <c r="B262" s="5" t="s">
        <v>448</v>
      </c>
      <c r="C262" s="6">
        <v>1000000</v>
      </c>
      <c r="D262" s="7">
        <v>0.25</v>
      </c>
      <c r="E262" s="7">
        <v>0.1</v>
      </c>
      <c r="F262" s="7">
        <v>0.05</v>
      </c>
      <c r="G262" s="5">
        <v>14</v>
      </c>
      <c r="I262" s="5" t="b">
        <v>1</v>
      </c>
      <c r="J262" s="5" t="b">
        <v>1</v>
      </c>
      <c r="K262" s="5" t="b">
        <v>1</v>
      </c>
    </row>
    <row r="263" spans="1:11">
      <c r="A263" s="5" t="s">
        <v>107</v>
      </c>
      <c r="B263" s="5" t="s">
        <v>449</v>
      </c>
      <c r="C263" s="6">
        <v>100000</v>
      </c>
      <c r="D263" s="7">
        <v>0.25</v>
      </c>
      <c r="E263" s="7">
        <v>0.15</v>
      </c>
      <c r="F263" s="7">
        <v>1</v>
      </c>
      <c r="G263" s="5">
        <v>20</v>
      </c>
      <c r="H263" s="5" t="s">
        <v>345</v>
      </c>
      <c r="I263" s="5" t="b">
        <v>1</v>
      </c>
      <c r="J263" s="5" t="b">
        <v>1</v>
      </c>
      <c r="K263" s="5" t="b">
        <v>1</v>
      </c>
    </row>
    <row r="264" spans="1:11">
      <c r="A264" s="5" t="s">
        <v>107</v>
      </c>
      <c r="B264" s="5" t="s">
        <v>719</v>
      </c>
      <c r="C264" s="6">
        <v>450000</v>
      </c>
      <c r="D264" s="7">
        <v>0</v>
      </c>
      <c r="E264" s="7">
        <v>1</v>
      </c>
      <c r="F264" s="7">
        <v>0.06</v>
      </c>
      <c r="G264" s="5">
        <v>75</v>
      </c>
      <c r="H264" s="5" t="s">
        <v>168</v>
      </c>
      <c r="I264" s="5" t="b">
        <v>1</v>
      </c>
      <c r="J264" s="5" t="b">
        <v>1</v>
      </c>
      <c r="K264" s="5" t="b">
        <v>1</v>
      </c>
    </row>
    <row r="265" spans="1:11">
      <c r="A265" s="5" t="s">
        <v>107</v>
      </c>
      <c r="B265" s="5" t="s">
        <v>451</v>
      </c>
      <c r="C265" s="6">
        <v>300000</v>
      </c>
      <c r="D265" s="7">
        <v>0.2</v>
      </c>
      <c r="E265" s="7">
        <v>0.1</v>
      </c>
      <c r="F265" s="7">
        <v>0.05</v>
      </c>
      <c r="G265" s="5">
        <v>20</v>
      </c>
      <c r="I265" s="5" t="b">
        <v>0</v>
      </c>
      <c r="J265" s="5" t="b">
        <v>1</v>
      </c>
      <c r="K265" s="5" t="b">
        <v>1</v>
      </c>
    </row>
    <row r="266" spans="1:11">
      <c r="A266" s="5" t="s">
        <v>107</v>
      </c>
      <c r="B266" s="5" t="s">
        <v>452</v>
      </c>
      <c r="C266" s="6">
        <v>100000</v>
      </c>
      <c r="D266" s="7">
        <v>0.25</v>
      </c>
      <c r="E266" s="7">
        <v>0.05</v>
      </c>
      <c r="F266" s="7">
        <v>0.05</v>
      </c>
      <c r="G266" s="5">
        <v>20</v>
      </c>
      <c r="I266" s="5" t="b">
        <v>1</v>
      </c>
      <c r="J266" s="5" t="b">
        <v>0</v>
      </c>
      <c r="K266" s="5" t="b">
        <v>1</v>
      </c>
    </row>
    <row r="267" spans="1:11">
      <c r="A267" s="5" t="s">
        <v>108</v>
      </c>
      <c r="B267" s="5" t="s">
        <v>453</v>
      </c>
      <c r="C267" s="6">
        <v>2275000</v>
      </c>
      <c r="D267" s="7">
        <v>0.25640000000000002</v>
      </c>
      <c r="E267" s="7">
        <v>0.1026</v>
      </c>
      <c r="F267" s="7">
        <v>5.1299999999999998E-2</v>
      </c>
      <c r="G267" s="5">
        <v>117</v>
      </c>
      <c r="I267" s="5" t="b">
        <v>1</v>
      </c>
      <c r="J267" s="5" t="b">
        <v>1</v>
      </c>
      <c r="K267" s="5" t="b">
        <v>1</v>
      </c>
    </row>
    <row r="268" spans="1:11">
      <c r="A268" s="5" t="s">
        <v>108</v>
      </c>
      <c r="B268" s="5" t="s">
        <v>455</v>
      </c>
      <c r="C268" s="6">
        <v>1462500</v>
      </c>
      <c r="D268" s="7">
        <v>0.26</v>
      </c>
      <c r="E268" s="7">
        <v>0.1</v>
      </c>
      <c r="F268" s="7">
        <v>0.05</v>
      </c>
      <c r="G268" s="5">
        <v>104</v>
      </c>
      <c r="I268" s="5" t="b">
        <v>1</v>
      </c>
      <c r="J268" s="5" t="b">
        <v>1</v>
      </c>
      <c r="K268" s="5" t="b">
        <v>1</v>
      </c>
    </row>
    <row r="269" spans="1:11">
      <c r="A269" s="5" t="s">
        <v>108</v>
      </c>
      <c r="B269" s="5" t="s">
        <v>456</v>
      </c>
      <c r="C269" s="6">
        <v>12600000</v>
      </c>
      <c r="D269" s="7">
        <v>0.25</v>
      </c>
      <c r="E269" s="7">
        <v>0.1</v>
      </c>
      <c r="F269" s="7">
        <v>0.05</v>
      </c>
      <c r="G269" s="5">
        <v>147</v>
      </c>
      <c r="I269" s="5" t="b">
        <v>1</v>
      </c>
      <c r="J269" s="5" t="b">
        <v>1</v>
      </c>
      <c r="K269" s="5" t="b">
        <v>1</v>
      </c>
    </row>
    <row r="270" spans="1:11">
      <c r="A270" s="5" t="s">
        <v>108</v>
      </c>
      <c r="B270" s="5" t="s">
        <v>457</v>
      </c>
      <c r="C270" s="6">
        <v>4320000</v>
      </c>
      <c r="D270" s="7">
        <v>0.25</v>
      </c>
      <c r="E270" s="7">
        <v>0.1</v>
      </c>
      <c r="F270" s="7">
        <v>0.05</v>
      </c>
      <c r="G270" s="5">
        <v>144</v>
      </c>
      <c r="I270" s="5" t="b">
        <v>1</v>
      </c>
      <c r="J270" s="5" t="b">
        <v>1</v>
      </c>
      <c r="K270" s="5" t="b">
        <v>1</v>
      </c>
    </row>
    <row r="271" spans="1:11">
      <c r="A271" s="5" t="s">
        <v>108</v>
      </c>
      <c r="B271" s="5" t="s">
        <v>458</v>
      </c>
      <c r="C271" s="6">
        <v>9700000</v>
      </c>
      <c r="D271" s="7">
        <v>0.25290000000000001</v>
      </c>
      <c r="E271" s="7">
        <v>0.10340000000000001</v>
      </c>
      <c r="F271" s="7">
        <v>5.1700000000000003E-2</v>
      </c>
      <c r="G271" s="5">
        <v>174</v>
      </c>
      <c r="I271" s="5" t="b">
        <v>1</v>
      </c>
      <c r="J271" s="5" t="b">
        <v>1</v>
      </c>
      <c r="K271" s="5" t="b">
        <v>1</v>
      </c>
    </row>
    <row r="272" spans="1:11">
      <c r="A272" s="5" t="s">
        <v>108</v>
      </c>
      <c r="B272" s="5" t="s">
        <v>459</v>
      </c>
      <c r="C272" s="6">
        <v>7150000</v>
      </c>
      <c r="D272" s="7">
        <v>0.25</v>
      </c>
      <c r="E272" s="7">
        <v>0.1</v>
      </c>
      <c r="F272" s="7">
        <v>0.05</v>
      </c>
      <c r="G272" s="5">
        <v>286</v>
      </c>
      <c r="I272" s="5" t="b">
        <v>1</v>
      </c>
      <c r="J272" s="5" t="b">
        <v>1</v>
      </c>
      <c r="K272" s="5" t="b">
        <v>1</v>
      </c>
    </row>
    <row r="273" spans="1:11">
      <c r="A273" s="5" t="s">
        <v>108</v>
      </c>
      <c r="B273" s="5" t="s">
        <v>460</v>
      </c>
      <c r="C273" s="6">
        <v>5340000</v>
      </c>
      <c r="D273" s="7">
        <v>0.23</v>
      </c>
      <c r="E273" s="7">
        <v>0.11</v>
      </c>
      <c r="F273" s="7">
        <v>0.04</v>
      </c>
      <c r="G273" s="5">
        <v>215</v>
      </c>
      <c r="I273" s="5" t="b">
        <v>1</v>
      </c>
      <c r="J273" s="5" t="b">
        <v>1</v>
      </c>
      <c r="K273" s="5" t="b">
        <v>0</v>
      </c>
    </row>
    <row r="274" spans="1:11">
      <c r="A274" s="5" t="s">
        <v>108</v>
      </c>
      <c r="B274" s="5" t="s">
        <v>461</v>
      </c>
      <c r="C274" s="6">
        <v>13262500</v>
      </c>
      <c r="D274" s="7">
        <v>0.25</v>
      </c>
      <c r="E274" s="7">
        <v>0.1</v>
      </c>
      <c r="F274" s="7">
        <v>0.05</v>
      </c>
      <c r="G274" s="5">
        <v>347</v>
      </c>
      <c r="I274" s="5" t="b">
        <v>1</v>
      </c>
      <c r="J274" s="5" t="b">
        <v>1</v>
      </c>
      <c r="K274" s="5" t="b">
        <v>1</v>
      </c>
    </row>
    <row r="275" spans="1:11">
      <c r="A275" s="5" t="s">
        <v>108</v>
      </c>
      <c r="B275" s="5" t="s">
        <v>462</v>
      </c>
      <c r="C275" s="6">
        <v>8820000</v>
      </c>
      <c r="D275" s="7">
        <v>0.26</v>
      </c>
      <c r="E275" s="7">
        <v>0.11</v>
      </c>
      <c r="F275" s="7">
        <v>4.4999999999999998E-2</v>
      </c>
      <c r="G275" s="5">
        <v>201</v>
      </c>
      <c r="I275" s="5" t="b">
        <v>1</v>
      </c>
      <c r="J275" s="5" t="b">
        <v>1</v>
      </c>
      <c r="K275" s="5" t="b">
        <v>0</v>
      </c>
    </row>
    <row r="276" spans="1:11">
      <c r="A276" s="5" t="s">
        <v>108</v>
      </c>
      <c r="B276" s="5" t="s">
        <v>463</v>
      </c>
      <c r="C276" s="6">
        <v>16400000</v>
      </c>
      <c r="D276" s="7">
        <v>0.25119999999999998</v>
      </c>
      <c r="E276" s="7">
        <v>9.849999999999999E-2</v>
      </c>
      <c r="F276" s="7">
        <v>5.4199999999999998E-2</v>
      </c>
      <c r="G276" s="5">
        <v>203</v>
      </c>
      <c r="I276" s="5" t="b">
        <v>1</v>
      </c>
      <c r="J276" s="5" t="b">
        <v>1</v>
      </c>
      <c r="K276" s="5" t="b">
        <v>1</v>
      </c>
    </row>
    <row r="277" spans="1:11">
      <c r="A277" s="5" t="s">
        <v>108</v>
      </c>
      <c r="B277" s="5" t="s">
        <v>464</v>
      </c>
      <c r="C277" s="6">
        <v>39787500</v>
      </c>
      <c r="D277" s="7">
        <v>0.25</v>
      </c>
      <c r="E277" s="7">
        <v>0.1</v>
      </c>
      <c r="F277" s="7">
        <v>0.05</v>
      </c>
      <c r="G277" s="5">
        <v>2114</v>
      </c>
      <c r="I277" s="5" t="b">
        <v>1</v>
      </c>
      <c r="J277" s="5" t="b">
        <v>1</v>
      </c>
      <c r="K277" s="5" t="b">
        <v>1</v>
      </c>
    </row>
    <row r="278" spans="1:11">
      <c r="A278" s="5" t="s">
        <v>108</v>
      </c>
      <c r="B278" s="5" t="s">
        <v>465</v>
      </c>
      <c r="C278" s="6">
        <v>8895000</v>
      </c>
      <c r="D278" s="7">
        <v>0.26</v>
      </c>
      <c r="E278" s="7">
        <v>0.11</v>
      </c>
      <c r="F278" s="7">
        <v>4.2999999999999997E-2</v>
      </c>
      <c r="G278" s="5">
        <v>163</v>
      </c>
      <c r="I278" s="5" t="b">
        <v>1</v>
      </c>
      <c r="J278" s="5" t="b">
        <v>1</v>
      </c>
      <c r="K278" s="5" t="b">
        <v>0</v>
      </c>
    </row>
    <row r="279" spans="1:11">
      <c r="A279" s="5" t="s">
        <v>68</v>
      </c>
      <c r="B279" s="5" t="s">
        <v>466</v>
      </c>
      <c r="C279" s="6">
        <v>900000</v>
      </c>
      <c r="D279" s="7">
        <v>0.25</v>
      </c>
      <c r="E279" s="7">
        <v>0.1</v>
      </c>
      <c r="F279" s="7">
        <v>0.05</v>
      </c>
      <c r="G279" s="5">
        <v>10</v>
      </c>
      <c r="I279" s="5" t="b">
        <v>1</v>
      </c>
      <c r="J279" s="5" t="b">
        <v>1</v>
      </c>
      <c r="K279" s="5" t="b">
        <v>1</v>
      </c>
    </row>
    <row r="280" spans="1:11">
      <c r="A280" s="5" t="s">
        <v>68</v>
      </c>
      <c r="B280" s="5" t="s">
        <v>468</v>
      </c>
      <c r="C280" s="6">
        <v>500000</v>
      </c>
      <c r="D280" s="7">
        <v>0.25</v>
      </c>
      <c r="E280" s="7">
        <v>0.1</v>
      </c>
      <c r="F280" s="7">
        <v>0.05</v>
      </c>
      <c r="G280" s="5">
        <v>206</v>
      </c>
      <c r="I280" s="5" t="b">
        <v>1</v>
      </c>
      <c r="J280" s="5" t="b">
        <v>1</v>
      </c>
      <c r="K280" s="5" t="b">
        <v>1</v>
      </c>
    </row>
    <row r="281" spans="1:11">
      <c r="A281" s="5" t="s">
        <v>68</v>
      </c>
      <c r="B281" s="5" t="s">
        <v>469</v>
      </c>
      <c r="C281" s="6">
        <v>1990000</v>
      </c>
      <c r="D281" s="7">
        <v>0.25</v>
      </c>
      <c r="E281" s="7">
        <v>0.1</v>
      </c>
      <c r="F281" s="7">
        <v>0.05</v>
      </c>
      <c r="G281" s="5">
        <v>206</v>
      </c>
      <c r="I281" s="5" t="b">
        <v>1</v>
      </c>
      <c r="J281" s="5" t="b">
        <v>1</v>
      </c>
      <c r="K281" s="5" t="b">
        <v>1</v>
      </c>
    </row>
    <row r="282" spans="1:11">
      <c r="A282" s="5" t="s">
        <v>68</v>
      </c>
      <c r="B282" s="5" t="s">
        <v>470</v>
      </c>
      <c r="C282" s="6">
        <v>900000</v>
      </c>
      <c r="D282" s="7">
        <v>0.25</v>
      </c>
      <c r="E282" s="7">
        <v>0.1</v>
      </c>
      <c r="F282" s="7">
        <v>0.05</v>
      </c>
      <c r="G282" s="5">
        <v>9</v>
      </c>
      <c r="I282" s="5" t="b">
        <v>1</v>
      </c>
      <c r="J282" s="5" t="b">
        <v>1</v>
      </c>
      <c r="K282" s="5" t="b">
        <v>1</v>
      </c>
    </row>
    <row r="283" spans="1:11">
      <c r="A283" s="5" t="s">
        <v>68</v>
      </c>
      <c r="B283" s="5" t="s">
        <v>471</v>
      </c>
      <c r="C283" s="6">
        <v>138000</v>
      </c>
      <c r="D283" s="7">
        <v>0.25</v>
      </c>
      <c r="E283" s="7">
        <v>0.1</v>
      </c>
      <c r="F283" s="7">
        <v>0.05</v>
      </c>
      <c r="G283" s="5">
        <v>23</v>
      </c>
      <c r="I283" s="5" t="b">
        <v>1</v>
      </c>
      <c r="J283" s="5" t="b">
        <v>1</v>
      </c>
      <c r="K283" s="5" t="b">
        <v>1</v>
      </c>
    </row>
    <row r="284" spans="1:11">
      <c r="A284" s="5" t="s">
        <v>68</v>
      </c>
      <c r="B284" s="5" t="s">
        <v>472</v>
      </c>
      <c r="C284" s="6">
        <v>500000</v>
      </c>
      <c r="D284" s="7">
        <v>0.25</v>
      </c>
      <c r="E284" s="7">
        <v>0.1</v>
      </c>
      <c r="F284" s="7">
        <v>0.05</v>
      </c>
      <c r="G284" s="5">
        <v>59</v>
      </c>
      <c r="I284" s="5" t="b">
        <v>1</v>
      </c>
      <c r="J284" s="5" t="b">
        <v>1</v>
      </c>
      <c r="K284" s="5" t="b">
        <v>1</v>
      </c>
    </row>
    <row r="285" spans="1:11">
      <c r="A285" s="5" t="s">
        <v>68</v>
      </c>
      <c r="B285" s="5" t="s">
        <v>473</v>
      </c>
      <c r="C285" s="6">
        <v>280000</v>
      </c>
      <c r="D285" s="7">
        <v>0.25</v>
      </c>
      <c r="E285" s="7">
        <v>0.1</v>
      </c>
      <c r="F285" s="7">
        <v>0.05</v>
      </c>
      <c r="G285" s="5">
        <v>206</v>
      </c>
      <c r="I285" s="5" t="b">
        <v>1</v>
      </c>
      <c r="J285" s="5" t="b">
        <v>1</v>
      </c>
      <c r="K285" s="5" t="b">
        <v>1</v>
      </c>
    </row>
    <row r="286" spans="1:11">
      <c r="A286" s="5" t="s">
        <v>69</v>
      </c>
      <c r="B286" s="5" t="s">
        <v>474</v>
      </c>
      <c r="C286" s="6">
        <v>542500</v>
      </c>
      <c r="D286" s="7">
        <v>0.25</v>
      </c>
      <c r="E286" s="7">
        <v>0.1</v>
      </c>
      <c r="F286" s="7">
        <v>0.05</v>
      </c>
      <c r="G286" s="5">
        <v>21</v>
      </c>
      <c r="I286" s="5" t="b">
        <v>1</v>
      </c>
      <c r="J286" s="5" t="b">
        <v>1</v>
      </c>
      <c r="K286" s="5" t="b">
        <v>1</v>
      </c>
    </row>
    <row r="287" spans="1:11">
      <c r="A287" s="5" t="s">
        <v>69</v>
      </c>
      <c r="B287" s="5" t="s">
        <v>476</v>
      </c>
      <c r="C287" s="6">
        <v>514000</v>
      </c>
      <c r="D287" s="7">
        <v>0.25</v>
      </c>
      <c r="E287" s="7">
        <v>0.1</v>
      </c>
      <c r="F287" s="7">
        <v>0.05</v>
      </c>
      <c r="G287" s="5">
        <v>22</v>
      </c>
      <c r="I287" s="5" t="b">
        <v>1</v>
      </c>
      <c r="J287" s="5" t="b">
        <v>1</v>
      </c>
      <c r="K287" s="5" t="b">
        <v>1</v>
      </c>
    </row>
    <row r="288" spans="1:11">
      <c r="A288" s="5" t="s">
        <v>69</v>
      </c>
      <c r="B288" s="5" t="s">
        <v>477</v>
      </c>
      <c r="C288" s="6">
        <v>814000</v>
      </c>
      <c r="D288" s="7">
        <v>0.25</v>
      </c>
      <c r="E288" s="7">
        <v>0.1</v>
      </c>
      <c r="F288" s="7">
        <v>0.05</v>
      </c>
      <c r="G288" s="5">
        <v>35</v>
      </c>
      <c r="I288" s="5" t="b">
        <v>1</v>
      </c>
      <c r="J288" s="5" t="b">
        <v>1</v>
      </c>
      <c r="K288" s="5" t="b">
        <v>1</v>
      </c>
    </row>
    <row r="289" spans="1:11">
      <c r="A289" s="5" t="s">
        <v>69</v>
      </c>
      <c r="B289" s="5" t="s">
        <v>478</v>
      </c>
      <c r="C289" s="6">
        <v>100000</v>
      </c>
      <c r="D289" s="7">
        <v>0.25</v>
      </c>
      <c r="E289" s="7">
        <v>0.1</v>
      </c>
      <c r="F289" s="7">
        <v>0.05</v>
      </c>
      <c r="G289" s="5">
        <v>10</v>
      </c>
      <c r="I289" s="5" t="b">
        <v>1</v>
      </c>
      <c r="J289" s="5" t="b">
        <v>1</v>
      </c>
      <c r="K289" s="5" t="b">
        <v>1</v>
      </c>
    </row>
    <row r="290" spans="1:11">
      <c r="A290" s="5" t="s">
        <v>69</v>
      </c>
      <c r="B290" s="5" t="s">
        <v>479</v>
      </c>
      <c r="C290" s="6">
        <v>144000</v>
      </c>
      <c r="D290" s="7">
        <v>0.25</v>
      </c>
      <c r="E290" s="7">
        <v>0</v>
      </c>
      <c r="F290" s="7">
        <v>0</v>
      </c>
      <c r="G290" s="5">
        <v>4</v>
      </c>
      <c r="I290" s="5" t="b">
        <v>1</v>
      </c>
      <c r="J290" s="5" t="b">
        <v>1</v>
      </c>
      <c r="K290" s="5" t="b">
        <v>1</v>
      </c>
    </row>
    <row r="291" spans="1:11">
      <c r="A291" s="5" t="s">
        <v>109</v>
      </c>
      <c r="B291" s="5" t="s">
        <v>480</v>
      </c>
      <c r="C291" s="6">
        <v>5000000</v>
      </c>
      <c r="D291" s="7">
        <v>0.25</v>
      </c>
      <c r="E291" s="7">
        <v>0.1</v>
      </c>
      <c r="F291" s="7">
        <v>0.05</v>
      </c>
      <c r="G291" s="5">
        <v>40</v>
      </c>
      <c r="I291" s="5" t="b">
        <v>1</v>
      </c>
      <c r="J291" s="5" t="b">
        <v>1</v>
      </c>
      <c r="K291" s="5" t="b">
        <v>1</v>
      </c>
    </row>
    <row r="292" spans="1:11">
      <c r="A292" s="5" t="s">
        <v>109</v>
      </c>
      <c r="B292" s="5" t="s">
        <v>482</v>
      </c>
      <c r="C292" s="6">
        <v>18487819</v>
      </c>
      <c r="D292" s="7">
        <v>0.25</v>
      </c>
      <c r="E292" s="7">
        <v>0.1</v>
      </c>
      <c r="F292" s="7">
        <v>0.1</v>
      </c>
      <c r="G292" s="5">
        <v>474</v>
      </c>
      <c r="I292" s="5" t="b">
        <v>1</v>
      </c>
      <c r="J292" s="5" t="b">
        <v>1</v>
      </c>
      <c r="K292" s="5" t="b">
        <v>1</v>
      </c>
    </row>
    <row r="293" spans="1:11">
      <c r="A293" s="5" t="s">
        <v>109</v>
      </c>
      <c r="B293" s="5" t="s">
        <v>483</v>
      </c>
      <c r="C293" s="6">
        <v>4621949.37</v>
      </c>
      <c r="D293" s="7">
        <v>0.25</v>
      </c>
      <c r="E293" s="7">
        <v>0.1</v>
      </c>
      <c r="F293" s="7">
        <v>0.1</v>
      </c>
      <c r="G293" s="5">
        <v>252</v>
      </c>
      <c r="I293" s="5" t="b">
        <v>1</v>
      </c>
      <c r="J293" s="5" t="b">
        <v>1</v>
      </c>
      <c r="K293" s="5" t="b">
        <v>1</v>
      </c>
    </row>
    <row r="294" spans="1:11">
      <c r="A294" s="5" t="s">
        <v>109</v>
      </c>
      <c r="B294" s="5" t="s">
        <v>484</v>
      </c>
      <c r="C294" s="6">
        <v>18487819</v>
      </c>
      <c r="D294" s="7">
        <v>0.25</v>
      </c>
      <c r="E294" s="7">
        <v>0.1</v>
      </c>
      <c r="F294" s="7">
        <v>0.1</v>
      </c>
      <c r="G294" s="5">
        <v>308</v>
      </c>
      <c r="I294" s="5" t="b">
        <v>1</v>
      </c>
      <c r="J294" s="5" t="b">
        <v>1</v>
      </c>
      <c r="K294" s="5" t="b">
        <v>1</v>
      </c>
    </row>
    <row r="295" spans="1:11">
      <c r="A295" s="5" t="s">
        <v>109</v>
      </c>
      <c r="B295" s="5" t="s">
        <v>485</v>
      </c>
      <c r="C295" s="6">
        <v>5490000</v>
      </c>
      <c r="D295" s="7">
        <v>0.25</v>
      </c>
      <c r="E295" s="7">
        <v>0.1</v>
      </c>
      <c r="F295" s="7">
        <v>0.05</v>
      </c>
      <c r="G295" s="5">
        <v>183</v>
      </c>
      <c r="I295" s="5" t="b">
        <v>1</v>
      </c>
      <c r="J295" s="5" t="b">
        <v>1</v>
      </c>
      <c r="K295" s="5" t="b">
        <v>1</v>
      </c>
    </row>
    <row r="296" spans="1:11">
      <c r="A296" s="5" t="s">
        <v>109</v>
      </c>
      <c r="B296" s="5" t="s">
        <v>720</v>
      </c>
      <c r="C296" s="6">
        <v>4621954.74</v>
      </c>
      <c r="D296" s="7">
        <v>0.25</v>
      </c>
      <c r="E296" s="7">
        <v>0.1</v>
      </c>
      <c r="F296" s="7">
        <v>0.05</v>
      </c>
      <c r="G296" s="5">
        <v>200</v>
      </c>
      <c r="I296" s="5" t="b">
        <v>1</v>
      </c>
      <c r="J296" s="5" t="b">
        <v>1</v>
      </c>
      <c r="K296" s="5" t="b">
        <v>1</v>
      </c>
    </row>
    <row r="297" spans="1:11">
      <c r="A297" s="5" t="s">
        <v>109</v>
      </c>
      <c r="B297" s="5" t="s">
        <v>487</v>
      </c>
      <c r="C297" s="6">
        <v>2731708.8</v>
      </c>
      <c r="D297" s="7">
        <v>0.25</v>
      </c>
      <c r="E297" s="7">
        <v>0.1</v>
      </c>
      <c r="F297" s="7">
        <v>0.05</v>
      </c>
      <c r="G297" s="5">
        <v>30</v>
      </c>
      <c r="I297" s="5" t="b">
        <v>1</v>
      </c>
      <c r="J297" s="5" t="b">
        <v>1</v>
      </c>
      <c r="K297" s="5" t="b">
        <v>1</v>
      </c>
    </row>
    <row r="298" spans="1:11">
      <c r="A298" s="5" t="s">
        <v>110</v>
      </c>
      <c r="B298" s="5" t="s">
        <v>721</v>
      </c>
      <c r="C298" s="6">
        <v>4250000</v>
      </c>
      <c r="D298" s="7">
        <v>0.25</v>
      </c>
      <c r="E298" s="7">
        <v>0.1</v>
      </c>
      <c r="F298" s="7">
        <v>0.05</v>
      </c>
      <c r="G298" s="5">
        <v>75</v>
      </c>
      <c r="I298" s="5" t="b">
        <v>1</v>
      </c>
      <c r="J298" s="5" t="b">
        <v>1</v>
      </c>
      <c r="K298" s="5" t="b">
        <v>1</v>
      </c>
    </row>
    <row r="299" spans="1:11">
      <c r="A299" s="5" t="s">
        <v>110</v>
      </c>
      <c r="B299" s="5" t="s">
        <v>722</v>
      </c>
      <c r="C299" s="6">
        <v>3500000</v>
      </c>
      <c r="D299" s="7">
        <v>0.25</v>
      </c>
      <c r="E299" s="7">
        <v>0.1</v>
      </c>
      <c r="F299" s="7">
        <v>0.05</v>
      </c>
      <c r="G299" s="5">
        <v>350</v>
      </c>
      <c r="I299" s="5" t="b">
        <v>1</v>
      </c>
      <c r="J299" s="5" t="b">
        <v>1</v>
      </c>
      <c r="K299" s="5" t="b">
        <v>1</v>
      </c>
    </row>
    <row r="300" spans="1:11">
      <c r="A300" s="5" t="s">
        <v>110</v>
      </c>
      <c r="B300" s="5" t="s">
        <v>723</v>
      </c>
      <c r="C300" s="6">
        <v>1995000</v>
      </c>
      <c r="D300" s="7">
        <v>0.25</v>
      </c>
      <c r="E300" s="7">
        <v>0.1</v>
      </c>
      <c r="F300" s="7">
        <v>0.05</v>
      </c>
      <c r="G300" s="5">
        <v>35</v>
      </c>
      <c r="I300" s="5" t="b">
        <v>1</v>
      </c>
      <c r="J300" s="5" t="b">
        <v>1</v>
      </c>
      <c r="K300" s="5" t="b">
        <v>1</v>
      </c>
    </row>
    <row r="301" spans="1:11">
      <c r="A301" s="5" t="s">
        <v>110</v>
      </c>
      <c r="B301" s="5" t="s">
        <v>724</v>
      </c>
      <c r="C301" s="6">
        <v>600000</v>
      </c>
      <c r="D301" s="7">
        <v>0.25</v>
      </c>
      <c r="E301" s="7">
        <v>0.1</v>
      </c>
      <c r="F301" s="7">
        <v>0.05</v>
      </c>
      <c r="G301" s="5">
        <v>120</v>
      </c>
      <c r="I301" s="5" t="b">
        <v>1</v>
      </c>
      <c r="J301" s="5" t="b">
        <v>1</v>
      </c>
      <c r="K301" s="5" t="b">
        <v>1</v>
      </c>
    </row>
    <row r="302" spans="1:11">
      <c r="A302" s="5" t="s">
        <v>110</v>
      </c>
      <c r="B302" s="5" t="s">
        <v>725</v>
      </c>
      <c r="C302" s="6">
        <v>1000000</v>
      </c>
      <c r="D302" s="7">
        <v>0.25</v>
      </c>
      <c r="E302" s="7">
        <v>0.1</v>
      </c>
      <c r="F302" s="7">
        <v>0.05</v>
      </c>
      <c r="G302" s="5">
        <v>160</v>
      </c>
      <c r="I302" s="5" t="b">
        <v>1</v>
      </c>
      <c r="J302" s="5" t="b">
        <v>1</v>
      </c>
      <c r="K302" s="5" t="b">
        <v>1</v>
      </c>
    </row>
    <row r="303" spans="1:11">
      <c r="A303" s="5" t="s">
        <v>110</v>
      </c>
      <c r="B303" s="5" t="s">
        <v>726</v>
      </c>
      <c r="C303" s="6">
        <v>2400000</v>
      </c>
      <c r="D303" s="7">
        <v>0.25</v>
      </c>
      <c r="E303" s="7">
        <v>0.1</v>
      </c>
      <c r="F303" s="7">
        <v>0.05</v>
      </c>
      <c r="G303" s="5">
        <v>240</v>
      </c>
      <c r="I303" s="5" t="b">
        <v>1</v>
      </c>
      <c r="J303" s="5" t="b">
        <v>1</v>
      </c>
      <c r="K303" s="5" t="b">
        <v>1</v>
      </c>
    </row>
    <row r="304" spans="1:11">
      <c r="A304" s="5" t="s">
        <v>110</v>
      </c>
      <c r="B304" s="5" t="s">
        <v>727</v>
      </c>
      <c r="C304" s="6">
        <v>800000</v>
      </c>
      <c r="D304" s="7">
        <v>0</v>
      </c>
      <c r="E304" s="7">
        <v>1</v>
      </c>
      <c r="F304" s="7">
        <v>0.05</v>
      </c>
      <c r="G304" s="5">
        <v>55</v>
      </c>
      <c r="H304" s="5" t="s">
        <v>168</v>
      </c>
      <c r="I304" s="5" t="b">
        <v>1</v>
      </c>
      <c r="J304" s="5" t="b">
        <v>1</v>
      </c>
      <c r="K304" s="5" t="b">
        <v>1</v>
      </c>
    </row>
    <row r="305" spans="1:11">
      <c r="A305" s="5" t="s">
        <v>110</v>
      </c>
      <c r="B305" s="5" t="s">
        <v>728</v>
      </c>
      <c r="C305" s="6">
        <v>2400000</v>
      </c>
      <c r="D305" s="7">
        <v>0.25</v>
      </c>
      <c r="E305" s="7">
        <v>0.1</v>
      </c>
      <c r="F305" s="7">
        <v>0.05</v>
      </c>
      <c r="G305" s="5">
        <v>120</v>
      </c>
      <c r="I305" s="5" t="b">
        <v>1</v>
      </c>
      <c r="J305" s="5" t="b">
        <v>1</v>
      </c>
      <c r="K305" s="5" t="b">
        <v>1</v>
      </c>
    </row>
    <row r="306" spans="1:11">
      <c r="A306" s="5" t="s">
        <v>110</v>
      </c>
      <c r="B306" s="5" t="s">
        <v>729</v>
      </c>
      <c r="C306" s="6">
        <v>8500000</v>
      </c>
      <c r="D306" s="7">
        <v>0.25</v>
      </c>
      <c r="E306" s="7">
        <v>0.1</v>
      </c>
      <c r="F306" s="7">
        <v>0.05</v>
      </c>
      <c r="G306" s="5">
        <v>222</v>
      </c>
      <c r="I306" s="5" t="b">
        <v>1</v>
      </c>
      <c r="J306" s="5" t="b">
        <v>1</v>
      </c>
      <c r="K306" s="5" t="b">
        <v>1</v>
      </c>
    </row>
    <row r="307" spans="1:11">
      <c r="A307" s="5" t="s">
        <v>110</v>
      </c>
      <c r="B307" s="5" t="s">
        <v>730</v>
      </c>
      <c r="C307" s="6">
        <v>1800000</v>
      </c>
      <c r="D307" s="7">
        <v>0.25</v>
      </c>
      <c r="E307" s="7">
        <v>0.1</v>
      </c>
      <c r="F307" s="7">
        <v>0.05</v>
      </c>
      <c r="G307" s="5">
        <v>90</v>
      </c>
      <c r="I307" s="5" t="b">
        <v>1</v>
      </c>
      <c r="J307" s="5" t="b">
        <v>1</v>
      </c>
      <c r="K307" s="5" t="b">
        <v>1</v>
      </c>
    </row>
    <row r="308" spans="1:11">
      <c r="A308" s="5" t="s">
        <v>110</v>
      </c>
      <c r="B308" s="5" t="s">
        <v>731</v>
      </c>
      <c r="C308" s="6">
        <v>600000</v>
      </c>
      <c r="D308" s="7">
        <v>0.25</v>
      </c>
      <c r="E308" s="7">
        <v>0.1</v>
      </c>
      <c r="F308" s="7">
        <v>0.05</v>
      </c>
      <c r="G308" s="5">
        <v>120</v>
      </c>
      <c r="I308" s="5" t="b">
        <v>1</v>
      </c>
      <c r="J308" s="5" t="b">
        <v>1</v>
      </c>
      <c r="K308" s="5" t="b">
        <v>1</v>
      </c>
    </row>
    <row r="309" spans="1:11">
      <c r="A309" s="5" t="s">
        <v>110</v>
      </c>
      <c r="B309" s="5" t="s">
        <v>732</v>
      </c>
      <c r="C309" s="6">
        <v>1355000</v>
      </c>
      <c r="D309" s="7">
        <v>0.25</v>
      </c>
      <c r="E309" s="7">
        <v>0.1</v>
      </c>
      <c r="F309" s="7">
        <v>0.05</v>
      </c>
      <c r="G309" s="5">
        <v>131</v>
      </c>
      <c r="I309" s="5" t="b">
        <v>1</v>
      </c>
      <c r="J309" s="5" t="b">
        <v>1</v>
      </c>
      <c r="K309" s="5" t="b">
        <v>1</v>
      </c>
    </row>
    <row r="310" spans="1:11">
      <c r="A310" s="5" t="s">
        <v>110</v>
      </c>
      <c r="B310" s="5" t="s">
        <v>733</v>
      </c>
      <c r="C310" s="6">
        <v>2400000</v>
      </c>
      <c r="D310" s="7">
        <v>0.25</v>
      </c>
      <c r="E310" s="7">
        <v>0.1</v>
      </c>
      <c r="F310" s="7">
        <v>0.05</v>
      </c>
      <c r="G310" s="5">
        <v>80</v>
      </c>
      <c r="I310" s="5" t="b">
        <v>1</v>
      </c>
      <c r="J310" s="5" t="b">
        <v>1</v>
      </c>
      <c r="K310" s="5" t="b">
        <v>1</v>
      </c>
    </row>
    <row r="311" spans="1:11">
      <c r="A311" s="5" t="s">
        <v>110</v>
      </c>
      <c r="B311" s="5" t="s">
        <v>734</v>
      </c>
      <c r="C311" s="6">
        <v>2400000</v>
      </c>
      <c r="D311" s="7">
        <v>0.25</v>
      </c>
      <c r="E311" s="7">
        <v>0.1</v>
      </c>
      <c r="F311" s="7">
        <v>0.05</v>
      </c>
      <c r="G311" s="5">
        <v>120</v>
      </c>
      <c r="I311" s="5" t="b">
        <v>1</v>
      </c>
      <c r="J311" s="5" t="b">
        <v>1</v>
      </c>
      <c r="K311" s="5" t="b">
        <v>1</v>
      </c>
    </row>
    <row r="312" spans="1:11">
      <c r="A312" s="5" t="s">
        <v>110</v>
      </c>
      <c r="B312" s="5" t="s">
        <v>503</v>
      </c>
      <c r="C312" s="6">
        <v>800000</v>
      </c>
      <c r="D312" s="7">
        <v>0</v>
      </c>
      <c r="E312" s="7">
        <v>1</v>
      </c>
      <c r="F312" s="7">
        <v>0.05</v>
      </c>
      <c r="G312" s="5">
        <v>55</v>
      </c>
      <c r="H312" s="5" t="s">
        <v>168</v>
      </c>
      <c r="I312" s="5" t="b">
        <v>1</v>
      </c>
      <c r="J312" s="5" t="b">
        <v>1</v>
      </c>
      <c r="K312" s="5" t="b">
        <v>1</v>
      </c>
    </row>
    <row r="313" spans="1:11">
      <c r="A313" s="5" t="s">
        <v>110</v>
      </c>
      <c r="B313" s="5" t="s">
        <v>504</v>
      </c>
      <c r="C313" s="6">
        <v>800000</v>
      </c>
      <c r="D313" s="7">
        <v>0</v>
      </c>
      <c r="E313" s="7">
        <v>0</v>
      </c>
      <c r="F313" s="7">
        <v>0.05</v>
      </c>
      <c r="G313" s="5">
        <v>55</v>
      </c>
      <c r="I313" s="5" t="b">
        <v>1</v>
      </c>
      <c r="J313" s="5" t="b">
        <v>1</v>
      </c>
      <c r="K313" s="5" t="b">
        <v>1</v>
      </c>
    </row>
    <row r="314" spans="1:11">
      <c r="A314" s="5" t="s">
        <v>111</v>
      </c>
      <c r="B314" s="5" t="s">
        <v>505</v>
      </c>
      <c r="C314" s="6">
        <v>5825997.2400000002</v>
      </c>
      <c r="D314" s="7">
        <v>0.25</v>
      </c>
      <c r="E314" s="7">
        <v>0.1</v>
      </c>
      <c r="F314" s="7">
        <v>0.05</v>
      </c>
      <c r="G314" s="5">
        <v>24</v>
      </c>
      <c r="I314" s="5" t="b">
        <v>1</v>
      </c>
      <c r="J314" s="5" t="b">
        <v>1</v>
      </c>
      <c r="K314" s="5" t="b">
        <v>1</v>
      </c>
    </row>
    <row r="315" spans="1:11">
      <c r="A315" s="5" t="s">
        <v>111</v>
      </c>
      <c r="B315" s="5" t="s">
        <v>507</v>
      </c>
      <c r="C315" s="6">
        <v>5475586.3399999999</v>
      </c>
      <c r="D315" s="7">
        <v>0.25</v>
      </c>
      <c r="E315" s="7">
        <v>0.1</v>
      </c>
      <c r="F315" s="7">
        <v>0.05</v>
      </c>
      <c r="G315" s="5">
        <v>38</v>
      </c>
      <c r="I315" s="5" t="b">
        <v>1</v>
      </c>
      <c r="J315" s="5" t="b">
        <v>1</v>
      </c>
      <c r="K315" s="5" t="b">
        <v>1</v>
      </c>
    </row>
    <row r="316" spans="1:11">
      <c r="A316" s="5" t="s">
        <v>111</v>
      </c>
      <c r="B316" s="5" t="s">
        <v>508</v>
      </c>
      <c r="C316" s="6">
        <v>3300000</v>
      </c>
      <c r="D316" s="7">
        <v>0.25</v>
      </c>
      <c r="E316" s="7">
        <v>0.1</v>
      </c>
      <c r="F316" s="7">
        <v>0.05</v>
      </c>
      <c r="G316" s="5">
        <v>60</v>
      </c>
      <c r="I316" s="5" t="b">
        <v>1</v>
      </c>
      <c r="J316" s="5" t="b">
        <v>1</v>
      </c>
      <c r="K316" s="5" t="b">
        <v>1</v>
      </c>
    </row>
    <row r="317" spans="1:11">
      <c r="A317" s="5" t="s">
        <v>111</v>
      </c>
      <c r="B317" s="9" t="s">
        <v>509</v>
      </c>
      <c r="C317" s="6">
        <v>34050000</v>
      </c>
      <c r="D317" s="7">
        <v>0.25</v>
      </c>
      <c r="E317" s="7">
        <v>0.1</v>
      </c>
      <c r="F317" s="7">
        <v>0.05</v>
      </c>
      <c r="G317" s="10">
        <v>280</v>
      </c>
      <c r="I317" s="5" t="b">
        <v>1</v>
      </c>
      <c r="J317" s="5" t="b">
        <v>1</v>
      </c>
      <c r="K317" s="5" t="b">
        <v>1</v>
      </c>
    </row>
    <row r="318" spans="1:11">
      <c r="A318" s="5" t="s">
        <v>111</v>
      </c>
      <c r="B318" s="5" t="s">
        <v>510</v>
      </c>
      <c r="C318" s="6">
        <v>571428.56000000006</v>
      </c>
      <c r="D318" s="7">
        <v>0.25</v>
      </c>
      <c r="E318" s="7">
        <v>0.1</v>
      </c>
      <c r="F318" s="7">
        <v>0.05</v>
      </c>
      <c r="G318" s="5">
        <v>120</v>
      </c>
      <c r="I318" s="5" t="b">
        <v>1</v>
      </c>
      <c r="J318" s="5" t="b">
        <v>1</v>
      </c>
      <c r="K318" s="5" t="b">
        <v>1</v>
      </c>
    </row>
    <row r="319" spans="1:11">
      <c r="A319" s="5" t="s">
        <v>111</v>
      </c>
      <c r="B319" s="9" t="s">
        <v>511</v>
      </c>
      <c r="C319" s="6">
        <v>8750000</v>
      </c>
      <c r="D319" s="7">
        <v>0.25</v>
      </c>
      <c r="E319" s="7">
        <v>0.1</v>
      </c>
      <c r="F319" s="7">
        <v>0.05</v>
      </c>
      <c r="G319" s="10">
        <v>53</v>
      </c>
      <c r="I319" s="5" t="b">
        <v>1</v>
      </c>
      <c r="J319" s="5" t="b">
        <v>1</v>
      </c>
      <c r="K319" s="5" t="b">
        <v>1</v>
      </c>
    </row>
    <row r="320" spans="1:11">
      <c r="A320" s="5" t="s">
        <v>111</v>
      </c>
      <c r="B320" s="5" t="s">
        <v>512</v>
      </c>
      <c r="C320" s="6">
        <v>1500000</v>
      </c>
      <c r="D320" s="7">
        <v>0.25</v>
      </c>
      <c r="E320" s="7">
        <v>0.1</v>
      </c>
      <c r="F320" s="7">
        <v>0.05</v>
      </c>
      <c r="G320" s="5">
        <v>50</v>
      </c>
      <c r="I320" s="5" t="b">
        <v>1</v>
      </c>
      <c r="J320" s="5" t="b">
        <v>1</v>
      </c>
      <c r="K320" s="5" t="b">
        <v>1</v>
      </c>
    </row>
    <row r="321" spans="1:11">
      <c r="A321" s="5" t="s">
        <v>111</v>
      </c>
      <c r="B321" s="5" t="s">
        <v>513</v>
      </c>
      <c r="C321" s="6">
        <v>3300000</v>
      </c>
      <c r="D321" s="7">
        <v>0.25</v>
      </c>
      <c r="E321" s="7">
        <v>0.1</v>
      </c>
      <c r="F321" s="7">
        <v>0.05</v>
      </c>
      <c r="G321" s="5">
        <v>16</v>
      </c>
      <c r="I321" s="5" t="b">
        <v>1</v>
      </c>
      <c r="J321" s="5" t="b">
        <v>1</v>
      </c>
      <c r="K321" s="5" t="b">
        <v>1</v>
      </c>
    </row>
    <row r="322" spans="1:11">
      <c r="A322" s="5" t="s">
        <v>111</v>
      </c>
      <c r="B322" s="5" t="s">
        <v>514</v>
      </c>
      <c r="C322" s="6">
        <v>1499999.84</v>
      </c>
      <c r="D322" s="7">
        <v>0.4</v>
      </c>
      <c r="E322" s="7">
        <v>0.1</v>
      </c>
      <c r="F322" s="7">
        <v>0.05</v>
      </c>
      <c r="G322" s="5">
        <v>4</v>
      </c>
      <c r="I322" s="5" t="b">
        <v>1</v>
      </c>
      <c r="J322" s="5" t="b">
        <v>1</v>
      </c>
      <c r="K322" s="5" t="b">
        <v>1</v>
      </c>
    </row>
    <row r="323" spans="1:11">
      <c r="A323" s="5" t="s">
        <v>112</v>
      </c>
      <c r="B323" s="5" t="s">
        <v>515</v>
      </c>
      <c r="C323" s="6">
        <v>9800000</v>
      </c>
      <c r="D323" s="7">
        <v>0.25</v>
      </c>
      <c r="E323" s="7">
        <v>0.1</v>
      </c>
      <c r="F323" s="7">
        <v>0.05</v>
      </c>
      <c r="G323" s="5">
        <v>260</v>
      </c>
      <c r="I323" s="5" t="b">
        <v>1</v>
      </c>
      <c r="J323" s="5" t="b">
        <v>1</v>
      </c>
      <c r="K323" s="5" t="b">
        <v>1</v>
      </c>
    </row>
    <row r="324" spans="1:11">
      <c r="A324" s="5" t="s">
        <v>112</v>
      </c>
      <c r="B324" s="5" t="s">
        <v>517</v>
      </c>
      <c r="C324" s="6">
        <v>33950000</v>
      </c>
      <c r="D324" s="7">
        <v>0.25</v>
      </c>
      <c r="E324" s="7">
        <v>0.1</v>
      </c>
      <c r="F324" s="7">
        <v>0.05</v>
      </c>
      <c r="G324" s="5">
        <v>900</v>
      </c>
      <c r="I324" s="5" t="b">
        <v>1</v>
      </c>
      <c r="J324" s="5" t="b">
        <v>1</v>
      </c>
      <c r="K324" s="5" t="b">
        <v>1</v>
      </c>
    </row>
    <row r="325" spans="1:11">
      <c r="A325" s="5" t="s">
        <v>112</v>
      </c>
      <c r="B325" s="5" t="s">
        <v>518</v>
      </c>
      <c r="C325" s="6">
        <v>9177166.5999999996</v>
      </c>
      <c r="D325" s="7">
        <v>0.25</v>
      </c>
      <c r="E325" s="7">
        <v>0.1</v>
      </c>
      <c r="F325" s="7">
        <v>0.05</v>
      </c>
      <c r="G325" s="5">
        <v>780</v>
      </c>
      <c r="I325" s="5" t="b">
        <v>1</v>
      </c>
      <c r="J325" s="5" t="b">
        <v>1</v>
      </c>
      <c r="K325" s="5" t="b">
        <v>1</v>
      </c>
    </row>
    <row r="326" spans="1:11">
      <c r="A326" s="5" t="s">
        <v>112</v>
      </c>
      <c r="B326" s="5" t="s">
        <v>735</v>
      </c>
      <c r="C326" s="6">
        <v>1000000</v>
      </c>
      <c r="D326" s="7">
        <v>1</v>
      </c>
      <c r="E326" s="7">
        <v>0.1</v>
      </c>
      <c r="F326" s="7">
        <v>0.05</v>
      </c>
      <c r="G326" s="5">
        <v>100</v>
      </c>
      <c r="H326" s="5" t="s">
        <v>213</v>
      </c>
      <c r="I326" s="5" t="b">
        <v>1</v>
      </c>
      <c r="J326" s="5" t="b">
        <v>1</v>
      </c>
      <c r="K326" s="5" t="b">
        <v>1</v>
      </c>
    </row>
    <row r="327" spans="1:11">
      <c r="A327" s="5" t="s">
        <v>112</v>
      </c>
      <c r="B327" s="5" t="s">
        <v>736</v>
      </c>
      <c r="C327" s="6">
        <v>2500000</v>
      </c>
      <c r="D327" s="7">
        <v>0.25</v>
      </c>
      <c r="E327" s="7">
        <v>0.1</v>
      </c>
      <c r="F327" s="7">
        <v>0.05</v>
      </c>
      <c r="G327" s="5">
        <v>100</v>
      </c>
      <c r="I327" s="5" t="b">
        <v>1</v>
      </c>
      <c r="J327" s="5" t="b">
        <v>1</v>
      </c>
      <c r="K327" s="5" t="b">
        <v>1</v>
      </c>
    </row>
    <row r="328" spans="1:11">
      <c r="A328" s="5" t="s">
        <v>112</v>
      </c>
      <c r="B328" s="5" t="s">
        <v>521</v>
      </c>
      <c r="C328" s="6">
        <v>7700000</v>
      </c>
      <c r="D328" s="7">
        <v>0.25</v>
      </c>
      <c r="E328" s="7">
        <v>0.1</v>
      </c>
      <c r="F328" s="7">
        <v>0.05</v>
      </c>
      <c r="G328" s="5">
        <v>80</v>
      </c>
      <c r="I328" s="5" t="b">
        <v>1</v>
      </c>
      <c r="J328" s="5" t="b">
        <v>1</v>
      </c>
      <c r="K328" s="5" t="b">
        <v>1</v>
      </c>
    </row>
    <row r="329" spans="1:11">
      <c r="A329" s="5" t="s">
        <v>112</v>
      </c>
      <c r="B329" s="5" t="s">
        <v>522</v>
      </c>
      <c r="C329" s="6">
        <v>1800000</v>
      </c>
      <c r="D329" s="7">
        <v>0.25</v>
      </c>
      <c r="E329" s="7">
        <v>0.1</v>
      </c>
      <c r="F329" s="7">
        <v>0.05</v>
      </c>
      <c r="G329" s="5">
        <v>6</v>
      </c>
      <c r="I329" s="5" t="b">
        <v>1</v>
      </c>
      <c r="J329" s="5" t="b">
        <v>1</v>
      </c>
      <c r="K329" s="5" t="b">
        <v>1</v>
      </c>
    </row>
    <row r="330" spans="1:11">
      <c r="A330" s="5" t="s">
        <v>113</v>
      </c>
      <c r="B330" s="5" t="s">
        <v>737</v>
      </c>
      <c r="C330" s="6">
        <v>6500000</v>
      </c>
      <c r="D330" s="7">
        <v>0.25</v>
      </c>
      <c r="E330" s="7">
        <v>0.1</v>
      </c>
      <c r="F330" s="7">
        <v>0.05</v>
      </c>
      <c r="G330" s="5">
        <v>130</v>
      </c>
      <c r="I330" s="5" t="b">
        <v>1</v>
      </c>
      <c r="J330" s="5" t="b">
        <v>1</v>
      </c>
      <c r="K330" s="5" t="b">
        <v>1</v>
      </c>
    </row>
    <row r="331" spans="1:11">
      <c r="A331" s="5" t="s">
        <v>113</v>
      </c>
      <c r="B331" s="5" t="s">
        <v>525</v>
      </c>
      <c r="C331" s="6">
        <v>12000000</v>
      </c>
      <c r="D331" s="7">
        <v>0.25</v>
      </c>
      <c r="E331" s="7">
        <v>0.1</v>
      </c>
      <c r="F331" s="7">
        <v>0.05</v>
      </c>
      <c r="G331" s="5">
        <v>110</v>
      </c>
      <c r="I331" s="5" t="b">
        <v>1</v>
      </c>
      <c r="J331" s="5" t="b">
        <v>1</v>
      </c>
      <c r="K331" s="5" t="b">
        <v>1</v>
      </c>
    </row>
    <row r="332" spans="1:11">
      <c r="A332" s="5" t="s">
        <v>113</v>
      </c>
      <c r="B332" s="5" t="s">
        <v>526</v>
      </c>
      <c r="C332" s="6">
        <v>2248000</v>
      </c>
      <c r="D332" s="7">
        <v>0.25</v>
      </c>
      <c r="E332" s="7">
        <v>0.1</v>
      </c>
      <c r="F332" s="7">
        <v>0.05</v>
      </c>
      <c r="G332" s="5">
        <v>251</v>
      </c>
      <c r="I332" s="5" t="b">
        <v>1</v>
      </c>
      <c r="J332" s="5" t="b">
        <v>1</v>
      </c>
      <c r="K332" s="5" t="b">
        <v>1</v>
      </c>
    </row>
    <row r="333" spans="1:11">
      <c r="A333" s="5" t="s">
        <v>113</v>
      </c>
      <c r="B333" s="5" t="s">
        <v>527</v>
      </c>
      <c r="C333" s="6">
        <v>2700000</v>
      </c>
      <c r="D333" s="7">
        <v>0.25</v>
      </c>
      <c r="E333" s="7">
        <v>0.1</v>
      </c>
      <c r="F333" s="7">
        <v>0.05</v>
      </c>
      <c r="G333" s="5">
        <v>27</v>
      </c>
      <c r="I333" s="5" t="b">
        <v>1</v>
      </c>
      <c r="J333" s="5" t="b">
        <v>1</v>
      </c>
      <c r="K333" s="5" t="b">
        <v>1</v>
      </c>
    </row>
    <row r="334" spans="1:11">
      <c r="A334" s="5" t="s">
        <v>113</v>
      </c>
      <c r="B334" s="5" t="s">
        <v>528</v>
      </c>
      <c r="C334" s="6">
        <v>600000</v>
      </c>
      <c r="D334" s="7">
        <v>0.25</v>
      </c>
      <c r="E334" s="7">
        <v>0.1</v>
      </c>
      <c r="F334" s="7">
        <v>0.05</v>
      </c>
      <c r="G334" s="5">
        <v>2</v>
      </c>
      <c r="I334" s="5" t="b">
        <v>1</v>
      </c>
      <c r="J334" s="5" t="b">
        <v>1</v>
      </c>
      <c r="K334" s="5" t="b">
        <v>1</v>
      </c>
    </row>
    <row r="335" spans="1:11">
      <c r="A335" s="5" t="s">
        <v>70</v>
      </c>
      <c r="B335" s="5" t="s">
        <v>529</v>
      </c>
      <c r="C335" s="6">
        <v>3980000</v>
      </c>
      <c r="D335" s="7">
        <v>0.25</v>
      </c>
      <c r="E335" s="7">
        <v>0.1</v>
      </c>
      <c r="F335" s="7">
        <v>0.05</v>
      </c>
      <c r="G335" s="5">
        <v>55</v>
      </c>
      <c r="I335" s="5" t="b">
        <v>1</v>
      </c>
      <c r="J335" s="5" t="b">
        <v>1</v>
      </c>
      <c r="K335" s="5" t="b">
        <v>1</v>
      </c>
    </row>
    <row r="336" spans="1:11">
      <c r="A336" s="5" t="s">
        <v>70</v>
      </c>
      <c r="B336" s="5" t="s">
        <v>531</v>
      </c>
      <c r="C336" s="6">
        <v>1000000</v>
      </c>
      <c r="D336" s="7">
        <v>0.25</v>
      </c>
      <c r="E336" s="7">
        <v>0.1</v>
      </c>
      <c r="F336" s="7">
        <v>0.05</v>
      </c>
      <c r="G336" s="5">
        <v>50</v>
      </c>
      <c r="I336" s="5" t="b">
        <v>1</v>
      </c>
      <c r="J336" s="5" t="b">
        <v>1</v>
      </c>
      <c r="K336" s="5" t="b">
        <v>1</v>
      </c>
    </row>
    <row r="337" spans="1:11">
      <c r="A337" s="5" t="s">
        <v>70</v>
      </c>
      <c r="B337" s="5" t="s">
        <v>532</v>
      </c>
      <c r="C337" s="6">
        <v>1800000</v>
      </c>
      <c r="D337" s="7">
        <v>0.25</v>
      </c>
      <c r="E337" s="7">
        <v>0.1</v>
      </c>
      <c r="F337" s="7">
        <v>0.05</v>
      </c>
      <c r="G337" s="5">
        <v>30</v>
      </c>
      <c r="I337" s="5" t="b">
        <v>1</v>
      </c>
      <c r="J337" s="5" t="b">
        <v>1</v>
      </c>
      <c r="K337" s="5" t="b">
        <v>1</v>
      </c>
    </row>
    <row r="338" spans="1:11">
      <c r="A338" s="5" t="s">
        <v>70</v>
      </c>
      <c r="B338" s="5" t="s">
        <v>533</v>
      </c>
      <c r="C338" s="6">
        <v>1036000</v>
      </c>
      <c r="D338" s="7">
        <v>0.25</v>
      </c>
      <c r="E338" s="7">
        <v>0.1</v>
      </c>
      <c r="F338" s="7">
        <v>0.05</v>
      </c>
      <c r="G338" s="5">
        <v>97</v>
      </c>
      <c r="I338" s="5" t="b">
        <v>1</v>
      </c>
      <c r="J338" s="5" t="b">
        <v>1</v>
      </c>
      <c r="K338" s="5" t="b">
        <v>1</v>
      </c>
    </row>
    <row r="339" spans="1:11">
      <c r="A339" s="5" t="s">
        <v>70</v>
      </c>
      <c r="B339" s="5" t="s">
        <v>534</v>
      </c>
      <c r="C339" s="6">
        <v>780000</v>
      </c>
      <c r="D339" s="7">
        <v>0</v>
      </c>
      <c r="E339" s="7">
        <v>0</v>
      </c>
      <c r="F339" s="7">
        <v>0</v>
      </c>
      <c r="G339" s="5">
        <v>1</v>
      </c>
      <c r="I339" s="5" t="b">
        <v>1</v>
      </c>
      <c r="J339" s="5" t="b">
        <v>1</v>
      </c>
      <c r="K339" s="5" t="b">
        <v>1</v>
      </c>
    </row>
    <row r="340" spans="1:11">
      <c r="A340" s="5" t="s">
        <v>71</v>
      </c>
      <c r="B340" s="5" t="s">
        <v>535</v>
      </c>
      <c r="C340" s="6">
        <v>2121592.46</v>
      </c>
      <c r="D340" s="7">
        <v>0.25</v>
      </c>
      <c r="E340" s="7">
        <v>0.1</v>
      </c>
      <c r="F340" s="7">
        <v>0.05</v>
      </c>
      <c r="G340" s="5">
        <v>64</v>
      </c>
      <c r="I340" s="5" t="b">
        <v>1</v>
      </c>
      <c r="J340" s="5" t="b">
        <v>1</v>
      </c>
      <c r="K340" s="5" t="b">
        <v>1</v>
      </c>
    </row>
    <row r="341" spans="1:11">
      <c r="A341" s="5" t="s">
        <v>71</v>
      </c>
      <c r="B341" s="5" t="s">
        <v>537</v>
      </c>
      <c r="C341" s="6">
        <v>510000</v>
      </c>
      <c r="D341" s="7">
        <v>0.25</v>
      </c>
      <c r="E341" s="7">
        <v>0.1</v>
      </c>
      <c r="F341" s="7">
        <v>0.05</v>
      </c>
      <c r="G341" s="5">
        <v>26</v>
      </c>
      <c r="I341" s="5" t="b">
        <v>1</v>
      </c>
      <c r="J341" s="5" t="b">
        <v>1</v>
      </c>
      <c r="K341" s="5" t="b">
        <v>1</v>
      </c>
    </row>
    <row r="342" spans="1:11">
      <c r="A342" s="5" t="s">
        <v>71</v>
      </c>
      <c r="B342" s="5" t="s">
        <v>538</v>
      </c>
      <c r="C342" s="6">
        <v>571216.27</v>
      </c>
      <c r="D342" s="7">
        <v>0.25</v>
      </c>
      <c r="E342" s="7">
        <v>0.1</v>
      </c>
      <c r="F342" s="7">
        <v>0.05</v>
      </c>
      <c r="G342" s="5">
        <v>6</v>
      </c>
      <c r="I342" s="5" t="b">
        <v>1</v>
      </c>
      <c r="J342" s="5" t="b">
        <v>1</v>
      </c>
      <c r="K342" s="5" t="b">
        <v>1</v>
      </c>
    </row>
    <row r="343" spans="1:11">
      <c r="A343" s="5" t="s">
        <v>71</v>
      </c>
      <c r="B343" s="5" t="s">
        <v>539</v>
      </c>
      <c r="C343" s="6">
        <v>470000</v>
      </c>
      <c r="D343" s="7">
        <v>0.19</v>
      </c>
      <c r="E343" s="7">
        <v>0.19</v>
      </c>
      <c r="F343" s="7">
        <v>0.05</v>
      </c>
      <c r="G343" s="5">
        <v>21</v>
      </c>
      <c r="I343" s="5" t="b">
        <v>0</v>
      </c>
      <c r="J343" s="5" t="b">
        <v>1</v>
      </c>
      <c r="K343" s="5" t="b">
        <v>1</v>
      </c>
    </row>
    <row r="344" spans="1:11">
      <c r="A344" s="5" t="s">
        <v>72</v>
      </c>
      <c r="B344" s="5" t="s">
        <v>540</v>
      </c>
      <c r="C344" s="6">
        <v>500000</v>
      </c>
      <c r="D344" s="7">
        <v>0.3</v>
      </c>
      <c r="E344" s="7">
        <v>0.1</v>
      </c>
      <c r="F344" s="7">
        <v>0.05</v>
      </c>
      <c r="G344" s="5">
        <v>10</v>
      </c>
      <c r="I344" s="5" t="b">
        <v>1</v>
      </c>
      <c r="J344" s="5" t="b">
        <v>1</v>
      </c>
      <c r="K344" s="5" t="b">
        <v>1</v>
      </c>
    </row>
    <row r="345" spans="1:11">
      <c r="A345" s="5" t="s">
        <v>72</v>
      </c>
      <c r="B345" s="5" t="s">
        <v>542</v>
      </c>
      <c r="C345" s="6">
        <v>2099141.2999999998</v>
      </c>
      <c r="D345" s="7">
        <v>0.3</v>
      </c>
      <c r="E345" s="7">
        <v>0.1</v>
      </c>
      <c r="F345" s="7">
        <v>0.05</v>
      </c>
      <c r="I345" s="5" t="b">
        <v>1</v>
      </c>
      <c r="J345" s="5" t="b">
        <v>1</v>
      </c>
      <c r="K345" s="5" t="b">
        <v>1</v>
      </c>
    </row>
    <row r="346" spans="1:11">
      <c r="A346" s="5" t="s">
        <v>72</v>
      </c>
      <c r="B346" s="5" t="s">
        <v>543</v>
      </c>
      <c r="C346" s="6">
        <v>2800000</v>
      </c>
      <c r="D346" s="7">
        <v>0.3</v>
      </c>
      <c r="E346" s="7">
        <v>0.1</v>
      </c>
      <c r="F346" s="7">
        <v>0.05</v>
      </c>
      <c r="G346" s="10">
        <v>36</v>
      </c>
      <c r="I346" s="5" t="b">
        <v>1</v>
      </c>
      <c r="J346" s="5" t="b">
        <v>1</v>
      </c>
      <c r="K346" s="5" t="b">
        <v>1</v>
      </c>
    </row>
    <row r="347" spans="1:11">
      <c r="A347" s="5" t="s">
        <v>72</v>
      </c>
      <c r="B347" s="5" t="s">
        <v>544</v>
      </c>
      <c r="C347" s="6">
        <v>4747853.3</v>
      </c>
      <c r="D347" s="7">
        <v>0.3</v>
      </c>
      <c r="E347" s="7">
        <v>0.1</v>
      </c>
      <c r="F347" s="7">
        <v>0.05</v>
      </c>
      <c r="I347" s="5" t="b">
        <v>1</v>
      </c>
      <c r="J347" s="5" t="b">
        <v>1</v>
      </c>
      <c r="K347" s="5" t="b">
        <v>1</v>
      </c>
    </row>
    <row r="348" spans="1:11">
      <c r="A348" s="5" t="s">
        <v>73</v>
      </c>
      <c r="B348" s="5" t="s">
        <v>545</v>
      </c>
      <c r="C348" s="6">
        <v>976000</v>
      </c>
      <c r="D348" s="7">
        <v>0.25</v>
      </c>
      <c r="E348" s="7">
        <v>0</v>
      </c>
      <c r="F348" s="7">
        <v>0.05</v>
      </c>
      <c r="G348" s="5">
        <v>49</v>
      </c>
      <c r="I348" s="5" t="b">
        <v>1</v>
      </c>
      <c r="J348" s="5" t="b">
        <v>1</v>
      </c>
      <c r="K348" s="5" t="b">
        <v>1</v>
      </c>
    </row>
    <row r="349" spans="1:11">
      <c r="A349" s="5" t="s">
        <v>73</v>
      </c>
      <c r="B349" s="5" t="s">
        <v>547</v>
      </c>
      <c r="C349" s="6">
        <v>230000</v>
      </c>
      <c r="D349" s="7">
        <v>0.2</v>
      </c>
      <c r="E349" s="7">
        <v>0</v>
      </c>
      <c r="F349" s="7">
        <v>0.05</v>
      </c>
      <c r="G349" s="5">
        <v>23</v>
      </c>
      <c r="I349" s="5" t="b">
        <v>0</v>
      </c>
      <c r="J349" s="5" t="b">
        <v>1</v>
      </c>
      <c r="K349" s="5" t="b">
        <v>1</v>
      </c>
    </row>
    <row r="350" spans="1:11">
      <c r="A350" s="5" t="s">
        <v>73</v>
      </c>
      <c r="B350" s="5" t="s">
        <v>548</v>
      </c>
      <c r="C350" s="6">
        <v>800000</v>
      </c>
      <c r="D350" s="7">
        <v>0.25</v>
      </c>
      <c r="E350" s="7">
        <v>0.1</v>
      </c>
      <c r="F350" s="7">
        <v>0.05</v>
      </c>
      <c r="G350" s="5">
        <v>32</v>
      </c>
      <c r="I350" s="5" t="b">
        <v>1</v>
      </c>
      <c r="J350" s="5" t="b">
        <v>1</v>
      </c>
      <c r="K350" s="5" t="b">
        <v>1</v>
      </c>
    </row>
    <row r="351" spans="1:11">
      <c r="A351" s="5" t="s">
        <v>73</v>
      </c>
      <c r="B351" s="5" t="s">
        <v>549</v>
      </c>
      <c r="C351" s="6">
        <v>220000</v>
      </c>
      <c r="D351" s="7">
        <v>0</v>
      </c>
      <c r="E351" s="7">
        <v>1</v>
      </c>
      <c r="F351" s="7">
        <v>0</v>
      </c>
      <c r="G351" s="5">
        <v>22</v>
      </c>
      <c r="H351" s="5" t="s">
        <v>168</v>
      </c>
      <c r="I351" s="5" t="b">
        <v>1</v>
      </c>
      <c r="J351" s="5" t="b">
        <v>1</v>
      </c>
      <c r="K351" s="5" t="b">
        <v>0</v>
      </c>
    </row>
    <row r="352" spans="1:11">
      <c r="A352" s="5" t="s">
        <v>73</v>
      </c>
      <c r="B352" s="5" t="s">
        <v>550</v>
      </c>
      <c r="C352" s="6">
        <v>220000</v>
      </c>
      <c r="D352" s="7">
        <v>0.2</v>
      </c>
      <c r="E352" s="7">
        <v>0</v>
      </c>
      <c r="F352" s="7">
        <v>0.05</v>
      </c>
      <c r="G352" s="5">
        <v>22</v>
      </c>
      <c r="I352" s="5" t="b">
        <v>0</v>
      </c>
      <c r="J352" s="5" t="b">
        <v>1</v>
      </c>
      <c r="K352" s="5" t="b">
        <v>1</v>
      </c>
    </row>
    <row r="353" spans="1:11">
      <c r="A353" s="5" t="s">
        <v>73</v>
      </c>
      <c r="B353" s="5" t="s">
        <v>551</v>
      </c>
      <c r="C353" s="6">
        <v>960000</v>
      </c>
      <c r="D353" s="7">
        <v>0.25</v>
      </c>
      <c r="E353" s="7">
        <v>0.1</v>
      </c>
      <c r="F353" s="7">
        <v>0.05</v>
      </c>
      <c r="G353" s="5">
        <v>32</v>
      </c>
      <c r="I353" s="5" t="b">
        <v>1</v>
      </c>
      <c r="J353" s="5" t="b">
        <v>1</v>
      </c>
      <c r="K353" s="5" t="b">
        <v>1</v>
      </c>
    </row>
    <row r="354" spans="1:11">
      <c r="A354" s="5" t="s">
        <v>73</v>
      </c>
      <c r="B354" s="5" t="s">
        <v>552</v>
      </c>
      <c r="C354" s="6">
        <v>682000</v>
      </c>
      <c r="D354" s="7">
        <v>0.2</v>
      </c>
      <c r="E354" s="7">
        <v>0</v>
      </c>
      <c r="F354" s="7">
        <v>0.05</v>
      </c>
      <c r="G354" s="5">
        <v>34</v>
      </c>
      <c r="I354" s="5" t="b">
        <v>0</v>
      </c>
      <c r="J354" s="5" t="b">
        <v>1</v>
      </c>
      <c r="K354" s="5" t="b">
        <v>1</v>
      </c>
    </row>
    <row r="355" spans="1:11">
      <c r="A355" s="5" t="s">
        <v>114</v>
      </c>
      <c r="B355" s="5" t="s">
        <v>553</v>
      </c>
      <c r="C355" s="6">
        <v>17730000</v>
      </c>
      <c r="D355" s="7">
        <v>0.25</v>
      </c>
      <c r="E355" s="7">
        <v>0.1</v>
      </c>
      <c r="F355" s="7">
        <v>0.05</v>
      </c>
      <c r="G355" s="5">
        <v>373</v>
      </c>
      <c r="I355" s="5" t="b">
        <v>1</v>
      </c>
      <c r="J355" s="5" t="b">
        <v>1</v>
      </c>
      <c r="K355" s="5" t="b">
        <v>1</v>
      </c>
    </row>
    <row r="356" spans="1:11">
      <c r="A356" s="5" t="s">
        <v>114</v>
      </c>
      <c r="B356" s="5" t="s">
        <v>555</v>
      </c>
      <c r="C356" s="6">
        <v>4800000</v>
      </c>
      <c r="D356" s="7">
        <v>0</v>
      </c>
      <c r="E356" s="7">
        <v>0</v>
      </c>
      <c r="F356" s="7">
        <v>0</v>
      </c>
      <c r="G356" s="5">
        <v>2</v>
      </c>
      <c r="I356" s="5" t="b">
        <v>0</v>
      </c>
      <c r="J356" s="5" t="b">
        <v>1</v>
      </c>
      <c r="K356" s="5" t="b">
        <v>1</v>
      </c>
    </row>
    <row r="357" spans="1:11">
      <c r="A357" s="5" t="s">
        <v>114</v>
      </c>
      <c r="B357" s="5" t="s">
        <v>556</v>
      </c>
      <c r="C357" s="6">
        <v>5000000</v>
      </c>
      <c r="D357" s="7">
        <v>0.25</v>
      </c>
      <c r="E357" s="7">
        <v>0.1</v>
      </c>
      <c r="F357" s="7">
        <v>0.05</v>
      </c>
      <c r="G357" s="5">
        <v>55</v>
      </c>
      <c r="I357" s="5" t="b">
        <v>1</v>
      </c>
      <c r="J357" s="5" t="b">
        <v>1</v>
      </c>
      <c r="K357" s="5" t="b">
        <v>1</v>
      </c>
    </row>
    <row r="358" spans="1:11">
      <c r="A358" s="5" t="s">
        <v>114</v>
      </c>
      <c r="B358" s="5" t="s">
        <v>557</v>
      </c>
      <c r="C358" s="6">
        <v>21000000</v>
      </c>
      <c r="D358" s="7">
        <v>0.25</v>
      </c>
      <c r="E358" s="7">
        <v>0.1</v>
      </c>
      <c r="F358" s="7">
        <v>0.05</v>
      </c>
      <c r="G358" s="5">
        <v>300</v>
      </c>
      <c r="I358" s="5" t="b">
        <v>1</v>
      </c>
      <c r="J358" s="5" t="b">
        <v>1</v>
      </c>
      <c r="K358" s="5" t="b">
        <v>1</v>
      </c>
    </row>
    <row r="359" spans="1:11">
      <c r="A359" s="5" t="s">
        <v>114</v>
      </c>
      <c r="B359" s="5" t="s">
        <v>558</v>
      </c>
      <c r="C359" s="6">
        <v>21000000</v>
      </c>
      <c r="D359" s="7">
        <v>0.25</v>
      </c>
      <c r="E359" s="7">
        <v>0.1</v>
      </c>
      <c r="F359" s="7">
        <v>0.05</v>
      </c>
      <c r="G359" s="5">
        <v>92</v>
      </c>
      <c r="I359" s="5" t="b">
        <v>1</v>
      </c>
      <c r="J359" s="5" t="b">
        <v>1</v>
      </c>
      <c r="K359" s="5" t="b">
        <v>1</v>
      </c>
    </row>
    <row r="360" spans="1:11">
      <c r="A360" s="5" t="s">
        <v>114</v>
      </c>
      <c r="B360" s="5" t="s">
        <v>559</v>
      </c>
      <c r="C360" s="6">
        <v>6500000</v>
      </c>
      <c r="D360" s="7">
        <v>0.25</v>
      </c>
      <c r="E360" s="7">
        <v>0.1</v>
      </c>
      <c r="F360" s="7">
        <v>0.05</v>
      </c>
      <c r="G360" s="5">
        <v>30</v>
      </c>
      <c r="I360" s="5" t="b">
        <v>1</v>
      </c>
      <c r="J360" s="5" t="b">
        <v>1</v>
      </c>
      <c r="K360" s="5" t="b">
        <v>1</v>
      </c>
    </row>
    <row r="361" spans="1:11">
      <c r="A361" s="5" t="s">
        <v>114</v>
      </c>
      <c r="B361" s="5" t="s">
        <v>560</v>
      </c>
      <c r="C361" s="6">
        <v>11000000</v>
      </c>
      <c r="D361" s="7">
        <v>0.25</v>
      </c>
      <c r="E361" s="7">
        <v>0.1</v>
      </c>
      <c r="F361" s="7">
        <v>0.05</v>
      </c>
      <c r="G361" s="5">
        <v>200</v>
      </c>
      <c r="I361" s="5" t="b">
        <v>1</v>
      </c>
      <c r="J361" s="5" t="b">
        <v>1</v>
      </c>
      <c r="K361" s="5" t="b">
        <v>1</v>
      </c>
    </row>
    <row r="362" spans="1:11">
      <c r="A362" s="5" t="s">
        <v>74</v>
      </c>
      <c r="B362" s="5" t="s">
        <v>561</v>
      </c>
      <c r="C362" s="6">
        <v>6600000</v>
      </c>
      <c r="D362" s="7">
        <v>0.25</v>
      </c>
      <c r="E362" s="7">
        <v>0.1</v>
      </c>
      <c r="F362" s="7">
        <v>0.05</v>
      </c>
      <c r="G362" s="5">
        <v>30</v>
      </c>
      <c r="I362" s="5" t="b">
        <v>1</v>
      </c>
      <c r="J362" s="5" t="b">
        <v>1</v>
      </c>
      <c r="K362" s="5" t="b">
        <v>1</v>
      </c>
    </row>
    <row r="363" spans="1:11">
      <c r="A363" s="5" t="s">
        <v>74</v>
      </c>
      <c r="B363" s="5" t="s">
        <v>563</v>
      </c>
      <c r="C363" s="6">
        <v>25000000</v>
      </c>
      <c r="D363" s="7">
        <v>0.2</v>
      </c>
      <c r="E363" s="7">
        <v>0.1</v>
      </c>
      <c r="F363" s="7">
        <v>0.05</v>
      </c>
      <c r="G363" s="5">
        <v>162</v>
      </c>
      <c r="I363" s="5" t="b">
        <v>1</v>
      </c>
      <c r="J363" s="5" t="b">
        <v>1</v>
      </c>
      <c r="K363" s="5" t="b">
        <v>1</v>
      </c>
    </row>
    <row r="364" spans="1:11">
      <c r="A364" s="5" t="s">
        <v>74</v>
      </c>
      <c r="B364" s="5" t="s">
        <v>564</v>
      </c>
      <c r="C364" s="6">
        <v>2840000</v>
      </c>
      <c r="D364" s="7">
        <v>0.25</v>
      </c>
      <c r="E364" s="7">
        <v>0.1</v>
      </c>
      <c r="F364" s="7">
        <v>0.05</v>
      </c>
      <c r="G364" s="5">
        <v>21</v>
      </c>
      <c r="I364" s="5" t="b">
        <v>1</v>
      </c>
      <c r="J364" s="5" t="b">
        <v>1</v>
      </c>
      <c r="K364" s="5" t="b">
        <v>1</v>
      </c>
    </row>
    <row r="365" spans="1:11">
      <c r="A365" s="5" t="s">
        <v>74</v>
      </c>
      <c r="B365" s="5" t="s">
        <v>565</v>
      </c>
      <c r="C365" s="6">
        <v>600000</v>
      </c>
      <c r="D365" s="7">
        <v>0</v>
      </c>
      <c r="E365" s="7">
        <v>0</v>
      </c>
      <c r="F365" s="7">
        <v>0</v>
      </c>
      <c r="G365" s="5">
        <v>1</v>
      </c>
      <c r="I365" s="5" t="b">
        <v>1</v>
      </c>
      <c r="J365" s="5" t="b">
        <v>1</v>
      </c>
      <c r="K365" s="5" t="b">
        <v>1</v>
      </c>
    </row>
    <row r="366" spans="1:11">
      <c r="A366" s="5" t="s">
        <v>74</v>
      </c>
      <c r="B366" s="5" t="s">
        <v>566</v>
      </c>
      <c r="C366" s="6">
        <v>700000</v>
      </c>
      <c r="D366" s="7">
        <v>0.25</v>
      </c>
      <c r="E366" s="7">
        <v>0.1</v>
      </c>
      <c r="F366" s="7">
        <v>0.05</v>
      </c>
      <c r="I366" s="5" t="b">
        <v>1</v>
      </c>
      <c r="J366" s="5" t="b">
        <v>1</v>
      </c>
      <c r="K366" s="5" t="b">
        <v>1</v>
      </c>
    </row>
    <row r="367" spans="1:11">
      <c r="A367" s="5" t="s">
        <v>74</v>
      </c>
      <c r="B367" s="5" t="s">
        <v>567</v>
      </c>
      <c r="C367" s="6">
        <v>1000000</v>
      </c>
      <c r="D367" s="7">
        <v>0.25</v>
      </c>
      <c r="E367" s="7">
        <v>0.1</v>
      </c>
      <c r="F367" s="7">
        <v>0.05</v>
      </c>
      <c r="I367" s="5" t="b">
        <v>1</v>
      </c>
      <c r="J367" s="5" t="b">
        <v>1</v>
      </c>
      <c r="K367" s="5" t="b">
        <v>1</v>
      </c>
    </row>
    <row r="368" spans="1:11">
      <c r="A368" s="5" t="s">
        <v>74</v>
      </c>
      <c r="B368" s="5" t="s">
        <v>568</v>
      </c>
      <c r="C368" s="6">
        <v>425000</v>
      </c>
      <c r="D368" s="7">
        <v>0.3</v>
      </c>
      <c r="E368" s="7">
        <v>0.1</v>
      </c>
      <c r="F368" s="7">
        <v>0.1</v>
      </c>
      <c r="G368" s="5">
        <v>20</v>
      </c>
      <c r="I368" s="5" t="b">
        <v>1</v>
      </c>
      <c r="J368" s="5" t="b">
        <v>1</v>
      </c>
      <c r="K368" s="5" t="b">
        <v>1</v>
      </c>
    </row>
    <row r="369" spans="1:11">
      <c r="A369" s="11" t="s">
        <v>115</v>
      </c>
      <c r="B369" s="11" t="s">
        <v>569</v>
      </c>
      <c r="C369" s="6">
        <v>1480000</v>
      </c>
      <c r="D369" s="8">
        <v>0.25</v>
      </c>
      <c r="E369" s="8">
        <v>0.1</v>
      </c>
      <c r="F369" s="8">
        <v>0.05</v>
      </c>
      <c r="G369" s="5">
        <v>34</v>
      </c>
      <c r="I369" s="5" t="b">
        <v>1</v>
      </c>
      <c r="J369" s="5" t="b">
        <v>1</v>
      </c>
      <c r="K369" s="5" t="b">
        <v>1</v>
      </c>
    </row>
    <row r="370" spans="1:11">
      <c r="A370" s="11" t="s">
        <v>115</v>
      </c>
      <c r="B370" s="11" t="s">
        <v>571</v>
      </c>
      <c r="C370" s="6">
        <v>1240000</v>
      </c>
      <c r="D370" s="8">
        <v>0.25</v>
      </c>
      <c r="E370" s="8">
        <v>0.1</v>
      </c>
      <c r="F370" s="8">
        <v>0.05</v>
      </c>
      <c r="G370" s="5">
        <v>34</v>
      </c>
      <c r="I370" s="5" t="b">
        <v>1</v>
      </c>
      <c r="J370" s="5" t="b">
        <v>1</v>
      </c>
      <c r="K370" s="5" t="b">
        <v>1</v>
      </c>
    </row>
    <row r="371" spans="1:11">
      <c r="A371" s="11" t="s">
        <v>115</v>
      </c>
      <c r="B371" s="11" t="s">
        <v>572</v>
      </c>
      <c r="C371" s="6">
        <v>1360000</v>
      </c>
      <c r="D371" s="8">
        <v>0.25</v>
      </c>
      <c r="E371" s="8">
        <v>0.1</v>
      </c>
      <c r="F371" s="8">
        <v>0.05</v>
      </c>
      <c r="G371" s="5">
        <v>66</v>
      </c>
      <c r="I371" s="5" t="b">
        <v>1</v>
      </c>
      <c r="J371" s="5" t="b">
        <v>1</v>
      </c>
      <c r="K371" s="5" t="b">
        <v>1</v>
      </c>
    </row>
    <row r="372" spans="1:11">
      <c r="A372" s="11" t="s">
        <v>115</v>
      </c>
      <c r="B372" s="11" t="s">
        <v>573</v>
      </c>
      <c r="C372" s="6">
        <v>1800000</v>
      </c>
      <c r="D372" s="8">
        <v>0.25</v>
      </c>
      <c r="E372" s="8">
        <v>0.1</v>
      </c>
      <c r="F372" s="8">
        <v>0.05</v>
      </c>
      <c r="G372" s="5">
        <v>47</v>
      </c>
      <c r="I372" s="5" t="b">
        <v>1</v>
      </c>
      <c r="J372" s="5" t="b">
        <v>1</v>
      </c>
      <c r="K372" s="5" t="b">
        <v>1</v>
      </c>
    </row>
    <row r="373" spans="1:11">
      <c r="A373" s="11" t="s">
        <v>115</v>
      </c>
      <c r="B373" s="11" t="s">
        <v>574</v>
      </c>
      <c r="C373" s="6">
        <v>920000</v>
      </c>
      <c r="D373" s="8">
        <v>0.25</v>
      </c>
      <c r="E373" s="8">
        <v>0.1</v>
      </c>
      <c r="F373" s="8">
        <v>0.05</v>
      </c>
      <c r="G373" s="5">
        <v>38</v>
      </c>
      <c r="I373" s="5" t="b">
        <v>1</v>
      </c>
      <c r="J373" s="5" t="b">
        <v>1</v>
      </c>
      <c r="K373" s="5" t="b">
        <v>1</v>
      </c>
    </row>
    <row r="374" spans="1:11">
      <c r="A374" s="11" t="s">
        <v>115</v>
      </c>
      <c r="B374" s="11" t="s">
        <v>575</v>
      </c>
      <c r="C374" s="6">
        <v>1680000</v>
      </c>
      <c r="D374" s="8">
        <v>0.25</v>
      </c>
      <c r="E374" s="8">
        <v>0.1</v>
      </c>
      <c r="F374" s="8">
        <v>0.05</v>
      </c>
      <c r="G374" s="5">
        <v>58</v>
      </c>
      <c r="I374" s="5" t="b">
        <v>1</v>
      </c>
      <c r="J374" s="5" t="b">
        <v>1</v>
      </c>
      <c r="K374" s="5" t="b">
        <v>1</v>
      </c>
    </row>
    <row r="375" spans="1:11">
      <c r="A375" s="11" t="s">
        <v>115</v>
      </c>
      <c r="B375" s="11" t="s">
        <v>576</v>
      </c>
      <c r="C375" s="6">
        <v>1480000</v>
      </c>
      <c r="D375" s="8">
        <v>0.25</v>
      </c>
      <c r="E375" s="8">
        <v>0.1</v>
      </c>
      <c r="F375" s="8">
        <v>0.05</v>
      </c>
      <c r="G375" s="5">
        <v>62</v>
      </c>
      <c r="I375" s="5" t="b">
        <v>1</v>
      </c>
      <c r="J375" s="5" t="b">
        <v>1</v>
      </c>
      <c r="K375" s="5" t="b">
        <v>1</v>
      </c>
    </row>
    <row r="376" spans="1:11">
      <c r="A376" s="11" t="s">
        <v>115</v>
      </c>
      <c r="B376" s="11" t="s">
        <v>738</v>
      </c>
      <c r="C376" s="6">
        <v>1200000</v>
      </c>
      <c r="D376" s="8">
        <v>0.25</v>
      </c>
      <c r="E376" s="8">
        <v>0.1</v>
      </c>
      <c r="F376" s="8">
        <v>0.05</v>
      </c>
      <c r="G376" s="5">
        <v>120</v>
      </c>
      <c r="I376" s="5" t="b">
        <v>1</v>
      </c>
      <c r="J376" s="5" t="b">
        <v>1</v>
      </c>
      <c r="K376" s="5" t="b">
        <v>1</v>
      </c>
    </row>
    <row r="377" spans="1:11">
      <c r="A377" s="11" t="s">
        <v>115</v>
      </c>
      <c r="B377" s="11" t="s">
        <v>578</v>
      </c>
      <c r="C377" s="6">
        <v>1125000</v>
      </c>
      <c r="D377" s="8">
        <v>0.25</v>
      </c>
      <c r="E377" s="8">
        <v>0.1</v>
      </c>
      <c r="F377" s="8">
        <v>0.05</v>
      </c>
      <c r="G377" s="5">
        <v>89</v>
      </c>
      <c r="I377" s="5" t="b">
        <v>1</v>
      </c>
      <c r="J377" s="5" t="b">
        <v>1</v>
      </c>
      <c r="K377" s="5" t="b">
        <v>1</v>
      </c>
    </row>
    <row r="378" spans="1:11">
      <c r="A378" s="11" t="s">
        <v>115</v>
      </c>
      <c r="B378" s="11" t="s">
        <v>579</v>
      </c>
      <c r="C378" s="6">
        <v>3360000</v>
      </c>
      <c r="D378" s="8">
        <v>0.25</v>
      </c>
      <c r="E378" s="8">
        <v>0.1</v>
      </c>
      <c r="F378" s="8">
        <v>0.05</v>
      </c>
      <c r="G378" s="5">
        <v>84</v>
      </c>
      <c r="I378" s="5" t="b">
        <v>1</v>
      </c>
      <c r="J378" s="5" t="b">
        <v>1</v>
      </c>
      <c r="K378" s="5" t="b">
        <v>1</v>
      </c>
    </row>
    <row r="379" spans="1:11">
      <c r="A379" s="11" t="s">
        <v>115</v>
      </c>
      <c r="B379" s="11" t="s">
        <v>739</v>
      </c>
      <c r="C379" s="6">
        <v>920000</v>
      </c>
      <c r="D379" s="8">
        <v>0.25</v>
      </c>
      <c r="E379" s="8">
        <v>0.1</v>
      </c>
      <c r="F379" s="8">
        <v>0.05</v>
      </c>
      <c r="G379" s="5">
        <v>46</v>
      </c>
      <c r="I379" s="5" t="b">
        <v>1</v>
      </c>
      <c r="J379" s="5" t="b">
        <v>1</v>
      </c>
      <c r="K379" s="5" t="b">
        <v>1</v>
      </c>
    </row>
    <row r="380" spans="1:11">
      <c r="A380" s="11" t="s">
        <v>115</v>
      </c>
      <c r="B380" s="11" t="s">
        <v>581</v>
      </c>
      <c r="C380" s="6">
        <v>750000</v>
      </c>
      <c r="D380" s="8">
        <v>0.25</v>
      </c>
      <c r="E380" s="8">
        <v>0.1</v>
      </c>
      <c r="F380" s="8">
        <v>0.05</v>
      </c>
      <c r="G380" s="5">
        <v>110</v>
      </c>
      <c r="I380" s="5" t="b">
        <v>1</v>
      </c>
      <c r="J380" s="5" t="b">
        <v>1</v>
      </c>
      <c r="K380" s="5" t="b">
        <v>1</v>
      </c>
    </row>
    <row r="381" spans="1:11">
      <c r="A381" s="11" t="s">
        <v>115</v>
      </c>
      <c r="B381" s="11" t="s">
        <v>582</v>
      </c>
      <c r="C381" s="6">
        <v>620000</v>
      </c>
      <c r="D381" s="8">
        <v>0.25</v>
      </c>
      <c r="E381" s="8">
        <v>0.1</v>
      </c>
      <c r="F381" s="8">
        <v>0.05</v>
      </c>
      <c r="G381" s="5">
        <v>30</v>
      </c>
      <c r="I381" s="5" t="b">
        <v>1</v>
      </c>
      <c r="J381" s="5" t="b">
        <v>1</v>
      </c>
      <c r="K381" s="5" t="b">
        <v>1</v>
      </c>
    </row>
    <row r="382" spans="1:11">
      <c r="A382" s="11" t="s">
        <v>115</v>
      </c>
      <c r="B382" s="11" t="s">
        <v>740</v>
      </c>
      <c r="C382" s="6">
        <v>3660000</v>
      </c>
      <c r="D382" s="8">
        <v>0.25</v>
      </c>
      <c r="E382" s="8">
        <v>0.1</v>
      </c>
      <c r="F382" s="8">
        <v>0.05</v>
      </c>
      <c r="G382" s="5">
        <v>140</v>
      </c>
      <c r="I382" s="5" t="b">
        <v>1</v>
      </c>
      <c r="J382" s="5" t="b">
        <v>1</v>
      </c>
      <c r="K382" s="5" t="b">
        <v>1</v>
      </c>
    </row>
    <row r="383" spans="1:11">
      <c r="A383" s="11" t="s">
        <v>115</v>
      </c>
      <c r="B383" s="11" t="s">
        <v>741</v>
      </c>
      <c r="C383" s="6">
        <v>920000</v>
      </c>
      <c r="D383" s="8">
        <v>0.25</v>
      </c>
      <c r="E383" s="8">
        <v>0.1</v>
      </c>
      <c r="F383" s="8">
        <v>0.05</v>
      </c>
      <c r="G383" s="5">
        <v>30</v>
      </c>
      <c r="I383" s="5" t="b">
        <v>1</v>
      </c>
      <c r="J383" s="5" t="b">
        <v>1</v>
      </c>
      <c r="K383" s="5" t="b">
        <v>1</v>
      </c>
    </row>
    <row r="384" spans="1:11">
      <c r="A384" s="11" t="s">
        <v>115</v>
      </c>
      <c r="B384" s="11" t="s">
        <v>742</v>
      </c>
      <c r="C384" s="6">
        <v>400000</v>
      </c>
      <c r="D384" s="8">
        <v>0.25</v>
      </c>
      <c r="E384" s="8">
        <v>0.1</v>
      </c>
      <c r="F384" s="8">
        <v>0.05</v>
      </c>
      <c r="G384" s="5">
        <v>40</v>
      </c>
      <c r="I384" s="5" t="b">
        <v>1</v>
      </c>
      <c r="J384" s="5" t="b">
        <v>1</v>
      </c>
      <c r="K384" s="5" t="b">
        <v>1</v>
      </c>
    </row>
    <row r="385" spans="1:11">
      <c r="A385" s="11" t="s">
        <v>115</v>
      </c>
      <c r="B385" s="11" t="s">
        <v>586</v>
      </c>
      <c r="C385" s="6">
        <v>960000</v>
      </c>
      <c r="D385" s="8">
        <v>0.25</v>
      </c>
      <c r="E385" s="8">
        <v>0.1</v>
      </c>
      <c r="F385" s="8">
        <v>0.05</v>
      </c>
      <c r="G385" s="5">
        <v>24</v>
      </c>
      <c r="I385" s="5" t="b">
        <v>1</v>
      </c>
      <c r="J385" s="5" t="b">
        <v>1</v>
      </c>
      <c r="K385" s="5" t="b">
        <v>1</v>
      </c>
    </row>
    <row r="386" spans="1:11">
      <c r="A386" s="11" t="s">
        <v>115</v>
      </c>
      <c r="B386" s="11" t="s">
        <v>587</v>
      </c>
      <c r="C386" s="6">
        <v>1200000</v>
      </c>
      <c r="D386" s="8">
        <v>0</v>
      </c>
      <c r="E386" s="8">
        <v>0</v>
      </c>
      <c r="F386" s="8">
        <v>0.05</v>
      </c>
      <c r="G386" s="5">
        <v>40</v>
      </c>
      <c r="I386" s="5" t="b">
        <v>1</v>
      </c>
      <c r="J386" s="5" t="b">
        <v>1</v>
      </c>
      <c r="K386" s="5" t="b">
        <v>1</v>
      </c>
    </row>
    <row r="387" spans="1:11">
      <c r="A387" s="11" t="s">
        <v>115</v>
      </c>
      <c r="B387" s="11" t="s">
        <v>743</v>
      </c>
      <c r="C387" s="6">
        <v>660000</v>
      </c>
      <c r="D387" s="8">
        <v>0</v>
      </c>
      <c r="E387" s="8">
        <v>1</v>
      </c>
      <c r="F387" s="8">
        <v>0.05</v>
      </c>
      <c r="G387" s="5">
        <v>22</v>
      </c>
      <c r="H387" s="5" t="s">
        <v>168</v>
      </c>
      <c r="I387" s="5" t="b">
        <v>1</v>
      </c>
      <c r="J387" s="5" t="b">
        <v>1</v>
      </c>
      <c r="K387" s="5" t="b">
        <v>1</v>
      </c>
    </row>
    <row r="388" spans="1:11">
      <c r="A388" s="11" t="s">
        <v>115</v>
      </c>
      <c r="B388" s="11" t="s">
        <v>589</v>
      </c>
      <c r="C388" s="6">
        <v>600000</v>
      </c>
      <c r="D388" s="8">
        <v>0.5</v>
      </c>
      <c r="E388" s="8">
        <v>0</v>
      </c>
      <c r="F388" s="8">
        <v>0</v>
      </c>
      <c r="G388" s="5">
        <v>2</v>
      </c>
      <c r="I388" s="5" t="b">
        <v>1</v>
      </c>
      <c r="J388" s="5" t="b">
        <v>1</v>
      </c>
      <c r="K388" s="5" t="b">
        <v>1</v>
      </c>
    </row>
    <row r="389" spans="1:11">
      <c r="A389" s="11" t="s">
        <v>115</v>
      </c>
      <c r="B389" s="11" t="s">
        <v>590</v>
      </c>
      <c r="C389" s="6">
        <v>620000</v>
      </c>
      <c r="D389" s="8">
        <v>1</v>
      </c>
      <c r="E389" s="8">
        <v>0</v>
      </c>
      <c r="F389" s="8">
        <v>0.05</v>
      </c>
      <c r="G389" s="5">
        <v>30</v>
      </c>
      <c r="H389" s="5" t="s">
        <v>213</v>
      </c>
      <c r="I389" s="5" t="b">
        <v>1</v>
      </c>
      <c r="J389" s="5" t="b">
        <v>1</v>
      </c>
      <c r="K389" s="5" t="b">
        <v>1</v>
      </c>
    </row>
    <row r="390" spans="1:11">
      <c r="A390" s="5" t="s">
        <v>116</v>
      </c>
      <c r="B390" s="5" t="s">
        <v>591</v>
      </c>
      <c r="C390" s="6">
        <v>4100000</v>
      </c>
      <c r="D390" s="7">
        <v>0.26319999999999999</v>
      </c>
      <c r="E390" s="7">
        <v>0.1053</v>
      </c>
      <c r="F390" s="7">
        <v>5.2600000000000001E-2</v>
      </c>
      <c r="G390" s="5">
        <v>38</v>
      </c>
      <c r="I390" s="5" t="b">
        <v>1</v>
      </c>
      <c r="J390" s="5" t="b">
        <v>1</v>
      </c>
      <c r="K390" s="5" t="b">
        <v>1</v>
      </c>
    </row>
    <row r="391" spans="1:11">
      <c r="A391" s="5" t="s">
        <v>116</v>
      </c>
      <c r="B391" s="5" t="s">
        <v>744</v>
      </c>
      <c r="C391" s="6">
        <v>8000000</v>
      </c>
      <c r="D391" s="7">
        <v>0.25</v>
      </c>
      <c r="E391" s="7">
        <v>0.08</v>
      </c>
      <c r="F391" s="7">
        <v>0.04</v>
      </c>
      <c r="G391" s="5">
        <v>86</v>
      </c>
      <c r="I391" s="5" t="b">
        <v>1</v>
      </c>
      <c r="J391" s="5" t="b">
        <v>1</v>
      </c>
      <c r="K391" s="5" t="b">
        <v>0</v>
      </c>
    </row>
    <row r="392" spans="1:11">
      <c r="A392" s="5" t="s">
        <v>116</v>
      </c>
      <c r="B392" s="5" t="s">
        <v>594</v>
      </c>
      <c r="C392" s="6">
        <v>7900000</v>
      </c>
      <c r="D392" s="7">
        <v>0.26800000000000002</v>
      </c>
      <c r="E392" s="7">
        <v>0.1</v>
      </c>
      <c r="F392" s="7">
        <v>0.05</v>
      </c>
      <c r="G392" s="5">
        <v>67</v>
      </c>
      <c r="I392" s="5" t="b">
        <v>1</v>
      </c>
      <c r="J392" s="5" t="b">
        <v>1</v>
      </c>
      <c r="K392" s="5" t="b">
        <v>1</v>
      </c>
    </row>
    <row r="393" spans="1:11">
      <c r="A393" s="5" t="s">
        <v>116</v>
      </c>
      <c r="B393" s="5" t="s">
        <v>595</v>
      </c>
      <c r="C393" s="6">
        <v>4000000</v>
      </c>
      <c r="D393" s="7">
        <v>0.26600000000000001</v>
      </c>
      <c r="E393" s="7">
        <v>0.1</v>
      </c>
      <c r="F393" s="7">
        <v>3.3000000000000002E-2</v>
      </c>
      <c r="G393" s="5">
        <v>30</v>
      </c>
      <c r="I393" s="5" t="b">
        <v>1</v>
      </c>
      <c r="J393" s="5" t="b">
        <v>1</v>
      </c>
      <c r="K393" s="5" t="b">
        <v>0</v>
      </c>
    </row>
    <row r="394" spans="1:11">
      <c r="A394" s="5" t="s">
        <v>116</v>
      </c>
      <c r="B394" s="5" t="s">
        <v>596</v>
      </c>
      <c r="C394" s="6">
        <v>4000000</v>
      </c>
      <c r="D394" s="7">
        <v>0.26600000000000001</v>
      </c>
      <c r="E394" s="7">
        <v>0.1</v>
      </c>
      <c r="F394" s="7">
        <v>6.6000000000000003E-2</v>
      </c>
      <c r="G394" s="5">
        <v>30</v>
      </c>
      <c r="I394" s="5" t="b">
        <v>1</v>
      </c>
      <c r="J394" s="5" t="b">
        <v>1</v>
      </c>
      <c r="K394" s="5" t="b">
        <v>1</v>
      </c>
    </row>
    <row r="395" spans="1:11">
      <c r="A395" s="5" t="s">
        <v>116</v>
      </c>
      <c r="B395" s="5" t="s">
        <v>597</v>
      </c>
      <c r="C395" s="6">
        <v>10650000</v>
      </c>
      <c r="D395" s="7">
        <v>0.26090000000000002</v>
      </c>
      <c r="E395" s="7">
        <v>8.6999999999999994E-2</v>
      </c>
      <c r="F395" s="7">
        <v>4.3499999999999997E-2</v>
      </c>
      <c r="G395" s="5">
        <v>69</v>
      </c>
      <c r="I395" s="5" t="b">
        <v>1</v>
      </c>
      <c r="J395" s="5" t="b">
        <v>0</v>
      </c>
      <c r="K395" s="5" t="b">
        <v>0</v>
      </c>
    </row>
    <row r="396" spans="1:11">
      <c r="A396" s="5" t="s">
        <v>116</v>
      </c>
      <c r="B396" s="5" t="s">
        <v>598</v>
      </c>
      <c r="C396" s="6">
        <v>7800000</v>
      </c>
      <c r="D396" s="7">
        <v>0.26500000000000001</v>
      </c>
      <c r="E396" s="7">
        <v>0.1</v>
      </c>
      <c r="F396" s="7">
        <v>0.04</v>
      </c>
      <c r="G396" s="5">
        <v>49</v>
      </c>
      <c r="I396" s="5" t="b">
        <v>1</v>
      </c>
      <c r="J396" s="5" t="b">
        <v>1</v>
      </c>
      <c r="K396" s="5" t="b">
        <v>0</v>
      </c>
    </row>
    <row r="397" spans="1:11">
      <c r="A397" s="5" t="s">
        <v>116</v>
      </c>
      <c r="B397" s="5" t="s">
        <v>599</v>
      </c>
      <c r="C397" s="6">
        <v>9000000</v>
      </c>
      <c r="D397" s="7">
        <v>0.25</v>
      </c>
      <c r="E397" s="7">
        <v>0.1</v>
      </c>
      <c r="F397" s="7">
        <v>0.05</v>
      </c>
      <c r="G397" s="5">
        <v>63</v>
      </c>
      <c r="I397" s="5" t="b">
        <v>1</v>
      </c>
      <c r="J397" s="5" t="b">
        <v>1</v>
      </c>
      <c r="K397" s="5" t="b">
        <v>1</v>
      </c>
    </row>
    <row r="398" spans="1:11">
      <c r="A398" s="5" t="s">
        <v>117</v>
      </c>
      <c r="B398" s="5" t="s">
        <v>600</v>
      </c>
      <c r="C398" s="6">
        <v>3060000</v>
      </c>
      <c r="D398" s="7">
        <v>0.16</v>
      </c>
      <c r="E398" s="7">
        <v>0.03</v>
      </c>
      <c r="F398" s="7">
        <v>0.03</v>
      </c>
      <c r="G398" s="5">
        <v>30</v>
      </c>
      <c r="I398" s="5" t="b">
        <v>0</v>
      </c>
      <c r="J398" s="5" t="b">
        <v>0</v>
      </c>
      <c r="K398" s="5" t="b">
        <v>0</v>
      </c>
    </row>
    <row r="399" spans="1:11">
      <c r="A399" s="5" t="s">
        <v>117</v>
      </c>
      <c r="B399" s="5" t="s">
        <v>602</v>
      </c>
      <c r="C399" s="6">
        <v>1200000</v>
      </c>
      <c r="D399" s="7">
        <v>0.2</v>
      </c>
      <c r="E399" s="7">
        <v>0.05</v>
      </c>
      <c r="F399" s="7">
        <v>0.05</v>
      </c>
      <c r="G399" s="5">
        <v>40</v>
      </c>
      <c r="I399" s="5" t="b">
        <v>0</v>
      </c>
      <c r="J399" s="5" t="b">
        <v>0</v>
      </c>
      <c r="K399" s="5" t="b">
        <v>1</v>
      </c>
    </row>
    <row r="400" spans="1:11">
      <c r="A400" s="5" t="s">
        <v>117</v>
      </c>
      <c r="B400" s="5" t="s">
        <v>603</v>
      </c>
      <c r="C400" s="6">
        <v>500000</v>
      </c>
      <c r="D400" s="7">
        <v>0.26</v>
      </c>
      <c r="E400" s="7">
        <v>0.1</v>
      </c>
      <c r="F400" s="7">
        <v>0.04</v>
      </c>
      <c r="G400" s="5">
        <v>50</v>
      </c>
      <c r="I400" s="5" t="b">
        <v>1</v>
      </c>
      <c r="J400" s="5" t="b">
        <v>1</v>
      </c>
      <c r="K400" s="5" t="b">
        <v>0</v>
      </c>
    </row>
    <row r="401" spans="1:11">
      <c r="A401" s="5" t="s">
        <v>117</v>
      </c>
      <c r="B401" s="5" t="s">
        <v>604</v>
      </c>
      <c r="C401" s="6">
        <v>1100000</v>
      </c>
      <c r="D401" s="7">
        <v>0.25</v>
      </c>
      <c r="E401" s="7">
        <v>0.1</v>
      </c>
      <c r="F401" s="7">
        <v>0.05</v>
      </c>
      <c r="G401" s="5">
        <v>40</v>
      </c>
      <c r="I401" s="5" t="b">
        <v>1</v>
      </c>
      <c r="J401" s="5" t="b">
        <v>1</v>
      </c>
      <c r="K401" s="5" t="b">
        <v>1</v>
      </c>
    </row>
    <row r="402" spans="1:11">
      <c r="A402" s="5" t="s">
        <v>118</v>
      </c>
      <c r="B402" s="5" t="s">
        <v>605</v>
      </c>
      <c r="C402" s="6">
        <v>8178650</v>
      </c>
      <c r="D402" s="7">
        <v>0.25</v>
      </c>
      <c r="E402" s="7">
        <v>0.15</v>
      </c>
      <c r="F402" s="7">
        <v>0.05</v>
      </c>
      <c r="G402" s="5">
        <v>241</v>
      </c>
      <c r="I402" s="5" t="b">
        <v>1</v>
      </c>
      <c r="J402" s="5" t="b">
        <v>1</v>
      </c>
      <c r="K402" s="5" t="b">
        <v>1</v>
      </c>
    </row>
    <row r="403" spans="1:11">
      <c r="A403" s="5" t="s">
        <v>118</v>
      </c>
      <c r="B403" s="5" t="s">
        <v>607</v>
      </c>
      <c r="C403" s="6">
        <v>2782706</v>
      </c>
      <c r="D403" s="7">
        <v>0.25</v>
      </c>
      <c r="E403" s="7">
        <v>0.15</v>
      </c>
      <c r="F403" s="7">
        <v>0.05</v>
      </c>
      <c r="G403" s="10">
        <v>243</v>
      </c>
      <c r="I403" s="5" t="b">
        <v>1</v>
      </c>
      <c r="J403" s="5" t="b">
        <v>1</v>
      </c>
      <c r="K403" s="5" t="b">
        <v>1</v>
      </c>
    </row>
    <row r="404" spans="1:11">
      <c r="A404" s="5" t="s">
        <v>118</v>
      </c>
      <c r="B404" s="5" t="s">
        <v>608</v>
      </c>
      <c r="C404" s="6">
        <v>1000000</v>
      </c>
      <c r="D404" s="7">
        <v>0.25</v>
      </c>
      <c r="E404" s="7">
        <v>0.15</v>
      </c>
      <c r="F404" s="7">
        <v>0.05</v>
      </c>
      <c r="G404" s="10">
        <v>16</v>
      </c>
      <c r="I404" s="5" t="b">
        <v>1</v>
      </c>
      <c r="J404" s="5" t="b">
        <v>1</v>
      </c>
      <c r="K404" s="5" t="b">
        <v>1</v>
      </c>
    </row>
    <row r="405" spans="1:11">
      <c r="A405" s="5" t="s">
        <v>118</v>
      </c>
      <c r="B405" s="5" t="s">
        <v>609</v>
      </c>
      <c r="C405" s="6">
        <v>1444328.08</v>
      </c>
      <c r="D405" s="7">
        <v>0.25</v>
      </c>
      <c r="E405" s="7">
        <v>0.15</v>
      </c>
      <c r="F405" s="7">
        <v>0.05</v>
      </c>
      <c r="G405" s="5">
        <v>20</v>
      </c>
      <c r="I405" s="5" t="b">
        <v>1</v>
      </c>
      <c r="J405" s="5" t="b">
        <v>1</v>
      </c>
      <c r="K405" s="5" t="b">
        <v>1</v>
      </c>
    </row>
    <row r="406" spans="1:11">
      <c r="A406" s="5" t="s">
        <v>118</v>
      </c>
      <c r="B406" s="5" t="s">
        <v>610</v>
      </c>
      <c r="C406" s="6">
        <v>361082.01</v>
      </c>
      <c r="D406" s="7">
        <v>0.25</v>
      </c>
      <c r="E406" s="7">
        <v>0.15</v>
      </c>
      <c r="F406" s="7">
        <v>0.05</v>
      </c>
      <c r="G406" s="5">
        <v>1</v>
      </c>
      <c r="I406" s="5" t="b">
        <v>1</v>
      </c>
      <c r="J406" s="5" t="b">
        <v>1</v>
      </c>
      <c r="K406" s="5" t="b">
        <v>1</v>
      </c>
    </row>
    <row r="407" spans="1:11">
      <c r="A407" s="5" t="s">
        <v>75</v>
      </c>
      <c r="B407" s="5" t="s">
        <v>611</v>
      </c>
      <c r="C407" s="6">
        <v>2000000</v>
      </c>
      <c r="D407" s="7">
        <v>0.5</v>
      </c>
      <c r="E407" s="7">
        <v>0.1</v>
      </c>
      <c r="F407" s="7">
        <v>0.05</v>
      </c>
      <c r="G407" s="5">
        <v>40</v>
      </c>
      <c r="I407" s="5" t="b">
        <v>1</v>
      </c>
      <c r="J407" s="5" t="b">
        <v>1</v>
      </c>
      <c r="K407" s="5" t="b">
        <v>1</v>
      </c>
    </row>
    <row r="408" spans="1:11">
      <c r="A408" s="5" t="s">
        <v>75</v>
      </c>
      <c r="B408" s="5" t="s">
        <v>613</v>
      </c>
      <c r="C408" s="6">
        <v>400000</v>
      </c>
      <c r="D408" s="7">
        <v>0.5</v>
      </c>
      <c r="E408" s="7">
        <v>0.1</v>
      </c>
      <c r="F408" s="7">
        <v>0.05</v>
      </c>
      <c r="G408" s="5">
        <v>25</v>
      </c>
      <c r="I408" s="5" t="b">
        <v>1</v>
      </c>
      <c r="J408" s="5" t="b">
        <v>1</v>
      </c>
      <c r="K408" s="5" t="b">
        <v>1</v>
      </c>
    </row>
    <row r="409" spans="1:11">
      <c r="A409" s="5" t="s">
        <v>75</v>
      </c>
      <c r="B409" s="5" t="s">
        <v>614</v>
      </c>
      <c r="C409" s="6">
        <v>5600000</v>
      </c>
      <c r="D409" s="7">
        <v>0.5</v>
      </c>
      <c r="E409" s="7">
        <v>0.1</v>
      </c>
      <c r="F409" s="7">
        <v>0.05</v>
      </c>
      <c r="G409" s="5">
        <v>30</v>
      </c>
      <c r="I409" s="5" t="b">
        <v>1</v>
      </c>
      <c r="J409" s="5" t="b">
        <v>1</v>
      </c>
      <c r="K409" s="5" t="b">
        <v>1</v>
      </c>
    </row>
    <row r="410" spans="1:11">
      <c r="A410" s="5" t="s">
        <v>75</v>
      </c>
      <c r="B410" s="5" t="s">
        <v>615</v>
      </c>
      <c r="C410" s="6">
        <v>800000</v>
      </c>
      <c r="D410" s="7">
        <v>0.5</v>
      </c>
      <c r="E410" s="7">
        <v>0.1</v>
      </c>
      <c r="F410" s="7">
        <v>0.05</v>
      </c>
      <c r="I410" s="5" t="b">
        <v>1</v>
      </c>
      <c r="J410" s="5" t="b">
        <v>1</v>
      </c>
      <c r="K410" s="5" t="b">
        <v>1</v>
      </c>
    </row>
    <row r="411" spans="1:11">
      <c r="A411" s="5" t="s">
        <v>75</v>
      </c>
      <c r="B411" s="5" t="s">
        <v>616</v>
      </c>
      <c r="C411" s="6">
        <v>800000</v>
      </c>
      <c r="D411" s="7">
        <v>0.5</v>
      </c>
      <c r="E411" s="7">
        <v>0.1</v>
      </c>
      <c r="F411" s="7">
        <v>0.05</v>
      </c>
      <c r="G411" s="5">
        <v>60</v>
      </c>
      <c r="I411" s="5" t="b">
        <v>1</v>
      </c>
      <c r="J411" s="5" t="b">
        <v>1</v>
      </c>
      <c r="K411" s="5" t="b">
        <v>1</v>
      </c>
    </row>
    <row r="412" spans="1:11">
      <c r="A412" s="5" t="s">
        <v>75</v>
      </c>
      <c r="B412" s="5" t="s">
        <v>617</v>
      </c>
      <c r="C412" s="6">
        <v>400000</v>
      </c>
      <c r="D412" s="7">
        <v>0.5</v>
      </c>
      <c r="E412" s="7">
        <v>0.1</v>
      </c>
      <c r="F412" s="7">
        <v>0.05</v>
      </c>
      <c r="G412" s="5">
        <v>20</v>
      </c>
      <c r="I412" s="5" t="b">
        <v>1</v>
      </c>
      <c r="J412" s="5" t="b">
        <v>1</v>
      </c>
      <c r="K412" s="5" t="b">
        <v>1</v>
      </c>
    </row>
    <row r="413" spans="1:11">
      <c r="A413" s="5" t="s">
        <v>75</v>
      </c>
      <c r="B413" s="5" t="s">
        <v>618</v>
      </c>
      <c r="C413" s="6">
        <v>4260000</v>
      </c>
      <c r="D413" s="7">
        <v>0.5</v>
      </c>
      <c r="E413" s="7">
        <v>0.1</v>
      </c>
      <c r="F413" s="7">
        <v>0.05</v>
      </c>
      <c r="G413" s="5">
        <v>82</v>
      </c>
      <c r="I413" s="5" t="b">
        <v>1</v>
      </c>
      <c r="J413" s="5" t="b">
        <v>1</v>
      </c>
      <c r="K413" s="5" t="b">
        <v>1</v>
      </c>
    </row>
    <row r="414" spans="1:11">
      <c r="A414" s="5" t="s">
        <v>75</v>
      </c>
      <c r="B414" s="5" t="s">
        <v>619</v>
      </c>
      <c r="C414" s="6">
        <v>1950000</v>
      </c>
      <c r="D414" s="7">
        <v>0.5</v>
      </c>
      <c r="E414" s="7">
        <v>0.1</v>
      </c>
      <c r="F414" s="7">
        <v>0.05</v>
      </c>
      <c r="G414" s="5">
        <v>2</v>
      </c>
      <c r="I414" s="5" t="b">
        <v>1</v>
      </c>
      <c r="J414" s="5" t="b">
        <v>1</v>
      </c>
      <c r="K414" s="5" t="b">
        <v>1</v>
      </c>
    </row>
    <row r="415" spans="1:11">
      <c r="A415" s="5" t="s">
        <v>75</v>
      </c>
      <c r="B415" s="5" t="s">
        <v>620</v>
      </c>
      <c r="C415" s="6">
        <v>2000000</v>
      </c>
      <c r="D415" s="7">
        <v>0.5</v>
      </c>
      <c r="E415" s="7">
        <v>0.1</v>
      </c>
      <c r="F415" s="7">
        <v>0.05</v>
      </c>
      <c r="G415" s="5">
        <v>20</v>
      </c>
      <c r="I415" s="5" t="b">
        <v>1</v>
      </c>
      <c r="J415" s="5" t="b">
        <v>1</v>
      </c>
      <c r="K415" s="5" t="b">
        <v>1</v>
      </c>
    </row>
    <row r="416" spans="1:11">
      <c r="A416" s="5" t="s">
        <v>119</v>
      </c>
      <c r="B416" s="5" t="s">
        <v>621</v>
      </c>
      <c r="C416" s="6">
        <v>900000</v>
      </c>
      <c r="D416" s="7">
        <v>0.5</v>
      </c>
      <c r="E416" s="7">
        <v>0.5</v>
      </c>
      <c r="F416" s="7">
        <v>0.5</v>
      </c>
      <c r="G416" s="5">
        <v>3</v>
      </c>
      <c r="I416" s="5" t="b">
        <v>1</v>
      </c>
      <c r="J416" s="5" t="b">
        <v>1</v>
      </c>
      <c r="K416" s="5" t="b">
        <v>1</v>
      </c>
    </row>
    <row r="417" spans="1:11">
      <c r="A417" s="5" t="s">
        <v>119</v>
      </c>
      <c r="B417" s="5" t="s">
        <v>623</v>
      </c>
      <c r="C417" s="6">
        <v>4950000</v>
      </c>
      <c r="D417" s="7">
        <v>0.25</v>
      </c>
      <c r="E417" s="7">
        <v>0.1</v>
      </c>
      <c r="F417" s="7">
        <v>0.05</v>
      </c>
      <c r="G417" s="5">
        <v>110</v>
      </c>
      <c r="I417" s="5" t="b">
        <v>1</v>
      </c>
      <c r="J417" s="5" t="b">
        <v>1</v>
      </c>
      <c r="K417" s="5" t="b">
        <v>1</v>
      </c>
    </row>
    <row r="418" spans="1:11">
      <c r="A418" s="5" t="s">
        <v>119</v>
      </c>
      <c r="B418" s="5" t="s">
        <v>624</v>
      </c>
      <c r="C418" s="6">
        <v>22220000</v>
      </c>
      <c r="D418" s="7">
        <v>0.25650000000000001</v>
      </c>
      <c r="E418" s="7">
        <v>0.1017</v>
      </c>
      <c r="F418" s="7">
        <v>5.3100000000000008E-2</v>
      </c>
      <c r="G418" s="5">
        <v>659</v>
      </c>
      <c r="I418" s="5" t="b">
        <v>1</v>
      </c>
      <c r="J418" s="5" t="b">
        <v>1</v>
      </c>
      <c r="K418" s="5" t="b">
        <v>1</v>
      </c>
    </row>
    <row r="419" spans="1:11">
      <c r="A419" s="5" t="s">
        <v>119</v>
      </c>
      <c r="B419" s="5" t="s">
        <v>745</v>
      </c>
      <c r="C419" s="6">
        <v>3150000</v>
      </c>
      <c r="D419" s="7">
        <v>0.25</v>
      </c>
      <c r="E419" s="7">
        <v>0.1</v>
      </c>
      <c r="F419" s="7">
        <v>0.05</v>
      </c>
      <c r="G419" s="5">
        <v>140</v>
      </c>
      <c r="I419" s="5" t="b">
        <v>1</v>
      </c>
      <c r="J419" s="5" t="b">
        <v>1</v>
      </c>
      <c r="K419" s="5" t="b">
        <v>1</v>
      </c>
    </row>
    <row r="420" spans="1:11">
      <c r="A420" s="5" t="s">
        <v>119</v>
      </c>
      <c r="B420" s="5" t="s">
        <v>746</v>
      </c>
      <c r="C420" s="6">
        <v>1050000</v>
      </c>
      <c r="D420" s="7">
        <v>0.25</v>
      </c>
      <c r="E420" s="7">
        <v>0.1</v>
      </c>
      <c r="F420" s="7">
        <v>0.05</v>
      </c>
      <c r="G420" s="5">
        <v>35</v>
      </c>
      <c r="I420" s="5" t="b">
        <v>1</v>
      </c>
      <c r="J420" s="5" t="b">
        <v>1</v>
      </c>
      <c r="K420" s="5" t="b">
        <v>1</v>
      </c>
    </row>
    <row r="421" spans="1:11">
      <c r="A421" s="5" t="s">
        <v>119</v>
      </c>
      <c r="B421" s="5" t="s">
        <v>627</v>
      </c>
      <c r="C421" s="6">
        <v>9600000</v>
      </c>
      <c r="D421" s="7">
        <v>0.24</v>
      </c>
      <c r="E421" s="7">
        <v>0.09</v>
      </c>
      <c r="F421" s="7">
        <v>0.09</v>
      </c>
      <c r="G421" s="5">
        <v>96</v>
      </c>
      <c r="I421" s="5" t="b">
        <v>1</v>
      </c>
      <c r="J421" s="5" t="b">
        <v>1</v>
      </c>
      <c r="K421" s="5" t="b">
        <v>1</v>
      </c>
    </row>
    <row r="422" spans="1:11">
      <c r="A422" s="5" t="s">
        <v>76</v>
      </c>
      <c r="B422" s="5" t="s">
        <v>628</v>
      </c>
      <c r="C422" s="6">
        <v>1000000</v>
      </c>
      <c r="D422" s="7">
        <v>0.25</v>
      </c>
      <c r="E422" s="7">
        <v>0.1</v>
      </c>
      <c r="F422" s="7">
        <v>0.05</v>
      </c>
      <c r="G422" s="5">
        <v>10</v>
      </c>
      <c r="I422" s="5" t="b">
        <v>1</v>
      </c>
      <c r="J422" s="5" t="b">
        <v>1</v>
      </c>
      <c r="K422" s="5" t="b">
        <v>1</v>
      </c>
    </row>
    <row r="423" spans="1:11">
      <c r="A423" s="5" t="s">
        <v>76</v>
      </c>
      <c r="B423" s="5" t="s">
        <v>629</v>
      </c>
      <c r="C423" s="6">
        <v>500000</v>
      </c>
      <c r="D423" s="7">
        <v>0.25</v>
      </c>
      <c r="E423" s="7">
        <v>0.1</v>
      </c>
      <c r="F423" s="7">
        <v>0.05</v>
      </c>
      <c r="G423" s="5">
        <v>74</v>
      </c>
      <c r="I423" s="5" t="b">
        <v>1</v>
      </c>
      <c r="J423" s="5" t="b">
        <v>1</v>
      </c>
      <c r="K423" s="5" t="b">
        <v>1</v>
      </c>
    </row>
    <row r="424" spans="1:11">
      <c r="A424" s="5" t="s">
        <v>76</v>
      </c>
      <c r="B424" s="5" t="s">
        <v>630</v>
      </c>
      <c r="C424" s="6">
        <v>4500000</v>
      </c>
      <c r="D424" s="7">
        <v>0.25</v>
      </c>
      <c r="E424" s="7">
        <v>0.1</v>
      </c>
      <c r="F424" s="7">
        <v>0.05</v>
      </c>
      <c r="G424" s="5">
        <v>182</v>
      </c>
      <c r="I424" s="5" t="b">
        <v>1</v>
      </c>
      <c r="J424" s="5" t="b">
        <v>1</v>
      </c>
      <c r="K424" s="5" t="b">
        <v>1</v>
      </c>
    </row>
    <row r="425" spans="1:11">
      <c r="A425" s="5" t="s">
        <v>76</v>
      </c>
      <c r="B425" s="5" t="s">
        <v>631</v>
      </c>
      <c r="C425" s="6">
        <v>950500</v>
      </c>
      <c r="D425" s="7">
        <v>0.25</v>
      </c>
      <c r="E425" s="7">
        <v>0.1</v>
      </c>
      <c r="F425" s="7">
        <v>0.05</v>
      </c>
      <c r="G425" s="5">
        <v>28</v>
      </c>
      <c r="I425" s="5" t="b">
        <v>1</v>
      </c>
      <c r="J425" s="5" t="b">
        <v>1</v>
      </c>
      <c r="K425" s="5" t="b">
        <v>1</v>
      </c>
    </row>
    <row r="426" spans="1:11">
      <c r="A426" s="5" t="s">
        <v>120</v>
      </c>
      <c r="B426" s="5" t="s">
        <v>632</v>
      </c>
      <c r="C426" s="6">
        <v>20000000</v>
      </c>
      <c r="D426" s="7">
        <v>0.25</v>
      </c>
      <c r="E426" s="7">
        <v>0.1</v>
      </c>
      <c r="F426" s="7">
        <v>0.05</v>
      </c>
      <c r="G426" s="5">
        <v>40</v>
      </c>
      <c r="I426" s="5" t="b">
        <v>1</v>
      </c>
      <c r="J426" s="5" t="b">
        <v>1</v>
      </c>
      <c r="K426" s="5" t="b">
        <v>1</v>
      </c>
    </row>
    <row r="427" spans="1:11">
      <c r="A427" s="5" t="s">
        <v>120</v>
      </c>
      <c r="B427" s="5" t="s">
        <v>634</v>
      </c>
      <c r="C427" s="6">
        <v>5000000</v>
      </c>
      <c r="D427" s="7">
        <v>0.25</v>
      </c>
      <c r="E427" s="7">
        <v>0.1</v>
      </c>
      <c r="F427" s="7">
        <v>0.05</v>
      </c>
      <c r="G427" s="5">
        <v>20</v>
      </c>
      <c r="I427" s="5" t="b">
        <v>1</v>
      </c>
      <c r="J427" s="5" t="b">
        <v>1</v>
      </c>
      <c r="K427" s="5" t="b">
        <v>1</v>
      </c>
    </row>
    <row r="428" spans="1:11">
      <c r="A428" s="5" t="s">
        <v>120</v>
      </c>
      <c r="B428" s="5" t="s">
        <v>635</v>
      </c>
      <c r="C428" s="6">
        <v>15000000</v>
      </c>
      <c r="D428" s="7">
        <v>0.25</v>
      </c>
      <c r="E428" s="7">
        <v>0.1</v>
      </c>
      <c r="F428" s="7">
        <v>0.05</v>
      </c>
      <c r="G428" s="5">
        <v>40</v>
      </c>
      <c r="I428" s="5" t="b">
        <v>1</v>
      </c>
      <c r="J428" s="5" t="b">
        <v>1</v>
      </c>
      <c r="K428" s="5" t="b">
        <v>1</v>
      </c>
    </row>
    <row r="429" spans="1:11">
      <c r="A429" s="5" t="s">
        <v>120</v>
      </c>
      <c r="B429" s="5" t="s">
        <v>636</v>
      </c>
      <c r="C429" s="6">
        <v>9000000</v>
      </c>
      <c r="D429" s="7">
        <v>0.25</v>
      </c>
      <c r="E429" s="7">
        <v>0.1</v>
      </c>
      <c r="F429" s="7">
        <v>0.05</v>
      </c>
      <c r="G429" s="5">
        <v>30</v>
      </c>
      <c r="I429" s="5" t="b">
        <v>1</v>
      </c>
      <c r="J429" s="5" t="b">
        <v>1</v>
      </c>
      <c r="K429" s="5" t="b">
        <v>1</v>
      </c>
    </row>
    <row r="430" spans="1:11">
      <c r="A430" s="5" t="s">
        <v>120</v>
      </c>
      <c r="B430" s="5" t="s">
        <v>747</v>
      </c>
      <c r="C430" s="6">
        <v>3000000</v>
      </c>
      <c r="D430" s="7">
        <v>0.25</v>
      </c>
      <c r="E430" s="7">
        <v>0.1</v>
      </c>
      <c r="F430" s="7">
        <v>0.05</v>
      </c>
      <c r="G430" s="5">
        <v>20</v>
      </c>
      <c r="I430" s="5" t="b">
        <v>1</v>
      </c>
      <c r="J430" s="5" t="b">
        <v>1</v>
      </c>
      <c r="K430" s="5" t="b">
        <v>1</v>
      </c>
    </row>
    <row r="431" spans="1:11">
      <c r="A431" s="5" t="s">
        <v>120</v>
      </c>
      <c r="B431" s="5" t="s">
        <v>748</v>
      </c>
      <c r="C431" s="6">
        <v>3000000</v>
      </c>
      <c r="D431" s="7">
        <v>0.25</v>
      </c>
      <c r="E431" s="7">
        <v>0.1</v>
      </c>
      <c r="F431" s="7">
        <v>0.05</v>
      </c>
      <c r="G431" s="5">
        <v>20</v>
      </c>
      <c r="I431" s="5" t="b">
        <v>1</v>
      </c>
      <c r="J431" s="5" t="b">
        <v>1</v>
      </c>
      <c r="K431" s="5" t="b">
        <v>1</v>
      </c>
    </row>
    <row r="432" spans="1:11">
      <c r="A432" s="5" t="s">
        <v>120</v>
      </c>
      <c r="B432" s="5" t="s">
        <v>749</v>
      </c>
      <c r="C432" s="6">
        <v>3000000</v>
      </c>
      <c r="D432" s="7">
        <v>0.25</v>
      </c>
      <c r="E432" s="7">
        <v>0.1</v>
      </c>
      <c r="F432" s="7">
        <v>0.05</v>
      </c>
      <c r="G432" s="5">
        <v>20</v>
      </c>
      <c r="I432" s="5" t="b">
        <v>1</v>
      </c>
      <c r="J432" s="5" t="b">
        <v>1</v>
      </c>
      <c r="K432" s="5" t="b">
        <v>1</v>
      </c>
    </row>
    <row r="433" spans="1:11">
      <c r="A433" s="5" t="s">
        <v>120</v>
      </c>
      <c r="B433" s="5" t="s">
        <v>640</v>
      </c>
      <c r="C433" s="6">
        <v>3000000</v>
      </c>
      <c r="D433" s="7">
        <v>0.25</v>
      </c>
      <c r="E433" s="7">
        <v>0.1</v>
      </c>
      <c r="F433" s="7">
        <v>0.05</v>
      </c>
      <c r="G433" s="5">
        <v>20</v>
      </c>
      <c r="I433" s="5" t="b">
        <v>1</v>
      </c>
      <c r="J433" s="5" t="b">
        <v>1</v>
      </c>
      <c r="K433" s="5" t="b">
        <v>1</v>
      </c>
    </row>
    <row r="434" spans="1:11">
      <c r="A434" s="5" t="s">
        <v>120</v>
      </c>
      <c r="B434" s="5" t="s">
        <v>641</v>
      </c>
      <c r="C434" s="6">
        <v>22500000</v>
      </c>
      <c r="D434" s="7">
        <v>0.25</v>
      </c>
      <c r="E434" s="7">
        <v>0.1</v>
      </c>
      <c r="F434" s="7">
        <v>0.05</v>
      </c>
      <c r="G434" s="5">
        <v>30</v>
      </c>
      <c r="I434" s="5" t="b">
        <v>1</v>
      </c>
      <c r="J434" s="5" t="b">
        <v>1</v>
      </c>
      <c r="K434" s="5" t="b">
        <v>1</v>
      </c>
    </row>
    <row r="435" spans="1:11">
      <c r="A435" s="5" t="s">
        <v>120</v>
      </c>
      <c r="B435" s="5" t="s">
        <v>642</v>
      </c>
      <c r="C435" s="6">
        <v>3000000</v>
      </c>
      <c r="D435" s="7">
        <v>0.25</v>
      </c>
      <c r="E435" s="7">
        <v>0.1</v>
      </c>
      <c r="F435" s="7">
        <v>0.05</v>
      </c>
      <c r="G435" s="5">
        <v>20</v>
      </c>
      <c r="I435" s="5" t="b">
        <v>1</v>
      </c>
      <c r="J435" s="5" t="b">
        <v>1</v>
      </c>
      <c r="K435" s="5" t="b">
        <v>1</v>
      </c>
    </row>
    <row r="436" spans="1:11">
      <c r="A436" s="5" t="s">
        <v>120</v>
      </c>
      <c r="B436" s="5" t="s">
        <v>643</v>
      </c>
      <c r="C436" s="6">
        <v>33000000</v>
      </c>
      <c r="D436" s="7">
        <v>0.25</v>
      </c>
      <c r="E436" s="7">
        <v>0.1</v>
      </c>
      <c r="F436" s="7">
        <v>0.05</v>
      </c>
      <c r="G436" s="5">
        <v>22</v>
      </c>
      <c r="I436" s="5" t="b">
        <v>1</v>
      </c>
      <c r="J436" s="5" t="b">
        <v>1</v>
      </c>
      <c r="K436" s="5" t="b">
        <v>1</v>
      </c>
    </row>
    <row r="437" spans="1:11">
      <c r="A437" s="5" t="s">
        <v>120</v>
      </c>
      <c r="B437" s="5" t="s">
        <v>644</v>
      </c>
      <c r="C437" s="6">
        <v>9000000</v>
      </c>
      <c r="D437" s="7">
        <v>0.25</v>
      </c>
      <c r="E437" s="7">
        <v>0.1</v>
      </c>
      <c r="F437" s="7">
        <v>0.05</v>
      </c>
      <c r="G437" s="5">
        <v>10</v>
      </c>
      <c r="I437" s="5" t="b">
        <v>1</v>
      </c>
      <c r="J437" s="5" t="b">
        <v>1</v>
      </c>
      <c r="K437" s="5" t="b">
        <v>1</v>
      </c>
    </row>
    <row r="438" spans="1:11">
      <c r="A438" s="5" t="s">
        <v>120</v>
      </c>
      <c r="B438" s="5" t="s">
        <v>645</v>
      </c>
      <c r="C438" s="6">
        <v>3750000</v>
      </c>
      <c r="D438" s="7">
        <v>0.25</v>
      </c>
      <c r="E438" s="7">
        <v>0.1</v>
      </c>
      <c r="F438" s="7">
        <v>0.05</v>
      </c>
      <c r="G438" s="5">
        <v>10</v>
      </c>
      <c r="I438" s="5" t="b">
        <v>1</v>
      </c>
      <c r="J438" s="5" t="b">
        <v>1</v>
      </c>
      <c r="K438" s="5" t="b">
        <v>1</v>
      </c>
    </row>
    <row r="439" spans="1:11">
      <c r="A439" s="5" t="s">
        <v>120</v>
      </c>
      <c r="B439" s="5" t="s">
        <v>646</v>
      </c>
      <c r="C439" s="6">
        <v>700000</v>
      </c>
      <c r="D439" s="7">
        <v>0.25</v>
      </c>
      <c r="E439" s="7">
        <v>0.1</v>
      </c>
      <c r="F439" s="7">
        <v>0.05</v>
      </c>
      <c r="G439" s="5">
        <v>14</v>
      </c>
      <c r="I439" s="5" t="b">
        <v>1</v>
      </c>
      <c r="J439" s="5" t="b">
        <v>1</v>
      </c>
      <c r="K439" s="5" t="b">
        <v>1</v>
      </c>
    </row>
    <row r="440" spans="1:11">
      <c r="A440" s="5" t="s">
        <v>120</v>
      </c>
      <c r="B440" s="5" t="s">
        <v>647</v>
      </c>
      <c r="C440" s="6">
        <v>6600000</v>
      </c>
      <c r="D440" s="7">
        <v>0.25</v>
      </c>
      <c r="E440" s="7">
        <v>0.1</v>
      </c>
      <c r="F440" s="7">
        <v>0.05</v>
      </c>
      <c r="G440" s="5">
        <v>22</v>
      </c>
      <c r="I440" s="5" t="b">
        <v>1</v>
      </c>
      <c r="J440" s="5" t="b">
        <v>1</v>
      </c>
      <c r="K440" s="5" t="b">
        <v>1</v>
      </c>
    </row>
    <row r="441" spans="1:11">
      <c r="A441" s="5" t="s">
        <v>120</v>
      </c>
      <c r="B441" s="5" t="s">
        <v>648</v>
      </c>
      <c r="C441" s="6">
        <v>3000000</v>
      </c>
      <c r="D441" s="7">
        <v>0.25</v>
      </c>
      <c r="E441" s="7">
        <v>0.1</v>
      </c>
      <c r="F441" s="7">
        <v>0.05</v>
      </c>
      <c r="G441" s="5">
        <v>20</v>
      </c>
      <c r="I441" s="5" t="b">
        <v>1</v>
      </c>
      <c r="J441" s="5" t="b">
        <v>1</v>
      </c>
      <c r="K441" s="5" t="b">
        <v>1</v>
      </c>
    </row>
    <row r="442" spans="1:11">
      <c r="A442" s="5" t="s">
        <v>120</v>
      </c>
      <c r="B442" s="5" t="s">
        <v>649</v>
      </c>
      <c r="C442" s="6">
        <v>2000000</v>
      </c>
      <c r="D442" s="7">
        <v>0.25</v>
      </c>
      <c r="E442" s="7">
        <v>0.1</v>
      </c>
      <c r="F442" s="7">
        <v>0.05</v>
      </c>
      <c r="G442" s="5">
        <v>20</v>
      </c>
      <c r="I442" s="5" t="b">
        <v>1</v>
      </c>
      <c r="J442" s="5" t="b">
        <v>1</v>
      </c>
      <c r="K442" s="5" t="b">
        <v>1</v>
      </c>
    </row>
    <row r="443" spans="1:11">
      <c r="A443" s="5" t="s">
        <v>120</v>
      </c>
      <c r="B443" s="5" t="s">
        <v>650</v>
      </c>
      <c r="C443" s="6">
        <v>6000000</v>
      </c>
      <c r="D443" s="7">
        <v>0.25</v>
      </c>
      <c r="E443" s="7">
        <v>0.1</v>
      </c>
      <c r="F443" s="7">
        <v>0.05</v>
      </c>
      <c r="G443" s="5">
        <v>60</v>
      </c>
      <c r="I443" s="5" t="b">
        <v>1</v>
      </c>
      <c r="J443" s="5" t="b">
        <v>1</v>
      </c>
      <c r="K443" s="5" t="b">
        <v>1</v>
      </c>
    </row>
    <row r="444" spans="1:11">
      <c r="A444" s="5" t="s">
        <v>120</v>
      </c>
      <c r="B444" s="5" t="s">
        <v>651</v>
      </c>
      <c r="C444" s="6">
        <v>2000000</v>
      </c>
      <c r="D444" s="7">
        <v>0.25</v>
      </c>
      <c r="E444" s="7">
        <v>0.1</v>
      </c>
      <c r="F444" s="7">
        <v>0.05</v>
      </c>
      <c r="G444" s="5">
        <v>20</v>
      </c>
      <c r="I444" s="5" t="b">
        <v>1</v>
      </c>
      <c r="J444" s="5" t="b">
        <v>1</v>
      </c>
      <c r="K444" s="5" t="b">
        <v>1</v>
      </c>
    </row>
    <row r="445" spans="1:11">
      <c r="A445" s="5" t="s">
        <v>120</v>
      </c>
      <c r="B445" s="5" t="s">
        <v>750</v>
      </c>
      <c r="C445" s="6">
        <v>1600000</v>
      </c>
      <c r="D445" s="7">
        <v>0.25</v>
      </c>
      <c r="E445" s="7">
        <v>0.1</v>
      </c>
      <c r="F445" s="7">
        <v>0.05</v>
      </c>
      <c r="G445" s="5">
        <v>20</v>
      </c>
      <c r="I445" s="5" t="b">
        <v>1</v>
      </c>
      <c r="J445" s="5" t="b">
        <v>1</v>
      </c>
      <c r="K445" s="5" t="b">
        <v>1</v>
      </c>
    </row>
    <row r="446" spans="1:11">
      <c r="A446" s="5" t="s">
        <v>120</v>
      </c>
      <c r="B446" s="5" t="s">
        <v>653</v>
      </c>
      <c r="C446" s="6">
        <v>6000000</v>
      </c>
      <c r="D446" s="7">
        <v>0.25</v>
      </c>
      <c r="E446" s="7">
        <v>0.1</v>
      </c>
      <c r="F446" s="7">
        <v>0.05</v>
      </c>
      <c r="G446" s="5">
        <v>20</v>
      </c>
      <c r="I446" s="5" t="b">
        <v>1</v>
      </c>
      <c r="J446" s="5" t="b">
        <v>1</v>
      </c>
      <c r="K446" s="5" t="b">
        <v>1</v>
      </c>
    </row>
    <row r="447" spans="1:11">
      <c r="A447" s="5" t="s">
        <v>120</v>
      </c>
      <c r="B447" s="5" t="s">
        <v>654</v>
      </c>
      <c r="C447" s="6">
        <v>4000000</v>
      </c>
      <c r="D447" s="7">
        <v>0.25</v>
      </c>
      <c r="E447" s="7">
        <v>0.1</v>
      </c>
      <c r="F447" s="7">
        <v>0.05</v>
      </c>
      <c r="G447" s="5">
        <v>20</v>
      </c>
      <c r="I447" s="5" t="b">
        <v>1</v>
      </c>
      <c r="J447" s="5" t="b">
        <v>1</v>
      </c>
      <c r="K447" s="5" t="b">
        <v>1</v>
      </c>
    </row>
    <row r="448" spans="1:11">
      <c r="A448" s="5" t="s">
        <v>120</v>
      </c>
      <c r="B448" s="5" t="s">
        <v>655</v>
      </c>
      <c r="C448" s="6">
        <v>3000000</v>
      </c>
      <c r="D448" s="7">
        <v>0.25</v>
      </c>
      <c r="E448" s="7">
        <v>0.1</v>
      </c>
      <c r="F448" s="7">
        <v>0.05</v>
      </c>
      <c r="G448" s="5">
        <v>30</v>
      </c>
      <c r="I448" s="5" t="b">
        <v>1</v>
      </c>
      <c r="J448" s="5" t="b">
        <v>1</v>
      </c>
      <c r="K448" s="5" t="b">
        <v>1</v>
      </c>
    </row>
    <row r="449" spans="1:11">
      <c r="A449" s="5" t="s">
        <v>120</v>
      </c>
      <c r="B449" s="5" t="s">
        <v>656</v>
      </c>
      <c r="C449" s="6">
        <v>40000000</v>
      </c>
      <c r="D449" s="7">
        <v>0.25</v>
      </c>
      <c r="E449" s="7">
        <v>0.1</v>
      </c>
      <c r="F449" s="7">
        <v>0.05</v>
      </c>
      <c r="G449" s="5">
        <v>80</v>
      </c>
      <c r="I449" s="5" t="b">
        <v>1</v>
      </c>
      <c r="J449" s="5" t="b">
        <v>1</v>
      </c>
      <c r="K449" s="5" t="b">
        <v>1</v>
      </c>
    </row>
    <row r="450" spans="1:11">
      <c r="A450" s="5" t="s">
        <v>120</v>
      </c>
      <c r="B450" s="5" t="s">
        <v>657</v>
      </c>
      <c r="C450" s="6">
        <v>15000000</v>
      </c>
      <c r="D450" s="7">
        <v>0.25</v>
      </c>
      <c r="E450" s="7">
        <v>0.1</v>
      </c>
      <c r="F450" s="7">
        <v>0.05</v>
      </c>
      <c r="G450" s="5">
        <v>20</v>
      </c>
      <c r="I450" s="5" t="b">
        <v>1</v>
      </c>
      <c r="J450" s="5" t="b">
        <v>1</v>
      </c>
      <c r="K450" s="5" t="b">
        <v>1</v>
      </c>
    </row>
    <row r="451" spans="1:11">
      <c r="A451" s="5" t="s">
        <v>120</v>
      </c>
      <c r="B451" s="5" t="s">
        <v>658</v>
      </c>
      <c r="C451" s="6">
        <v>3000000</v>
      </c>
      <c r="D451" s="7">
        <v>0.25</v>
      </c>
      <c r="E451" s="7">
        <v>0.1</v>
      </c>
      <c r="F451" s="7">
        <v>0.05</v>
      </c>
      <c r="G451" s="5">
        <v>10</v>
      </c>
      <c r="I451" s="5" t="b">
        <v>1</v>
      </c>
      <c r="J451" s="5" t="b">
        <v>1</v>
      </c>
      <c r="K451" s="5" t="b">
        <v>1</v>
      </c>
    </row>
    <row r="452" spans="1:11">
      <c r="A452" s="5" t="s">
        <v>120</v>
      </c>
      <c r="B452" s="5" t="s">
        <v>659</v>
      </c>
      <c r="C452" s="6">
        <v>12000000</v>
      </c>
      <c r="D452" s="7">
        <v>0.25</v>
      </c>
      <c r="E452" s="7">
        <v>0.1</v>
      </c>
      <c r="F452" s="7">
        <v>0.05</v>
      </c>
      <c r="G452" s="5">
        <v>40</v>
      </c>
      <c r="I452" s="5" t="b">
        <v>1</v>
      </c>
      <c r="J452" s="5" t="b">
        <v>1</v>
      </c>
      <c r="K452" s="5" t="b">
        <v>1</v>
      </c>
    </row>
    <row r="453" spans="1:11">
      <c r="A453" s="5" t="s">
        <v>120</v>
      </c>
      <c r="B453" s="5" t="s">
        <v>660</v>
      </c>
      <c r="C453" s="6">
        <v>6300000</v>
      </c>
      <c r="D453" s="7">
        <v>0.25</v>
      </c>
      <c r="E453" s="7">
        <v>0.1</v>
      </c>
      <c r="F453" s="7">
        <v>0.05</v>
      </c>
      <c r="G453" s="5">
        <v>150</v>
      </c>
      <c r="I453" s="5" t="b">
        <v>1</v>
      </c>
      <c r="J453" s="5" t="b">
        <v>1</v>
      </c>
      <c r="K453" s="5" t="b">
        <v>1</v>
      </c>
    </row>
    <row r="454" spans="1:11">
      <c r="A454" s="5" t="s">
        <v>120</v>
      </c>
      <c r="B454" s="5" t="s">
        <v>661</v>
      </c>
      <c r="C454" s="6">
        <v>22100000</v>
      </c>
      <c r="D454" s="7">
        <v>0.25</v>
      </c>
      <c r="E454" s="7">
        <v>0.1</v>
      </c>
      <c r="F454" s="7">
        <v>0.05</v>
      </c>
      <c r="G454" s="5">
        <v>130</v>
      </c>
      <c r="I454" s="5" t="b">
        <v>1</v>
      </c>
      <c r="J454" s="5" t="b">
        <v>1</v>
      </c>
      <c r="K454" s="5" t="b">
        <v>1</v>
      </c>
    </row>
    <row r="455" spans="1:11">
      <c r="A455" s="5" t="s">
        <v>120</v>
      </c>
      <c r="B455" s="5" t="s">
        <v>662</v>
      </c>
      <c r="C455" s="6">
        <v>5200000</v>
      </c>
      <c r="D455" s="7">
        <v>0.25</v>
      </c>
      <c r="E455" s="7">
        <v>0.1</v>
      </c>
      <c r="F455" s="7">
        <v>0.05</v>
      </c>
      <c r="G455" s="5">
        <v>8</v>
      </c>
      <c r="I455" s="5" t="b">
        <v>1</v>
      </c>
      <c r="J455" s="5" t="b">
        <v>1</v>
      </c>
      <c r="K455" s="5" t="b">
        <v>1</v>
      </c>
    </row>
    <row r="456" spans="1:11">
      <c r="A456" s="5" t="s">
        <v>77</v>
      </c>
      <c r="B456" s="5" t="s">
        <v>663</v>
      </c>
      <c r="C456" s="6">
        <v>8000000</v>
      </c>
      <c r="D456" s="7">
        <v>0.25</v>
      </c>
      <c r="E456" s="7">
        <v>0.1</v>
      </c>
      <c r="F456" s="7">
        <v>0.05</v>
      </c>
      <c r="G456" s="5">
        <v>2</v>
      </c>
      <c r="I456" s="5" t="b">
        <v>1</v>
      </c>
      <c r="J456" s="5" t="b">
        <v>1</v>
      </c>
      <c r="K456" s="5" t="b">
        <v>1</v>
      </c>
    </row>
    <row r="457" spans="1:11">
      <c r="A457" s="5" t="s">
        <v>77</v>
      </c>
      <c r="B457" s="5" t="s">
        <v>665</v>
      </c>
      <c r="C457" s="6">
        <v>7000000</v>
      </c>
      <c r="D457" s="7">
        <v>0.25</v>
      </c>
      <c r="E457" s="7">
        <v>0.1</v>
      </c>
      <c r="F457" s="7">
        <v>0.05</v>
      </c>
      <c r="G457" s="5">
        <v>10</v>
      </c>
      <c r="I457" s="5" t="b">
        <v>1</v>
      </c>
      <c r="J457" s="5" t="b">
        <v>1</v>
      </c>
      <c r="K457" s="5" t="b">
        <v>1</v>
      </c>
    </row>
    <row r="458" spans="1:11">
      <c r="A458" s="5" t="s">
        <v>77</v>
      </c>
      <c r="B458" s="5" t="s">
        <v>666</v>
      </c>
      <c r="C458" s="6">
        <v>685200</v>
      </c>
      <c r="D458" s="7">
        <v>0.25</v>
      </c>
      <c r="E458" s="7">
        <v>0.1</v>
      </c>
      <c r="F458" s="7">
        <v>0.05</v>
      </c>
      <c r="G458" s="5">
        <v>23</v>
      </c>
      <c r="I458" s="5" t="b">
        <v>1</v>
      </c>
      <c r="J458" s="5" t="b">
        <v>1</v>
      </c>
      <c r="K458" s="5" t="b">
        <v>1</v>
      </c>
    </row>
    <row r="459" spans="1:11">
      <c r="A459" s="5" t="s">
        <v>77</v>
      </c>
      <c r="B459" s="5" t="s">
        <v>667</v>
      </c>
      <c r="C459" s="6">
        <v>400000</v>
      </c>
      <c r="D459" s="7">
        <v>0.25</v>
      </c>
      <c r="E459" s="7">
        <v>0.1</v>
      </c>
      <c r="F459" s="7">
        <v>0.05</v>
      </c>
      <c r="G459" s="5">
        <v>1</v>
      </c>
      <c r="I459" s="5" t="b">
        <v>1</v>
      </c>
      <c r="J459" s="5" t="b">
        <v>1</v>
      </c>
      <c r="K459" s="5" t="b">
        <v>1</v>
      </c>
    </row>
    <row r="460" spans="1:11">
      <c r="A460" s="5" t="s">
        <v>77</v>
      </c>
      <c r="B460" s="5" t="s">
        <v>668</v>
      </c>
      <c r="C460" s="6">
        <v>24300000</v>
      </c>
      <c r="D460" s="7">
        <v>0.25</v>
      </c>
      <c r="E460" s="7">
        <v>0.1</v>
      </c>
      <c r="F460" s="7">
        <v>0.05</v>
      </c>
      <c r="G460" s="5">
        <v>510</v>
      </c>
      <c r="I460" s="5" t="b">
        <v>1</v>
      </c>
      <c r="J460" s="5" t="b">
        <v>1</v>
      </c>
      <c r="K460" s="5" t="b">
        <v>1</v>
      </c>
    </row>
    <row r="461" spans="1:11">
      <c r="A461" s="5" t="s">
        <v>77</v>
      </c>
      <c r="B461" s="5" t="s">
        <v>669</v>
      </c>
      <c r="C461" s="6">
        <v>3000000</v>
      </c>
      <c r="D461" s="7">
        <v>0.25</v>
      </c>
      <c r="E461" s="7">
        <v>0.1</v>
      </c>
      <c r="F461" s="7">
        <v>0.05</v>
      </c>
      <c r="G461" s="10">
        <v>8</v>
      </c>
      <c r="I461" s="5" t="b">
        <v>1</v>
      </c>
      <c r="J461" s="5" t="b">
        <v>1</v>
      </c>
      <c r="K461" s="5" t="b">
        <v>1</v>
      </c>
    </row>
    <row r="462" spans="1:11">
      <c r="A462" s="5" t="s">
        <v>77</v>
      </c>
      <c r="B462" s="5" t="s">
        <v>670</v>
      </c>
      <c r="C462" s="6">
        <v>4000000</v>
      </c>
      <c r="D462" s="7">
        <v>0.25</v>
      </c>
      <c r="E462" s="7">
        <v>0.1</v>
      </c>
      <c r="F462" s="7">
        <v>0.05</v>
      </c>
      <c r="G462" s="5">
        <v>15</v>
      </c>
      <c r="I462" s="5" t="b">
        <v>1</v>
      </c>
      <c r="J462" s="5" t="b">
        <v>1</v>
      </c>
      <c r="K462" s="5" t="b">
        <v>1</v>
      </c>
    </row>
    <row r="463" spans="1:11">
      <c r="A463" s="5" t="s">
        <v>77</v>
      </c>
      <c r="B463" s="5" t="s">
        <v>671</v>
      </c>
      <c r="C463" s="6">
        <v>800000</v>
      </c>
      <c r="D463" s="7">
        <v>0.25</v>
      </c>
      <c r="E463" s="7">
        <v>0.1</v>
      </c>
      <c r="F463" s="7">
        <v>0.05</v>
      </c>
      <c r="G463" s="5">
        <v>10</v>
      </c>
      <c r="I463" s="5" t="b">
        <v>1</v>
      </c>
      <c r="J463" s="5" t="b">
        <v>1</v>
      </c>
      <c r="K463" s="5" t="b">
        <v>1</v>
      </c>
    </row>
    <row r="464" spans="1:11">
      <c r="A464" s="5" t="s">
        <v>77</v>
      </c>
      <c r="B464" s="5" t="s">
        <v>672</v>
      </c>
      <c r="C464" s="6">
        <v>800000</v>
      </c>
      <c r="D464" s="7">
        <v>0.25</v>
      </c>
      <c r="E464" s="7">
        <v>0.37</v>
      </c>
      <c r="F464" s="7">
        <v>0.06</v>
      </c>
      <c r="G464" s="5">
        <v>16</v>
      </c>
      <c r="I464" s="5" t="b">
        <v>1</v>
      </c>
      <c r="J464" s="5" t="b">
        <v>1</v>
      </c>
      <c r="K464" s="5" t="b">
        <v>1</v>
      </c>
    </row>
    <row r="465" spans="1:11">
      <c r="A465" s="5" t="s">
        <v>77</v>
      </c>
      <c r="B465" s="5" t="s">
        <v>673</v>
      </c>
      <c r="C465" s="6">
        <v>2500000</v>
      </c>
      <c r="D465" s="7">
        <v>0</v>
      </c>
      <c r="E465" s="7">
        <v>0</v>
      </c>
      <c r="F465" s="7">
        <v>0</v>
      </c>
      <c r="G465" s="5">
        <v>15</v>
      </c>
      <c r="I465" s="5" t="b">
        <v>0</v>
      </c>
      <c r="J465" s="5" t="b">
        <v>0</v>
      </c>
      <c r="K465" s="5" t="b">
        <v>0</v>
      </c>
    </row>
    <row r="466" spans="1:11">
      <c r="A466" s="5" t="s">
        <v>77</v>
      </c>
      <c r="B466" s="5" t="s">
        <v>674</v>
      </c>
      <c r="C466" s="6">
        <v>13700000</v>
      </c>
      <c r="D466" s="7">
        <v>0</v>
      </c>
      <c r="E466" s="7">
        <v>0</v>
      </c>
      <c r="F466" s="7">
        <v>0</v>
      </c>
      <c r="I466" s="5" t="b">
        <v>0</v>
      </c>
      <c r="J466" s="5" t="b">
        <v>0</v>
      </c>
      <c r="K466" s="5" t="b">
        <v>0</v>
      </c>
    </row>
    <row r="467" spans="1:11">
      <c r="A467" s="5" t="s">
        <v>121</v>
      </c>
      <c r="B467" s="5" t="s">
        <v>675</v>
      </c>
      <c r="C467" s="6">
        <v>1500000</v>
      </c>
      <c r="D467" s="7">
        <v>0.25</v>
      </c>
      <c r="E467" s="7">
        <v>0.1</v>
      </c>
      <c r="F467" s="7">
        <v>0.05</v>
      </c>
      <c r="G467" s="5">
        <v>15</v>
      </c>
      <c r="I467" s="5" t="b">
        <v>1</v>
      </c>
      <c r="J467" s="5" t="b">
        <v>1</v>
      </c>
      <c r="K467" s="5" t="b">
        <v>1</v>
      </c>
    </row>
    <row r="468" spans="1:11">
      <c r="A468" s="5" t="s">
        <v>121</v>
      </c>
      <c r="B468" s="5" t="s">
        <v>677</v>
      </c>
      <c r="C468" s="6">
        <v>600000</v>
      </c>
      <c r="D468" s="7">
        <v>0.25</v>
      </c>
      <c r="E468" s="7">
        <v>0.1</v>
      </c>
      <c r="F468" s="7">
        <v>0.05</v>
      </c>
      <c r="G468" s="5">
        <v>2</v>
      </c>
      <c r="I468" s="5" t="b">
        <v>1</v>
      </c>
      <c r="J468" s="5" t="b">
        <v>1</v>
      </c>
      <c r="K468" s="5" t="b">
        <v>1</v>
      </c>
    </row>
    <row r="469" spans="1:11">
      <c r="A469" s="5" t="s">
        <v>121</v>
      </c>
      <c r="B469" s="5" t="s">
        <v>678</v>
      </c>
      <c r="C469" s="6">
        <v>950000</v>
      </c>
      <c r="D469" s="7">
        <v>0.25</v>
      </c>
      <c r="E469" s="7">
        <v>0.1</v>
      </c>
      <c r="F469" s="7">
        <v>0.05</v>
      </c>
      <c r="G469" s="5">
        <v>80</v>
      </c>
      <c r="I469" s="5" t="b">
        <v>1</v>
      </c>
      <c r="J469" s="5" t="b">
        <v>1</v>
      </c>
      <c r="K469" s="5" t="b">
        <v>1</v>
      </c>
    </row>
    <row r="470" spans="1:11">
      <c r="A470" s="5" t="s">
        <v>121</v>
      </c>
      <c r="B470" s="5" t="s">
        <v>679</v>
      </c>
      <c r="C470" s="6">
        <v>400000</v>
      </c>
      <c r="D470" s="7">
        <v>0.25</v>
      </c>
      <c r="E470" s="7">
        <v>0.1</v>
      </c>
      <c r="F470" s="7">
        <v>0.05</v>
      </c>
      <c r="G470" s="5">
        <v>10</v>
      </c>
      <c r="I470" s="5" t="b">
        <v>1</v>
      </c>
      <c r="J470" s="5" t="b">
        <v>1</v>
      </c>
      <c r="K470" s="5" t="b">
        <v>1</v>
      </c>
    </row>
    <row r="471" spans="1:11">
      <c r="A471" s="5" t="s">
        <v>121</v>
      </c>
      <c r="B471" s="5" t="s">
        <v>680</v>
      </c>
      <c r="C471" s="6">
        <v>3000000</v>
      </c>
      <c r="D471" s="7">
        <v>0.25</v>
      </c>
      <c r="E471" s="7">
        <v>0.1</v>
      </c>
      <c r="F471" s="7">
        <v>0.05</v>
      </c>
      <c r="G471" s="5">
        <v>21</v>
      </c>
      <c r="I471" s="5" t="b">
        <v>1</v>
      </c>
      <c r="J471" s="5" t="b">
        <v>1</v>
      </c>
      <c r="K471" s="5" t="b">
        <v>1</v>
      </c>
    </row>
    <row r="472" spans="1:11">
      <c r="A472" s="5" t="s">
        <v>121</v>
      </c>
      <c r="B472" s="5" t="s">
        <v>681</v>
      </c>
      <c r="C472" s="6">
        <v>1040000</v>
      </c>
      <c r="D472" s="7">
        <v>0.25</v>
      </c>
      <c r="E472" s="7">
        <v>0.1</v>
      </c>
      <c r="F472" s="7">
        <v>0.05</v>
      </c>
      <c r="G472" s="5">
        <v>40</v>
      </c>
      <c r="I472" s="5" t="b">
        <v>1</v>
      </c>
      <c r="J472" s="5" t="b">
        <v>1</v>
      </c>
      <c r="K472" s="5" t="b">
        <v>1</v>
      </c>
    </row>
    <row r="473" spans="1:11">
      <c r="A473" s="5" t="s">
        <v>121</v>
      </c>
      <c r="B473" s="5" t="s">
        <v>682</v>
      </c>
      <c r="C473" s="6">
        <v>1440000</v>
      </c>
      <c r="D473" s="7">
        <v>0.25</v>
      </c>
      <c r="E473" s="7">
        <v>0.1</v>
      </c>
      <c r="F473" s="7">
        <v>0.05</v>
      </c>
      <c r="G473" s="5">
        <v>25</v>
      </c>
      <c r="I473" s="5" t="b">
        <v>1</v>
      </c>
      <c r="J473" s="5" t="b">
        <v>1</v>
      </c>
      <c r="K473" s="5" t="b">
        <v>1</v>
      </c>
    </row>
    <row r="474" spans="1:11">
      <c r="A474" s="5" t="s">
        <v>121</v>
      </c>
      <c r="B474" s="5" t="s">
        <v>683</v>
      </c>
      <c r="C474" s="6">
        <v>3120000</v>
      </c>
      <c r="D474" s="7">
        <v>0.25</v>
      </c>
      <c r="E474" s="7">
        <v>0.1</v>
      </c>
      <c r="F474" s="7">
        <v>0.05</v>
      </c>
      <c r="G474" s="5">
        <v>39</v>
      </c>
      <c r="I474" s="5" t="b">
        <v>1</v>
      </c>
      <c r="J474" s="5" t="b">
        <v>1</v>
      </c>
      <c r="K474" s="5" t="b">
        <v>1</v>
      </c>
    </row>
    <row r="475" spans="1:11">
      <c r="A475" s="5" t="s">
        <v>78</v>
      </c>
      <c r="B475" s="5" t="s">
        <v>684</v>
      </c>
      <c r="C475" s="6">
        <v>1000000</v>
      </c>
      <c r="D475" s="7">
        <v>0.2</v>
      </c>
      <c r="E475" s="7">
        <v>0.2</v>
      </c>
      <c r="F475" s="7">
        <v>0.2</v>
      </c>
      <c r="G475" s="5">
        <v>5</v>
      </c>
      <c r="I475" s="5" t="b">
        <v>1</v>
      </c>
      <c r="J475" s="5" t="b">
        <v>1</v>
      </c>
      <c r="K475" s="5" t="b">
        <v>1</v>
      </c>
    </row>
    <row r="476" spans="1:11">
      <c r="A476" s="5" t="s">
        <v>78</v>
      </c>
      <c r="B476" s="5" t="s">
        <v>686</v>
      </c>
      <c r="C476" s="6">
        <v>3500000</v>
      </c>
      <c r="D476" s="7">
        <v>0.25</v>
      </c>
      <c r="E476" s="7">
        <v>0.1</v>
      </c>
      <c r="F476" s="7">
        <v>0.05</v>
      </c>
      <c r="G476" s="5">
        <v>37</v>
      </c>
      <c r="I476" s="5" t="b">
        <v>1</v>
      </c>
      <c r="J476" s="5" t="b">
        <v>1</v>
      </c>
      <c r="K476" s="5" t="b">
        <v>1</v>
      </c>
    </row>
    <row r="477" spans="1:11">
      <c r="A477" s="5" t="s">
        <v>78</v>
      </c>
      <c r="B477" s="5" t="s">
        <v>687</v>
      </c>
      <c r="C477" s="6">
        <v>353008.73</v>
      </c>
      <c r="D477" s="7">
        <v>0.25</v>
      </c>
      <c r="E477" s="7">
        <v>0.1</v>
      </c>
      <c r="F477" s="7">
        <v>0.05</v>
      </c>
      <c r="G477" s="5">
        <v>71</v>
      </c>
      <c r="I477" s="5" t="b">
        <v>1</v>
      </c>
      <c r="J477" s="5" t="b">
        <v>1</v>
      </c>
      <c r="K477" s="5" t="b">
        <v>1</v>
      </c>
    </row>
    <row r="478" spans="1:11">
      <c r="A478" s="5" t="s">
        <v>78</v>
      </c>
      <c r="B478" s="5" t="s">
        <v>688</v>
      </c>
      <c r="C478" s="6">
        <v>600000</v>
      </c>
      <c r="D478" s="7">
        <v>0.25</v>
      </c>
      <c r="E478" s="7">
        <v>0.1</v>
      </c>
      <c r="F478" s="7">
        <v>0.05</v>
      </c>
      <c r="G478" s="5">
        <v>30</v>
      </c>
      <c r="I478" s="5" t="b">
        <v>1</v>
      </c>
      <c r="J478" s="5" t="b">
        <v>1</v>
      </c>
      <c r="K478" s="5" t="b">
        <v>1</v>
      </c>
    </row>
    <row r="479" spans="1:11">
      <c r="A479" s="5" t="s">
        <v>122</v>
      </c>
      <c r="B479" s="9" t="s">
        <v>689</v>
      </c>
      <c r="C479" s="6">
        <v>500000</v>
      </c>
      <c r="D479" s="7">
        <v>0.25</v>
      </c>
      <c r="E479" s="7">
        <v>0.1</v>
      </c>
      <c r="F479" s="7">
        <v>0.05</v>
      </c>
      <c r="I479" s="5" t="b">
        <v>1</v>
      </c>
      <c r="J479" s="5" t="b">
        <v>1</v>
      </c>
      <c r="K479" s="5" t="b">
        <v>1</v>
      </c>
    </row>
    <row r="480" spans="1:11">
      <c r="A480" s="5" t="s">
        <v>122</v>
      </c>
      <c r="B480" s="5" t="s">
        <v>691</v>
      </c>
      <c r="C480" s="6">
        <v>4825000</v>
      </c>
      <c r="D480" s="7">
        <v>0.25</v>
      </c>
      <c r="E480" s="7">
        <v>0.1</v>
      </c>
      <c r="F480" s="7">
        <v>0.05</v>
      </c>
      <c r="G480" s="10">
        <v>86</v>
      </c>
      <c r="I480" s="5" t="b">
        <v>1</v>
      </c>
      <c r="J480" s="5" t="b">
        <v>1</v>
      </c>
      <c r="K480" s="5" t="b">
        <v>1</v>
      </c>
    </row>
    <row r="481" spans="1:11">
      <c r="A481" s="5" t="s">
        <v>122</v>
      </c>
      <c r="B481" s="5" t="s">
        <v>692</v>
      </c>
      <c r="C481" s="6">
        <v>2360000</v>
      </c>
      <c r="D481" s="7">
        <v>0.25</v>
      </c>
      <c r="E481" s="7">
        <v>0.1</v>
      </c>
      <c r="F481" s="7">
        <v>0.05</v>
      </c>
      <c r="G481" s="5">
        <v>77</v>
      </c>
      <c r="I481" s="5" t="b">
        <v>1</v>
      </c>
      <c r="J481" s="5" t="b">
        <v>1</v>
      </c>
      <c r="K481" s="5" t="b">
        <v>1</v>
      </c>
    </row>
    <row r="482" spans="1:11">
      <c r="A482" s="5" t="s">
        <v>122</v>
      </c>
      <c r="B482" s="5" t="s">
        <v>693</v>
      </c>
      <c r="C482" s="6">
        <v>2360000</v>
      </c>
      <c r="D482" s="7">
        <v>0.25</v>
      </c>
      <c r="E482" s="7">
        <v>0.1</v>
      </c>
      <c r="F482" s="7">
        <v>0.05</v>
      </c>
      <c r="G482" s="5">
        <v>77</v>
      </c>
      <c r="I482" s="5" t="b">
        <v>1</v>
      </c>
      <c r="J482" s="5" t="b">
        <v>1</v>
      </c>
      <c r="K482" s="5" t="b">
        <v>1</v>
      </c>
    </row>
    <row r="483" spans="1:11">
      <c r="A483" s="5" t="s">
        <v>122</v>
      </c>
      <c r="B483" s="5" t="s">
        <v>694</v>
      </c>
      <c r="C483" s="6">
        <v>2360000</v>
      </c>
      <c r="D483" s="7">
        <v>0.25</v>
      </c>
      <c r="E483" s="7">
        <v>0.1</v>
      </c>
      <c r="F483" s="7">
        <v>0.05</v>
      </c>
      <c r="G483" s="5">
        <v>77</v>
      </c>
      <c r="I483" s="5" t="b">
        <v>1</v>
      </c>
      <c r="J483" s="5" t="b">
        <v>1</v>
      </c>
      <c r="K483" s="5" t="b">
        <v>1</v>
      </c>
    </row>
    <row r="484" spans="1:11">
      <c r="A484" s="5" t="s">
        <v>122</v>
      </c>
      <c r="B484" s="5" t="s">
        <v>695</v>
      </c>
      <c r="C484" s="6">
        <v>3570000</v>
      </c>
      <c r="D484" s="7">
        <v>0.25</v>
      </c>
      <c r="E484" s="7">
        <v>0.1</v>
      </c>
      <c r="F484" s="7">
        <v>0.05</v>
      </c>
      <c r="G484" s="5">
        <v>22</v>
      </c>
      <c r="I484" s="5" t="b">
        <v>1</v>
      </c>
      <c r="J484" s="5" t="b">
        <v>1</v>
      </c>
      <c r="K484" s="5" t="b">
        <v>1</v>
      </c>
    </row>
    <row r="485" spans="1:11">
      <c r="A485" s="5" t="s">
        <v>122</v>
      </c>
      <c r="B485" s="5" t="s">
        <v>751</v>
      </c>
      <c r="C485" s="6">
        <v>1125000</v>
      </c>
      <c r="D485" s="7">
        <v>0.25</v>
      </c>
      <c r="E485" s="7">
        <v>0</v>
      </c>
      <c r="F485" s="7">
        <v>0.05</v>
      </c>
      <c r="G485" s="5">
        <v>70</v>
      </c>
      <c r="I485" s="5" t="b">
        <v>1</v>
      </c>
      <c r="J485" s="5" t="b">
        <v>1</v>
      </c>
      <c r="K485" s="5" t="b">
        <v>1</v>
      </c>
    </row>
    <row r="486" spans="1:11">
      <c r="A486" s="5" t="s">
        <v>122</v>
      </c>
      <c r="B486" s="5" t="s">
        <v>697</v>
      </c>
      <c r="C486" s="12">
        <v>600000</v>
      </c>
      <c r="D486" s="7">
        <v>0</v>
      </c>
      <c r="E486" s="7">
        <v>1</v>
      </c>
      <c r="F486" s="7">
        <v>0.05</v>
      </c>
      <c r="G486" s="5">
        <v>40</v>
      </c>
      <c r="H486" s="5" t="s">
        <v>168</v>
      </c>
      <c r="I486" s="5" t="b">
        <v>1</v>
      </c>
      <c r="J486" s="5" t="b">
        <v>1</v>
      </c>
      <c r="K486" s="5" t="b">
        <v>1</v>
      </c>
    </row>
    <row r="487" spans="1:11">
      <c r="A487" s="5" t="s">
        <v>122</v>
      </c>
      <c r="B487" s="5" t="s">
        <v>698</v>
      </c>
      <c r="C487" s="6">
        <v>600000</v>
      </c>
      <c r="D487" s="7">
        <v>0</v>
      </c>
      <c r="E487" s="7">
        <v>0</v>
      </c>
      <c r="F487" s="7">
        <v>0.05</v>
      </c>
      <c r="G487" s="5">
        <v>40</v>
      </c>
      <c r="I487" s="5" t="b">
        <v>1</v>
      </c>
      <c r="J487" s="5" t="b">
        <v>1</v>
      </c>
      <c r="K487" s="5" t="b">
        <v>1</v>
      </c>
    </row>
    <row r="488" spans="1:11">
      <c r="A488" s="5" t="s">
        <v>122</v>
      </c>
      <c r="B488" s="5" t="s">
        <v>699</v>
      </c>
      <c r="C488" s="6">
        <v>4000000</v>
      </c>
      <c r="D488" s="7">
        <v>0.25</v>
      </c>
      <c r="E488" s="7">
        <v>0.1</v>
      </c>
      <c r="F488" s="7">
        <v>0.05</v>
      </c>
      <c r="G488" s="5">
        <v>50</v>
      </c>
      <c r="I488" s="5" t="b">
        <v>1</v>
      </c>
      <c r="J488" s="5" t="b">
        <v>1</v>
      </c>
      <c r="K488" s="5" t="b">
        <v>1</v>
      </c>
    </row>
    <row r="489" spans="1:11">
      <c r="A489" s="5" t="s">
        <v>122</v>
      </c>
      <c r="B489" s="5" t="s">
        <v>700</v>
      </c>
      <c r="C489" s="6">
        <v>1230000</v>
      </c>
      <c r="D489" s="7">
        <v>0.25</v>
      </c>
      <c r="E489" s="7">
        <v>0.1</v>
      </c>
      <c r="F489" s="7">
        <v>0.05</v>
      </c>
      <c r="G489" s="5">
        <v>35</v>
      </c>
      <c r="I489" s="5" t="b">
        <v>1</v>
      </c>
      <c r="J489" s="5" t="b">
        <v>1</v>
      </c>
      <c r="K489" s="5" t="b">
        <v>1</v>
      </c>
    </row>
    <row r="490" spans="1:11">
      <c r="A490" s="5" t="s">
        <v>122</v>
      </c>
      <c r="B490" s="5" t="s">
        <v>701</v>
      </c>
      <c r="C490" s="6">
        <v>780000</v>
      </c>
      <c r="D490" s="7">
        <v>0.25</v>
      </c>
      <c r="E490" s="7">
        <v>0.1</v>
      </c>
      <c r="F490" s="7">
        <v>0.05</v>
      </c>
      <c r="G490" s="5">
        <v>6</v>
      </c>
      <c r="I490" s="5" t="b">
        <v>1</v>
      </c>
      <c r="J490" s="5" t="b">
        <v>1</v>
      </c>
      <c r="K490" s="5" t="b">
        <v>1</v>
      </c>
    </row>
    <row r="491" spans="1:11">
      <c r="A491" s="5" t="s">
        <v>122</v>
      </c>
      <c r="B491" s="5" t="s">
        <v>702</v>
      </c>
      <c r="C491" s="6">
        <v>360000</v>
      </c>
      <c r="D491" s="7">
        <v>0</v>
      </c>
      <c r="E491" s="7">
        <v>0</v>
      </c>
      <c r="F491" s="7">
        <v>0</v>
      </c>
      <c r="G491" s="5">
        <v>1</v>
      </c>
      <c r="I491" s="5" t="b">
        <v>1</v>
      </c>
      <c r="J491" s="5" t="b">
        <v>1</v>
      </c>
      <c r="K491" s="5" t="b">
        <v>1</v>
      </c>
    </row>
    <row r="492" spans="1:11">
      <c r="A492" s="5" t="s">
        <v>79</v>
      </c>
      <c r="B492" s="5" t="s">
        <v>703</v>
      </c>
      <c r="C492" s="6">
        <v>600000</v>
      </c>
      <c r="D492" s="7">
        <v>0.25</v>
      </c>
      <c r="E492" s="7">
        <v>0.1</v>
      </c>
      <c r="F492" s="7">
        <v>0.05</v>
      </c>
      <c r="G492" s="5">
        <v>50</v>
      </c>
      <c r="I492" s="5" t="b">
        <v>1</v>
      </c>
      <c r="J492" s="5" t="b">
        <v>1</v>
      </c>
      <c r="K492" s="5" t="b">
        <v>1</v>
      </c>
    </row>
    <row r="493" spans="1:11">
      <c r="A493" s="5" t="s">
        <v>79</v>
      </c>
      <c r="B493" s="5" t="s">
        <v>705</v>
      </c>
      <c r="C493" s="6">
        <v>610558.69999999995</v>
      </c>
      <c r="D493" s="7">
        <v>0.25</v>
      </c>
      <c r="E493" s="7">
        <v>0.1</v>
      </c>
      <c r="F493" s="7">
        <v>0.05</v>
      </c>
      <c r="G493" s="5">
        <v>21</v>
      </c>
      <c r="I493" s="5" t="b">
        <v>1</v>
      </c>
      <c r="J493" s="5" t="b">
        <v>1</v>
      </c>
      <c r="K493" s="5" t="b">
        <v>1</v>
      </c>
    </row>
    <row r="494" spans="1:11">
      <c r="A494" s="5" t="s">
        <v>79</v>
      </c>
      <c r="B494" s="5" t="s">
        <v>706</v>
      </c>
      <c r="C494" s="6">
        <v>200000</v>
      </c>
      <c r="D494" s="7">
        <v>0.25</v>
      </c>
      <c r="E494" s="7">
        <v>0.1</v>
      </c>
      <c r="F494" s="7">
        <v>0.05</v>
      </c>
      <c r="G494" s="5">
        <v>6</v>
      </c>
      <c r="I494" s="5" t="b">
        <v>1</v>
      </c>
      <c r="J494" s="5" t="b">
        <v>1</v>
      </c>
      <c r="K494" s="5" t="b">
        <v>1</v>
      </c>
    </row>
    <row r="495" spans="1:11">
      <c r="A495" s="5" t="s">
        <v>79</v>
      </c>
      <c r="B495" s="5" t="s">
        <v>707</v>
      </c>
      <c r="C495" s="6">
        <v>210000</v>
      </c>
      <c r="D495" s="7">
        <v>0.25</v>
      </c>
      <c r="E495" s="7">
        <v>0.1</v>
      </c>
      <c r="F495" s="7">
        <v>0.05</v>
      </c>
      <c r="G495" s="5">
        <v>18</v>
      </c>
      <c r="I495" s="5" t="b">
        <v>1</v>
      </c>
      <c r="J495" s="5" t="b">
        <v>1</v>
      </c>
      <c r="K495" s="5" t="b">
        <v>1</v>
      </c>
    </row>
    <row r="496" spans="1:11">
      <c r="A496" s="5" t="s">
        <v>79</v>
      </c>
      <c r="B496" s="5" t="s">
        <v>708</v>
      </c>
      <c r="C496" s="6">
        <v>420000</v>
      </c>
      <c r="D496" s="7">
        <v>0.25</v>
      </c>
      <c r="E496" s="7">
        <v>0.1</v>
      </c>
      <c r="F496" s="7">
        <v>0</v>
      </c>
      <c r="G496" s="5">
        <v>7</v>
      </c>
      <c r="I496" s="5" t="b">
        <v>1</v>
      </c>
      <c r="J496" s="5" t="b">
        <v>1</v>
      </c>
      <c r="K496" s="5" t="b">
        <v>1</v>
      </c>
    </row>
    <row r="497" spans="1:11">
      <c r="A497" s="5" t="s">
        <v>79</v>
      </c>
      <c r="B497" s="5" t="s">
        <v>709</v>
      </c>
      <c r="C497" s="6">
        <v>300000</v>
      </c>
      <c r="D497" s="7">
        <v>0</v>
      </c>
      <c r="E497" s="7">
        <v>0</v>
      </c>
      <c r="F497" s="7">
        <v>0</v>
      </c>
      <c r="G497" s="5">
        <v>4</v>
      </c>
      <c r="I497" s="5" t="b">
        <v>0</v>
      </c>
      <c r="J497" s="5" t="b">
        <v>0</v>
      </c>
      <c r="K497" s="5" t="b">
        <v>0</v>
      </c>
    </row>
    <row r="498" spans="1:11">
      <c r="C498" s="6">
        <f>SUM(C2:C497)</f>
        <v>1623628179.1099999</v>
      </c>
    </row>
    <row r="499" spans="1:11"/>
    <row r="500" spans="1:11"/>
    <row r="501" spans="1:11"/>
    <row r="502" spans="1:11"/>
    <row r="503" spans="1:11"/>
    <row r="504" spans="1:11"/>
    <row r="505" spans="1:11"/>
    <row r="506" spans="1:11"/>
    <row r="507" spans="1:11"/>
    <row r="508" spans="1:11"/>
    <row r="509" spans="1:11"/>
    <row r="510" spans="1:11"/>
    <row r="511" spans="1:11"/>
    <row r="512" spans="1:11"/>
    <row r="513" spans="2:8"/>
    <row r="514" spans="2:8"/>
    <row r="515" spans="2:8"/>
    <row r="516" spans="2:8"/>
    <row r="521" spans="2:8">
      <c r="B521" s="11"/>
      <c r="D521" s="8"/>
      <c r="E521" s="8"/>
      <c r="F521" s="8"/>
      <c r="H521" s="13"/>
    </row>
    <row r="522" spans="2:8">
      <c r="B522" s="11"/>
      <c r="D522" s="8"/>
      <c r="E522" s="8"/>
      <c r="F522" s="8"/>
      <c r="H522" s="13"/>
    </row>
    <row r="523" spans="2:8">
      <c r="B523" s="11"/>
      <c r="D523" s="8"/>
      <c r="E523" s="8"/>
      <c r="F523" s="8"/>
      <c r="H523" s="13"/>
    </row>
    <row r="524" spans="2:8">
      <c r="B524" s="11"/>
      <c r="D524" s="8"/>
      <c r="E524" s="8"/>
      <c r="F524" s="8"/>
      <c r="H524" s="13"/>
    </row>
  </sheetData>
  <phoneticPr fontId="4" type="noConversion"/>
  <conditionalFormatting sqref="B1:B1048576">
    <cfRule type="duplicateValues" dxfId="1" priority="1"/>
  </conditionalFormatting>
  <hyperlinks>
    <hyperlink ref="B248" r:id="rId1" display="2024-01_PARANÁ_FOMENTO.pdf" xr:uid="{00000000-0004-0000-0000-000000000000}"/>
    <hyperlink ref="B249" r:id="rId2" display="2025-01_PARANÁ_FOMENTO.pdf" xr:uid="{00000000-0004-0000-0000-000001000000}"/>
    <hyperlink ref="B260" r:id="rId3" display="2024-34_TOCANTINS_BOLSA.pdf" xr:uid="{00000000-0004-0000-0000-000002000000}"/>
    <hyperlink ref="B479" r:id="rId4" xr:uid="{857863BB-6B13-4275-8B85-26834B7FCBDC}"/>
    <hyperlink ref="B317" r:id="rId5" xr:uid="{25219EE8-58B3-4919-A4FB-8749856B5E28}"/>
    <hyperlink ref="B319" r:id="rId6" xr:uid="{8D784387-559E-40F0-B187-600270E287A0}"/>
  </hyperlinks>
  <pageMargins left="0.75" right="0.75" top="1" bottom="1" header="0.5" footer="0.5"/>
  <legacyDrawing r:id="rId7"/>
  <tableParts count="1">
    <tablePart r:id="rId8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84BA-CD48-424E-9AC2-AB86273A0120}">
  <dimension ref="A1:O524"/>
  <sheetViews>
    <sheetView zoomScale="115" zoomScaleNormal="115" workbookViewId="0">
      <selection activeCell="N4" sqref="N4"/>
    </sheetView>
  </sheetViews>
  <sheetFormatPr defaultColWidth="8.81640625" defaultRowHeight="14.5"/>
  <cols>
    <col min="1" max="1" width="17.453125" style="5" customWidth="1"/>
    <col min="2" max="2" width="47.453125" style="5" customWidth="1"/>
    <col min="3" max="3" width="16.81640625" style="6" bestFit="1" customWidth="1"/>
    <col min="4" max="4" width="8.1796875" style="7" customWidth="1"/>
    <col min="5" max="5" width="7.1796875" style="7" customWidth="1"/>
    <col min="6" max="6" width="8.81640625" style="7" customWidth="1"/>
    <col min="7" max="7" width="14" style="5" customWidth="1"/>
    <col min="8" max="8" width="11.453125" style="5" customWidth="1"/>
    <col min="9" max="9" width="18.81640625" style="5" customWidth="1"/>
    <col min="10" max="10" width="21.453125" style="5" customWidth="1"/>
    <col min="11" max="11" width="16.1796875" style="5" customWidth="1"/>
  </cols>
  <sheetData>
    <row r="1" spans="1:15">
      <c r="A1" s="1" t="s">
        <v>137</v>
      </c>
      <c r="B1" s="1" t="s">
        <v>138</v>
      </c>
      <c r="C1" s="2" t="s">
        <v>139</v>
      </c>
      <c r="D1" s="3" t="s">
        <v>140</v>
      </c>
      <c r="E1" s="3" t="s">
        <v>141</v>
      </c>
      <c r="F1" s="3" t="s">
        <v>142</v>
      </c>
      <c r="G1" s="1" t="s">
        <v>143</v>
      </c>
      <c r="H1" s="4" t="s">
        <v>710</v>
      </c>
      <c r="I1" s="1" t="s">
        <v>145</v>
      </c>
      <c r="J1" s="1" t="s">
        <v>146</v>
      </c>
      <c r="K1" s="1" t="s">
        <v>147</v>
      </c>
    </row>
    <row r="2" spans="1:15">
      <c r="A2" s="5" t="s">
        <v>94</v>
      </c>
      <c r="B2" s="5" t="s">
        <v>157</v>
      </c>
      <c r="C2" s="6">
        <v>696000</v>
      </c>
      <c r="D2" s="7">
        <v>0.26</v>
      </c>
      <c r="E2" s="7">
        <v>0.12</v>
      </c>
      <c r="F2" s="7">
        <v>0.12</v>
      </c>
      <c r="G2" s="5">
        <v>42</v>
      </c>
      <c r="I2" s="5" t="b">
        <v>1</v>
      </c>
      <c r="J2" s="5" t="b">
        <v>1</v>
      </c>
      <c r="K2" s="5" t="b">
        <v>1</v>
      </c>
    </row>
    <row r="3" spans="1:15">
      <c r="A3" s="5" t="s">
        <v>94</v>
      </c>
      <c r="B3" s="5" t="s">
        <v>159</v>
      </c>
      <c r="C3" s="6">
        <v>1470000</v>
      </c>
      <c r="D3" s="7">
        <v>0.28570000000000001</v>
      </c>
      <c r="E3" s="7">
        <v>0.1429</v>
      </c>
      <c r="F3" s="7">
        <v>0.1429</v>
      </c>
      <c r="G3" s="5">
        <v>42</v>
      </c>
      <c r="I3" s="5" t="b">
        <v>1</v>
      </c>
      <c r="J3" s="5" t="b">
        <v>1</v>
      </c>
      <c r="K3" s="5" t="b">
        <v>1</v>
      </c>
      <c r="N3" t="s">
        <v>752</v>
      </c>
    </row>
    <row r="4" spans="1:15">
      <c r="A4" s="5" t="s">
        <v>94</v>
      </c>
      <c r="B4" s="5" t="s">
        <v>160</v>
      </c>
      <c r="C4" s="6">
        <v>1672276.38</v>
      </c>
      <c r="D4" s="7">
        <v>0.16669999999999999</v>
      </c>
      <c r="E4" s="7">
        <v>0.16669999999999999</v>
      </c>
      <c r="F4" s="7">
        <v>0.16669999999999999</v>
      </c>
      <c r="G4" s="5">
        <v>30</v>
      </c>
      <c r="I4" s="14" t="b">
        <v>0</v>
      </c>
      <c r="J4" s="5" t="b">
        <v>1</v>
      </c>
      <c r="K4" s="5" t="b">
        <v>1</v>
      </c>
      <c r="N4" s="15"/>
      <c r="O4" t="s">
        <v>753</v>
      </c>
    </row>
    <row r="5" spans="1:15">
      <c r="A5" s="5" t="s">
        <v>94</v>
      </c>
      <c r="B5" s="5" t="s">
        <v>161</v>
      </c>
      <c r="C5" s="6">
        <v>418069.1</v>
      </c>
      <c r="D5" s="7">
        <v>0</v>
      </c>
      <c r="E5" s="7">
        <v>0</v>
      </c>
      <c r="F5" s="7">
        <v>0</v>
      </c>
      <c r="G5" s="5">
        <v>1</v>
      </c>
      <c r="I5" s="5" t="b">
        <v>1</v>
      </c>
      <c r="J5" s="5" t="b">
        <v>1</v>
      </c>
      <c r="K5" s="5" t="b">
        <v>1</v>
      </c>
      <c r="N5" s="16"/>
      <c r="O5" t="s">
        <v>754</v>
      </c>
    </row>
    <row r="6" spans="1:15">
      <c r="A6" s="5" t="s">
        <v>94</v>
      </c>
      <c r="B6" s="5" t="s">
        <v>162</v>
      </c>
      <c r="C6" s="6">
        <v>4100000</v>
      </c>
      <c r="D6" s="7">
        <v>0.25</v>
      </c>
      <c r="E6" s="7">
        <v>0.18</v>
      </c>
      <c r="F6" s="7">
        <v>0.18</v>
      </c>
      <c r="G6" s="5">
        <v>122</v>
      </c>
      <c r="I6" s="5" t="b">
        <v>1</v>
      </c>
      <c r="J6" s="5" t="b">
        <v>1</v>
      </c>
      <c r="K6" s="5" t="b">
        <v>1</v>
      </c>
      <c r="N6" s="17"/>
      <c r="O6" t="s">
        <v>755</v>
      </c>
    </row>
    <row r="7" spans="1:15">
      <c r="A7" s="5" t="s">
        <v>94</v>
      </c>
      <c r="B7" s="5" t="s">
        <v>163</v>
      </c>
      <c r="C7" s="6">
        <v>300000</v>
      </c>
      <c r="D7" s="7">
        <v>0.27800000000000002</v>
      </c>
      <c r="E7" s="7">
        <v>0.111</v>
      </c>
      <c r="F7" s="7">
        <v>5.6000000000000008E-2</v>
      </c>
      <c r="G7" s="5">
        <v>18</v>
      </c>
      <c r="I7" s="5" t="b">
        <v>1</v>
      </c>
      <c r="J7" s="5" t="b">
        <v>1</v>
      </c>
      <c r="K7" s="5" t="b">
        <v>1</v>
      </c>
    </row>
    <row r="8" spans="1:15">
      <c r="A8" s="5" t="s">
        <v>94</v>
      </c>
      <c r="B8" s="5" t="s">
        <v>164</v>
      </c>
      <c r="C8" s="6">
        <v>200000</v>
      </c>
      <c r="D8" s="7">
        <v>0.5</v>
      </c>
      <c r="E8" s="7">
        <v>0</v>
      </c>
      <c r="F8" s="7">
        <v>0</v>
      </c>
      <c r="G8" s="5">
        <v>10</v>
      </c>
      <c r="I8" s="5" t="b">
        <v>1</v>
      </c>
      <c r="J8" s="5" t="b">
        <v>0</v>
      </c>
      <c r="K8" s="5" t="b">
        <v>0</v>
      </c>
    </row>
    <row r="9" spans="1:15">
      <c r="A9" s="5" t="s">
        <v>94</v>
      </c>
      <c r="B9" s="5" t="s">
        <v>165</v>
      </c>
      <c r="C9" s="6">
        <v>2500000</v>
      </c>
      <c r="D9" s="7">
        <v>0.307</v>
      </c>
      <c r="E9" s="7">
        <v>0.15379999999999999</v>
      </c>
      <c r="F9" s="7">
        <v>7.6899999999999996E-2</v>
      </c>
      <c r="G9" s="5">
        <v>13</v>
      </c>
      <c r="I9" s="5" t="b">
        <v>1</v>
      </c>
      <c r="J9" s="5" t="b">
        <v>1</v>
      </c>
      <c r="K9" s="5" t="b">
        <v>1</v>
      </c>
    </row>
    <row r="10" spans="1:15">
      <c r="A10" s="5" t="s">
        <v>94</v>
      </c>
      <c r="B10" s="5" t="s">
        <v>166</v>
      </c>
      <c r="C10" s="6">
        <v>900000</v>
      </c>
      <c r="D10" s="7">
        <v>0.2</v>
      </c>
      <c r="E10" s="7">
        <v>0.2</v>
      </c>
      <c r="F10" s="7">
        <v>0.2</v>
      </c>
      <c r="G10" s="5">
        <v>60</v>
      </c>
      <c r="I10" s="5" t="b">
        <v>0</v>
      </c>
      <c r="J10" s="5" t="b">
        <v>1</v>
      </c>
      <c r="K10" s="5" t="b">
        <v>1</v>
      </c>
    </row>
    <row r="11" spans="1:15">
      <c r="A11" s="5" t="s">
        <v>94</v>
      </c>
      <c r="B11" s="5" t="s">
        <v>167</v>
      </c>
      <c r="C11" s="6">
        <v>1200000</v>
      </c>
      <c r="D11" s="7">
        <v>0</v>
      </c>
      <c r="E11" s="7">
        <v>1</v>
      </c>
      <c r="F11" s="7">
        <v>0.15</v>
      </c>
      <c r="G11" s="5">
        <v>80</v>
      </c>
      <c r="H11" s="5" t="s">
        <v>168</v>
      </c>
      <c r="I11" s="5" t="b">
        <v>1</v>
      </c>
      <c r="J11" s="5" t="b">
        <v>1</v>
      </c>
      <c r="K11" s="5" t="b">
        <v>1</v>
      </c>
    </row>
    <row r="12" spans="1:15">
      <c r="A12" s="5" t="s">
        <v>94</v>
      </c>
      <c r="B12" s="5" t="s">
        <v>169</v>
      </c>
      <c r="C12" s="6">
        <v>1098000</v>
      </c>
      <c r="D12" s="7">
        <v>0.26229999999999998</v>
      </c>
      <c r="E12" s="7">
        <v>0.14749999999999999</v>
      </c>
      <c r="F12" s="7">
        <v>0.1148</v>
      </c>
      <c r="G12" s="5">
        <v>61</v>
      </c>
      <c r="I12" s="5" t="b">
        <v>1</v>
      </c>
      <c r="J12" s="5" t="b">
        <v>1</v>
      </c>
      <c r="K12" s="5" t="b">
        <v>1</v>
      </c>
    </row>
    <row r="13" spans="1:15">
      <c r="A13" s="5" t="s">
        <v>97</v>
      </c>
      <c r="B13" s="5" t="s">
        <v>170</v>
      </c>
      <c r="C13" s="6">
        <v>2616000</v>
      </c>
      <c r="D13" s="7">
        <v>0.25</v>
      </c>
      <c r="E13" s="7">
        <v>8.3299999999999999E-2</v>
      </c>
      <c r="F13" s="7">
        <v>4.1700000000000001E-2</v>
      </c>
      <c r="G13" s="5">
        <v>24</v>
      </c>
      <c r="I13" s="5" t="b">
        <v>1</v>
      </c>
      <c r="J13" s="5" t="b">
        <v>1</v>
      </c>
      <c r="K13" s="5" t="b">
        <v>1</v>
      </c>
    </row>
    <row r="14" spans="1:15">
      <c r="A14" s="5" t="s">
        <v>97</v>
      </c>
      <c r="B14" s="5" t="s">
        <v>172</v>
      </c>
      <c r="C14" s="6">
        <v>653000</v>
      </c>
      <c r="D14" s="7">
        <v>0</v>
      </c>
      <c r="E14" s="7">
        <v>0</v>
      </c>
      <c r="F14" s="7">
        <v>0</v>
      </c>
      <c r="G14" s="5">
        <v>2</v>
      </c>
      <c r="I14" s="5" t="b">
        <v>0</v>
      </c>
      <c r="J14" s="5" t="b">
        <v>1</v>
      </c>
      <c r="K14" s="5" t="b">
        <v>1</v>
      </c>
    </row>
    <row r="15" spans="1:15">
      <c r="A15" s="5" t="s">
        <v>97</v>
      </c>
      <c r="B15" s="5" t="s">
        <v>173</v>
      </c>
      <c r="C15" s="6">
        <v>900000</v>
      </c>
      <c r="D15" s="7">
        <v>0.25640000000000002</v>
      </c>
      <c r="E15" s="7">
        <v>7.6899999999999996E-2</v>
      </c>
      <c r="F15" s="7">
        <v>5.1299999999999998E-2</v>
      </c>
      <c r="G15" s="5">
        <v>39</v>
      </c>
      <c r="I15" s="5" t="b">
        <v>1</v>
      </c>
      <c r="J15" s="14" t="b">
        <v>0</v>
      </c>
      <c r="K15" s="5" t="b">
        <v>1</v>
      </c>
    </row>
    <row r="16" spans="1:15">
      <c r="A16" s="5" t="s">
        <v>97</v>
      </c>
      <c r="B16" s="5" t="s">
        <v>174</v>
      </c>
      <c r="C16" s="6">
        <v>1100000</v>
      </c>
      <c r="D16" s="7">
        <v>0.25</v>
      </c>
      <c r="E16" s="7">
        <v>0.125</v>
      </c>
      <c r="F16" s="7">
        <v>0.125</v>
      </c>
      <c r="G16" s="5">
        <v>16</v>
      </c>
      <c r="I16" s="5" t="b">
        <v>1</v>
      </c>
      <c r="J16" s="5" t="b">
        <v>1</v>
      </c>
      <c r="K16" s="5" t="b">
        <v>1</v>
      </c>
    </row>
    <row r="17" spans="1:11">
      <c r="A17" s="5" t="s">
        <v>97</v>
      </c>
      <c r="B17" s="5" t="s">
        <v>175</v>
      </c>
      <c r="C17" s="6">
        <v>400000</v>
      </c>
      <c r="D17" s="7">
        <v>0.26319999999999999</v>
      </c>
      <c r="E17" s="7">
        <v>0.1053</v>
      </c>
      <c r="F17" s="7">
        <v>7.0199999999999999E-2</v>
      </c>
      <c r="G17" s="5">
        <v>57</v>
      </c>
      <c r="I17" s="5" t="b">
        <v>1</v>
      </c>
      <c r="J17" s="5" t="b">
        <v>1</v>
      </c>
      <c r="K17" s="5" t="b">
        <v>1</v>
      </c>
    </row>
    <row r="18" spans="1:11">
      <c r="A18" s="5" t="s">
        <v>97</v>
      </c>
      <c r="B18" s="5" t="s">
        <v>176</v>
      </c>
      <c r="C18" s="6">
        <v>200000</v>
      </c>
      <c r="D18" s="7">
        <v>0.25530000000000003</v>
      </c>
      <c r="E18" s="7">
        <v>0.1176</v>
      </c>
      <c r="F18" s="7">
        <v>5.8799999999999998E-2</v>
      </c>
      <c r="G18" s="5">
        <v>17</v>
      </c>
      <c r="I18" s="5" t="b">
        <v>1</v>
      </c>
      <c r="J18" s="5" t="b">
        <v>1</v>
      </c>
      <c r="K18" s="5" t="b">
        <v>1</v>
      </c>
    </row>
    <row r="19" spans="1:11">
      <c r="A19" s="5" t="s">
        <v>97</v>
      </c>
      <c r="B19" s="5" t="s">
        <v>177</v>
      </c>
      <c r="C19" s="6">
        <v>200000</v>
      </c>
      <c r="D19" s="7">
        <v>0.21429999999999999</v>
      </c>
      <c r="E19" s="7">
        <v>7.1400000000000005E-2</v>
      </c>
      <c r="F19" s="7">
        <v>7.1400000000000005E-2</v>
      </c>
      <c r="G19" s="5">
        <v>14</v>
      </c>
      <c r="I19" s="5" t="b">
        <v>1</v>
      </c>
      <c r="J19" s="5" t="b">
        <v>1</v>
      </c>
      <c r="K19" s="5" t="b">
        <v>1</v>
      </c>
    </row>
    <row r="20" spans="1:11">
      <c r="A20" s="5" t="s">
        <v>97</v>
      </c>
      <c r="B20" s="5" t="s">
        <v>178</v>
      </c>
      <c r="C20" s="6">
        <v>900000</v>
      </c>
      <c r="D20" s="7">
        <v>0.25640000000000002</v>
      </c>
      <c r="E20" s="7">
        <v>0.1026</v>
      </c>
      <c r="F20" s="7">
        <v>7.6899999999999996E-2</v>
      </c>
      <c r="G20" s="5">
        <v>39</v>
      </c>
      <c r="I20" s="5" t="b">
        <v>1</v>
      </c>
      <c r="J20" s="5" t="b">
        <v>1</v>
      </c>
      <c r="K20" s="5" t="b">
        <v>1</v>
      </c>
    </row>
    <row r="21" spans="1:11">
      <c r="A21" s="5" t="s">
        <v>97</v>
      </c>
      <c r="B21" s="5" t="s">
        <v>179</v>
      </c>
      <c r="C21" s="6">
        <v>200000</v>
      </c>
      <c r="D21" s="7">
        <v>0.25</v>
      </c>
      <c r="E21" s="7">
        <v>0.1</v>
      </c>
      <c r="F21" s="7">
        <v>7.4999999999999997E-2</v>
      </c>
      <c r="G21" s="5">
        <v>40</v>
      </c>
      <c r="I21" s="5" t="b">
        <v>1</v>
      </c>
      <c r="J21" s="5" t="b">
        <v>1</v>
      </c>
      <c r="K21" s="5" t="b">
        <v>1</v>
      </c>
    </row>
    <row r="22" spans="1:11">
      <c r="A22" s="5" t="s">
        <v>97</v>
      </c>
      <c r="B22" s="5" t="s">
        <v>180</v>
      </c>
      <c r="C22" s="6">
        <v>900000</v>
      </c>
      <c r="D22" s="7">
        <v>0.28000000000000003</v>
      </c>
      <c r="E22" s="7">
        <v>0.125</v>
      </c>
      <c r="F22" s="7">
        <v>0.1</v>
      </c>
      <c r="G22" s="5">
        <v>50</v>
      </c>
      <c r="I22" s="5" t="b">
        <v>1</v>
      </c>
      <c r="J22" s="5" t="b">
        <v>1</v>
      </c>
      <c r="K22" s="5" t="b">
        <v>1</v>
      </c>
    </row>
    <row r="23" spans="1:11">
      <c r="A23" s="5" t="s">
        <v>97</v>
      </c>
      <c r="B23" s="5" t="s">
        <v>181</v>
      </c>
      <c r="C23" s="6">
        <v>1398000</v>
      </c>
      <c r="D23" s="7">
        <v>0.24099999999999999</v>
      </c>
      <c r="E23" s="7">
        <v>0.1084</v>
      </c>
      <c r="F23" s="7">
        <v>6.0199999999999997E-2</v>
      </c>
      <c r="G23" s="5">
        <v>83</v>
      </c>
      <c r="I23" s="5" t="b">
        <v>1</v>
      </c>
      <c r="J23" s="5" t="b">
        <v>1</v>
      </c>
      <c r="K23" s="5" t="b">
        <v>1</v>
      </c>
    </row>
    <row r="24" spans="1:11">
      <c r="A24" s="5" t="s">
        <v>97</v>
      </c>
      <c r="B24" s="5" t="s">
        <v>182</v>
      </c>
      <c r="C24" s="6">
        <v>1010000</v>
      </c>
      <c r="D24" s="7">
        <v>0.2571</v>
      </c>
      <c r="E24" s="7">
        <v>0.1</v>
      </c>
      <c r="F24" s="7">
        <v>7.1400000000000005E-2</v>
      </c>
      <c r="G24" s="5">
        <v>70</v>
      </c>
      <c r="I24" s="5" t="b">
        <v>1</v>
      </c>
      <c r="J24" s="5" t="b">
        <v>1</v>
      </c>
      <c r="K24" s="5" t="b">
        <v>1</v>
      </c>
    </row>
    <row r="25" spans="1:11">
      <c r="A25" s="5" t="s">
        <v>97</v>
      </c>
      <c r="B25" s="5" t="s">
        <v>184</v>
      </c>
      <c r="C25" s="6">
        <v>1780000</v>
      </c>
      <c r="D25" s="7">
        <v>0.253</v>
      </c>
      <c r="E25" s="7">
        <v>9.64E-2</v>
      </c>
      <c r="F25" s="7">
        <v>6.0199999999999997E-2</v>
      </c>
      <c r="G25" s="5">
        <v>83</v>
      </c>
      <c r="I25" s="5" t="b">
        <v>1</v>
      </c>
      <c r="J25" s="5" t="b">
        <v>1</v>
      </c>
      <c r="K25" s="5" t="b">
        <v>1</v>
      </c>
    </row>
    <row r="26" spans="1:11">
      <c r="A26" s="5" t="s">
        <v>97</v>
      </c>
      <c r="B26" s="5" t="s">
        <v>711</v>
      </c>
      <c r="C26" s="6">
        <v>1800000</v>
      </c>
      <c r="D26" s="7">
        <v>0.26669999999999999</v>
      </c>
      <c r="E26" s="7">
        <v>0.1</v>
      </c>
      <c r="F26" s="7">
        <v>6.6699999999999995E-2</v>
      </c>
      <c r="G26" s="5">
        <v>90</v>
      </c>
      <c r="I26" s="5" t="b">
        <v>1</v>
      </c>
      <c r="J26" s="5" t="b">
        <v>1</v>
      </c>
      <c r="K26" s="5" t="b">
        <v>1</v>
      </c>
    </row>
    <row r="27" spans="1:11">
      <c r="A27" s="5" t="s">
        <v>97</v>
      </c>
      <c r="B27" s="5" t="s">
        <v>186</v>
      </c>
      <c r="C27" s="6">
        <v>1039700</v>
      </c>
      <c r="D27" s="7">
        <v>0.24099999999999999</v>
      </c>
      <c r="E27" s="7">
        <v>0.1084</v>
      </c>
      <c r="F27" s="7">
        <v>9.64E-2</v>
      </c>
      <c r="G27" s="5">
        <v>83</v>
      </c>
      <c r="I27" s="18" t="b">
        <v>1</v>
      </c>
      <c r="J27" s="5" t="b">
        <v>1</v>
      </c>
      <c r="K27" s="5" t="b">
        <v>1</v>
      </c>
    </row>
    <row r="28" spans="1:11">
      <c r="A28" s="5" t="s">
        <v>97</v>
      </c>
      <c r="B28" s="5" t="s">
        <v>187</v>
      </c>
      <c r="C28" s="6">
        <v>2000000</v>
      </c>
      <c r="D28" s="7">
        <v>0.2407</v>
      </c>
      <c r="E28" s="7">
        <v>9.2600000000000002E-2</v>
      </c>
      <c r="F28" s="7">
        <v>5.5599999999999997E-2</v>
      </c>
      <c r="G28" s="5">
        <v>54</v>
      </c>
      <c r="I28" s="5" t="b">
        <v>1</v>
      </c>
      <c r="J28" s="5" t="b">
        <v>1</v>
      </c>
      <c r="K28" s="5" t="b">
        <v>1</v>
      </c>
    </row>
    <row r="29" spans="1:11">
      <c r="A29" s="5" t="s">
        <v>97</v>
      </c>
      <c r="B29" s="5" t="s">
        <v>188</v>
      </c>
      <c r="C29" s="6">
        <v>2300000</v>
      </c>
      <c r="D29" s="7">
        <v>0.2485</v>
      </c>
      <c r="E29" s="7">
        <v>9.7000000000000017E-2</v>
      </c>
      <c r="F29" s="7">
        <v>4.24E-2</v>
      </c>
      <c r="G29" s="5">
        <v>165</v>
      </c>
      <c r="I29" s="5" t="b">
        <v>1</v>
      </c>
      <c r="J29" s="5" t="b">
        <v>1</v>
      </c>
      <c r="K29" s="14" t="b">
        <v>0</v>
      </c>
    </row>
    <row r="30" spans="1:11">
      <c r="A30" s="5" t="s">
        <v>97</v>
      </c>
      <c r="B30" s="5" t="s">
        <v>189</v>
      </c>
      <c r="C30" s="6">
        <v>1000000</v>
      </c>
      <c r="D30" s="7">
        <v>0.2545</v>
      </c>
      <c r="E30" s="7">
        <v>9.0899999999999995E-2</v>
      </c>
      <c r="F30" s="7">
        <v>5.45E-2</v>
      </c>
      <c r="G30" s="5">
        <v>55</v>
      </c>
      <c r="I30" s="5" t="b">
        <v>1</v>
      </c>
      <c r="J30" s="5" t="b">
        <v>0</v>
      </c>
      <c r="K30" s="5" t="b">
        <v>1</v>
      </c>
    </row>
    <row r="31" spans="1:11">
      <c r="A31" s="5" t="s">
        <v>97</v>
      </c>
      <c r="B31" s="5" t="s">
        <v>190</v>
      </c>
      <c r="C31" s="6">
        <v>1000000</v>
      </c>
      <c r="D31" s="7">
        <v>0.23530000000000001</v>
      </c>
      <c r="E31" s="7">
        <v>8.8200000000000001E-2</v>
      </c>
      <c r="F31" s="7">
        <v>5.8799999999999998E-2</v>
      </c>
      <c r="G31" s="5">
        <v>34</v>
      </c>
      <c r="I31" s="5" t="b">
        <v>1</v>
      </c>
      <c r="J31" s="5" t="b">
        <v>1</v>
      </c>
      <c r="K31" s="5" t="b">
        <v>1</v>
      </c>
    </row>
    <row r="32" spans="1:11">
      <c r="A32" s="5" t="s">
        <v>97</v>
      </c>
      <c r="B32" s="5" t="s">
        <v>191</v>
      </c>
      <c r="C32" s="6">
        <v>1200000</v>
      </c>
      <c r="D32" s="7">
        <v>0.2535</v>
      </c>
      <c r="E32" s="7">
        <v>9.8599999999999993E-2</v>
      </c>
      <c r="F32" s="7">
        <v>4.2299999999999997E-2</v>
      </c>
      <c r="G32" s="5">
        <v>71</v>
      </c>
      <c r="I32" s="5" t="b">
        <v>1</v>
      </c>
      <c r="J32" s="5" t="b">
        <v>1</v>
      </c>
      <c r="K32" s="5" t="b">
        <v>0</v>
      </c>
    </row>
    <row r="33" spans="1:11">
      <c r="A33" s="5" t="s">
        <v>97</v>
      </c>
      <c r="B33" s="5" t="s">
        <v>192</v>
      </c>
      <c r="C33" s="6">
        <v>300000</v>
      </c>
      <c r="D33" s="7">
        <v>0.26</v>
      </c>
      <c r="E33" s="7">
        <v>0.1</v>
      </c>
      <c r="F33" s="7">
        <v>0.06</v>
      </c>
      <c r="G33" s="5">
        <v>50</v>
      </c>
      <c r="I33" s="5" t="b">
        <v>1</v>
      </c>
      <c r="J33" s="5" t="b">
        <v>1</v>
      </c>
      <c r="K33" s="5" t="b">
        <v>1</v>
      </c>
    </row>
    <row r="34" spans="1:11">
      <c r="A34" s="5" t="s">
        <v>97</v>
      </c>
      <c r="B34" s="5" t="s">
        <v>193</v>
      </c>
      <c r="C34" s="6">
        <v>300000</v>
      </c>
      <c r="D34" s="7">
        <v>0.25</v>
      </c>
      <c r="E34" s="7">
        <v>0.1</v>
      </c>
      <c r="F34" s="7">
        <v>0.05</v>
      </c>
      <c r="G34" s="5">
        <v>20</v>
      </c>
      <c r="I34" s="5" t="b">
        <v>1</v>
      </c>
      <c r="J34" s="5" t="b">
        <v>1</v>
      </c>
      <c r="K34" s="5" t="b">
        <v>1</v>
      </c>
    </row>
    <row r="35" spans="1:11">
      <c r="A35" s="5" t="s">
        <v>97</v>
      </c>
      <c r="B35" s="5" t="s">
        <v>194</v>
      </c>
      <c r="C35" s="6">
        <v>260000</v>
      </c>
      <c r="D35" s="7">
        <v>0.30769999999999997</v>
      </c>
      <c r="E35" s="7">
        <v>0.15379999999999999</v>
      </c>
      <c r="F35" s="7">
        <v>7.6899999999999996E-2</v>
      </c>
      <c r="G35" s="5">
        <v>52</v>
      </c>
      <c r="I35" s="5" t="b">
        <v>1</v>
      </c>
      <c r="J35" s="5" t="b">
        <v>1</v>
      </c>
      <c r="K35" s="5" t="b">
        <v>1</v>
      </c>
    </row>
    <row r="36" spans="1:11">
      <c r="A36" s="5" t="s">
        <v>97</v>
      </c>
      <c r="B36" s="5" t="s">
        <v>195</v>
      </c>
      <c r="C36" s="6">
        <v>2160000</v>
      </c>
      <c r="D36" s="7">
        <v>0.25</v>
      </c>
      <c r="E36" s="7">
        <v>0.1</v>
      </c>
      <c r="F36" s="7">
        <v>0.05</v>
      </c>
      <c r="G36" s="5">
        <v>60</v>
      </c>
      <c r="I36" s="5" t="b">
        <v>1</v>
      </c>
      <c r="J36" s="5" t="b">
        <v>1</v>
      </c>
      <c r="K36" s="5" t="b">
        <v>1</v>
      </c>
    </row>
    <row r="37" spans="1:11">
      <c r="A37" s="5" t="s">
        <v>98</v>
      </c>
      <c r="B37" s="5" t="s">
        <v>196</v>
      </c>
      <c r="C37" s="6">
        <v>2116800</v>
      </c>
      <c r="D37" s="7">
        <v>0.25</v>
      </c>
      <c r="E37" s="7">
        <v>0.1</v>
      </c>
      <c r="F37" s="7">
        <v>0.05</v>
      </c>
      <c r="G37" s="5">
        <v>22</v>
      </c>
      <c r="I37" s="5" t="b">
        <v>1</v>
      </c>
      <c r="J37" s="5" t="b">
        <v>1</v>
      </c>
      <c r="K37" s="5" t="b">
        <v>1</v>
      </c>
    </row>
    <row r="38" spans="1:11">
      <c r="A38" s="5" t="s">
        <v>98</v>
      </c>
      <c r="B38" s="5" t="s">
        <v>198</v>
      </c>
      <c r="C38" s="6">
        <v>2400000</v>
      </c>
      <c r="D38" s="7">
        <v>0.2571</v>
      </c>
      <c r="E38" s="7">
        <v>0.1143</v>
      </c>
      <c r="F38" s="7">
        <v>8.5699999999999998E-2</v>
      </c>
      <c r="G38" s="5">
        <v>35</v>
      </c>
      <c r="I38" s="5" t="b">
        <v>1</v>
      </c>
      <c r="J38" s="5" t="b">
        <v>1</v>
      </c>
      <c r="K38" s="5" t="b">
        <v>1</v>
      </c>
    </row>
    <row r="39" spans="1:11">
      <c r="A39" s="5" t="s">
        <v>98</v>
      </c>
      <c r="B39" s="5" t="s">
        <v>199</v>
      </c>
      <c r="C39" s="6">
        <v>1050000</v>
      </c>
      <c r="D39" s="7">
        <v>0.25</v>
      </c>
      <c r="E39" s="7">
        <v>0.1</v>
      </c>
      <c r="F39" s="7">
        <v>0.05</v>
      </c>
      <c r="G39" s="5">
        <v>35</v>
      </c>
      <c r="I39" s="5" t="b">
        <v>1</v>
      </c>
      <c r="J39" s="5" t="b">
        <v>1</v>
      </c>
      <c r="K39" s="5" t="b">
        <v>1</v>
      </c>
    </row>
    <row r="40" spans="1:11">
      <c r="A40" s="5" t="s">
        <v>98</v>
      </c>
      <c r="B40" s="5" t="s">
        <v>200</v>
      </c>
      <c r="C40" s="6">
        <v>8200000</v>
      </c>
      <c r="D40" s="7">
        <v>0.25</v>
      </c>
      <c r="E40" s="7">
        <v>0.1</v>
      </c>
      <c r="F40" s="7">
        <v>0.05</v>
      </c>
      <c r="G40" s="5">
        <v>410</v>
      </c>
      <c r="I40" s="5" t="b">
        <v>1</v>
      </c>
      <c r="J40" s="5" t="b">
        <v>1</v>
      </c>
      <c r="K40" s="5" t="b">
        <v>1</v>
      </c>
    </row>
    <row r="41" spans="1:11">
      <c r="A41" s="5" t="s">
        <v>98</v>
      </c>
      <c r="B41" s="5" t="s">
        <v>712</v>
      </c>
      <c r="C41" s="6">
        <v>400000</v>
      </c>
      <c r="D41" s="7">
        <v>0.25</v>
      </c>
      <c r="E41" s="7">
        <v>0.1</v>
      </c>
      <c r="F41" s="7">
        <v>0.05</v>
      </c>
      <c r="G41" s="5">
        <v>20</v>
      </c>
      <c r="I41" s="5" t="b">
        <v>1</v>
      </c>
      <c r="J41" s="5" t="b">
        <v>1</v>
      </c>
      <c r="K41" s="5" t="b">
        <v>1</v>
      </c>
    </row>
    <row r="42" spans="1:11">
      <c r="A42" s="5" t="s">
        <v>98</v>
      </c>
      <c r="B42" s="5" t="s">
        <v>202</v>
      </c>
      <c r="C42" s="6">
        <v>2100000</v>
      </c>
      <c r="D42" s="7">
        <v>0.25</v>
      </c>
      <c r="E42" s="7">
        <v>0.1</v>
      </c>
      <c r="F42" s="7">
        <v>0.05</v>
      </c>
      <c r="G42" s="5">
        <v>210</v>
      </c>
      <c r="I42" s="5" t="b">
        <v>1</v>
      </c>
      <c r="J42" s="5" t="b">
        <v>1</v>
      </c>
      <c r="K42" s="5" t="b">
        <v>1</v>
      </c>
    </row>
    <row r="43" spans="1:11">
      <c r="A43" s="5" t="s">
        <v>99</v>
      </c>
      <c r="B43" s="5" t="s">
        <v>203</v>
      </c>
      <c r="C43" s="6">
        <v>2000000</v>
      </c>
      <c r="D43" s="7">
        <v>0.25</v>
      </c>
      <c r="E43" s="7">
        <v>0.25</v>
      </c>
      <c r="F43" s="7">
        <v>0.05</v>
      </c>
      <c r="G43" s="5">
        <v>52</v>
      </c>
      <c r="I43" s="5" t="b">
        <v>1</v>
      </c>
      <c r="J43" s="5" t="b">
        <v>1</v>
      </c>
      <c r="K43" s="5" t="b">
        <v>1</v>
      </c>
    </row>
    <row r="44" spans="1:11">
      <c r="A44" s="5" t="s">
        <v>99</v>
      </c>
      <c r="B44" s="5" t="s">
        <v>205</v>
      </c>
      <c r="C44" s="6">
        <v>2000000</v>
      </c>
      <c r="D44" s="7">
        <v>0.25</v>
      </c>
      <c r="E44" s="7">
        <v>0.25</v>
      </c>
      <c r="F44" s="7">
        <v>0.05</v>
      </c>
      <c r="G44" s="5">
        <v>44</v>
      </c>
      <c r="I44" s="5" t="b">
        <v>1</v>
      </c>
      <c r="J44" s="5" t="b">
        <v>1</v>
      </c>
      <c r="K44" s="5" t="b">
        <v>1</v>
      </c>
    </row>
    <row r="45" spans="1:11">
      <c r="A45" s="5" t="s">
        <v>99</v>
      </c>
      <c r="B45" s="5" t="s">
        <v>206</v>
      </c>
      <c r="C45" s="6">
        <v>2000000</v>
      </c>
      <c r="D45" s="7">
        <v>0.25</v>
      </c>
      <c r="E45" s="7">
        <v>0.25</v>
      </c>
      <c r="F45" s="7">
        <v>0.05</v>
      </c>
      <c r="G45" s="5">
        <v>32</v>
      </c>
      <c r="I45" s="5" t="b">
        <v>1</v>
      </c>
      <c r="J45" s="5" t="b">
        <v>1</v>
      </c>
      <c r="K45" s="5" t="b">
        <v>1</v>
      </c>
    </row>
    <row r="46" spans="1:11">
      <c r="A46" s="5" t="s">
        <v>99</v>
      </c>
      <c r="B46" s="5" t="s">
        <v>207</v>
      </c>
      <c r="C46" s="6">
        <v>2000000</v>
      </c>
      <c r="D46" s="7">
        <v>0.1905</v>
      </c>
      <c r="E46" s="7">
        <v>0.1905</v>
      </c>
      <c r="F46" s="7">
        <v>0.16669999999999999</v>
      </c>
      <c r="G46" s="5">
        <v>42</v>
      </c>
      <c r="I46" s="14" t="b">
        <v>0</v>
      </c>
      <c r="J46" s="5" t="b">
        <v>1</v>
      </c>
      <c r="K46" s="5" t="b">
        <v>1</v>
      </c>
    </row>
    <row r="47" spans="1:11">
      <c r="A47" s="5" t="s">
        <v>99</v>
      </c>
      <c r="B47" s="5" t="s">
        <v>208</v>
      </c>
      <c r="C47" s="6">
        <v>2000000</v>
      </c>
      <c r="D47" s="7">
        <v>0.25</v>
      </c>
      <c r="E47" s="7">
        <v>0.25</v>
      </c>
      <c r="F47" s="7">
        <v>0.05</v>
      </c>
      <c r="G47" s="5">
        <v>30</v>
      </c>
      <c r="I47" s="5" t="b">
        <v>1</v>
      </c>
      <c r="J47" s="5" t="b">
        <v>1</v>
      </c>
      <c r="K47" s="5" t="b">
        <v>1</v>
      </c>
    </row>
    <row r="48" spans="1:11">
      <c r="A48" s="5" t="s">
        <v>99</v>
      </c>
      <c r="B48" s="5" t="s">
        <v>209</v>
      </c>
      <c r="C48" s="6">
        <v>2000000</v>
      </c>
      <c r="D48" s="7">
        <v>0.25</v>
      </c>
      <c r="E48" s="7">
        <v>0.25</v>
      </c>
      <c r="F48" s="7">
        <v>0.05</v>
      </c>
      <c r="G48" s="5">
        <v>42</v>
      </c>
      <c r="I48" s="5" t="b">
        <v>1</v>
      </c>
      <c r="J48" s="5" t="b">
        <v>1</v>
      </c>
      <c r="K48" s="5" t="b">
        <v>1</v>
      </c>
    </row>
    <row r="49" spans="1:11">
      <c r="A49" s="5" t="s">
        <v>99</v>
      </c>
      <c r="B49" s="5" t="s">
        <v>210</v>
      </c>
      <c r="C49" s="6">
        <v>1485000</v>
      </c>
      <c r="D49" s="7">
        <v>0.25</v>
      </c>
      <c r="E49" s="7">
        <v>0.25</v>
      </c>
      <c r="F49" s="7">
        <v>0.05</v>
      </c>
      <c r="G49" s="5">
        <v>30</v>
      </c>
      <c r="I49" s="5" t="b">
        <v>1</v>
      </c>
      <c r="J49" s="5" t="b">
        <v>1</v>
      </c>
      <c r="K49" s="5" t="b">
        <v>1</v>
      </c>
    </row>
    <row r="50" spans="1:11">
      <c r="A50" s="5" t="s">
        <v>99</v>
      </c>
      <c r="B50" s="5" t="s">
        <v>211</v>
      </c>
      <c r="C50" s="6">
        <v>2000000</v>
      </c>
      <c r="D50" s="7">
        <v>0.25</v>
      </c>
      <c r="E50" s="7">
        <v>0.25</v>
      </c>
      <c r="F50" s="7">
        <v>0.05</v>
      </c>
      <c r="G50" s="5">
        <v>38</v>
      </c>
      <c r="I50" s="5" t="b">
        <v>1</v>
      </c>
      <c r="J50" s="5" t="b">
        <v>1</v>
      </c>
      <c r="K50" s="5" t="b">
        <v>1</v>
      </c>
    </row>
    <row r="51" spans="1:11">
      <c r="A51" s="5" t="s">
        <v>99</v>
      </c>
      <c r="B51" s="5" t="s">
        <v>212</v>
      </c>
      <c r="C51" s="6">
        <v>1413000</v>
      </c>
      <c r="D51" s="7">
        <v>1</v>
      </c>
      <c r="E51" s="7">
        <v>0</v>
      </c>
      <c r="F51" s="7">
        <v>0.25</v>
      </c>
      <c r="G51" s="5">
        <v>44</v>
      </c>
      <c r="H51" s="5" t="s">
        <v>213</v>
      </c>
      <c r="I51" s="5" t="b">
        <v>1</v>
      </c>
      <c r="J51" s="5" t="b">
        <v>1</v>
      </c>
      <c r="K51" s="5" t="b">
        <v>1</v>
      </c>
    </row>
    <row r="52" spans="1:11">
      <c r="A52" s="5" t="s">
        <v>99</v>
      </c>
      <c r="B52" s="5" t="s">
        <v>214</v>
      </c>
      <c r="C52" s="6">
        <v>1413000</v>
      </c>
      <c r="D52" s="7">
        <v>0</v>
      </c>
      <c r="E52" s="7">
        <v>1</v>
      </c>
      <c r="F52" s="7">
        <v>0.125</v>
      </c>
      <c r="G52" s="5">
        <v>40</v>
      </c>
      <c r="H52" s="5" t="s">
        <v>168</v>
      </c>
      <c r="I52" s="5" t="b">
        <v>1</v>
      </c>
      <c r="J52" s="5" t="b">
        <v>1</v>
      </c>
      <c r="K52" s="5" t="b">
        <v>1</v>
      </c>
    </row>
    <row r="53" spans="1:11">
      <c r="A53" s="5" t="s">
        <v>99</v>
      </c>
      <c r="B53" s="5" t="s">
        <v>215</v>
      </c>
      <c r="C53" s="6">
        <v>1500000</v>
      </c>
      <c r="D53" s="7">
        <v>0.25</v>
      </c>
      <c r="E53" s="7">
        <v>0.25</v>
      </c>
      <c r="F53" s="7">
        <v>0.05</v>
      </c>
      <c r="G53" s="5">
        <v>40</v>
      </c>
      <c r="I53" s="5" t="b">
        <v>1</v>
      </c>
      <c r="J53" s="5" t="b">
        <v>1</v>
      </c>
      <c r="K53" s="5" t="b">
        <v>1</v>
      </c>
    </row>
    <row r="54" spans="1:11">
      <c r="A54" s="5" t="s">
        <v>99</v>
      </c>
      <c r="B54" s="5" t="s">
        <v>216</v>
      </c>
      <c r="C54" s="6">
        <v>6500000</v>
      </c>
      <c r="D54" s="7">
        <v>0.25</v>
      </c>
      <c r="E54" s="7">
        <v>0.25</v>
      </c>
      <c r="F54" s="7">
        <v>0.05</v>
      </c>
      <c r="G54" s="5">
        <v>106</v>
      </c>
      <c r="I54" s="5" t="b">
        <v>1</v>
      </c>
      <c r="J54" s="5" t="b">
        <v>1</v>
      </c>
      <c r="K54" s="5" t="b">
        <v>1</v>
      </c>
    </row>
    <row r="55" spans="1:11">
      <c r="A55" s="5" t="s">
        <v>99</v>
      </c>
      <c r="B55" s="5" t="s">
        <v>217</v>
      </c>
      <c r="C55" s="6">
        <v>930000</v>
      </c>
      <c r="D55" s="7">
        <v>0.25</v>
      </c>
      <c r="E55" s="7">
        <v>0.25</v>
      </c>
      <c r="F55" s="7">
        <v>0.05</v>
      </c>
      <c r="G55" s="5">
        <v>18</v>
      </c>
      <c r="I55" s="5" t="b">
        <v>1</v>
      </c>
      <c r="J55" s="5" t="b">
        <v>1</v>
      </c>
      <c r="K55" s="5" t="b">
        <v>1</v>
      </c>
    </row>
    <row r="56" spans="1:11">
      <c r="A56" s="5" t="s">
        <v>99</v>
      </c>
      <c r="B56" s="5" t="s">
        <v>218</v>
      </c>
      <c r="C56" s="6">
        <v>3000000</v>
      </c>
      <c r="D56" s="7">
        <v>0.24</v>
      </c>
      <c r="E56" s="7">
        <v>0.24</v>
      </c>
      <c r="F56" s="7">
        <v>0.12</v>
      </c>
      <c r="G56" s="5">
        <v>25</v>
      </c>
      <c r="I56" s="5" t="b">
        <v>1</v>
      </c>
      <c r="J56" s="5" t="b">
        <v>1</v>
      </c>
      <c r="K56" s="5" t="b">
        <v>1</v>
      </c>
    </row>
    <row r="57" spans="1:11">
      <c r="A57" s="5" t="s">
        <v>99</v>
      </c>
      <c r="B57" s="5" t="s">
        <v>219</v>
      </c>
      <c r="C57" s="6">
        <v>150000</v>
      </c>
      <c r="D57" s="7">
        <v>0.25</v>
      </c>
      <c r="E57" s="7">
        <v>0.25</v>
      </c>
      <c r="F57" s="7">
        <v>0.35699999999999998</v>
      </c>
      <c r="G57" s="5">
        <v>28</v>
      </c>
      <c r="I57" s="5" t="b">
        <v>1</v>
      </c>
      <c r="J57" s="5" t="b">
        <v>1</v>
      </c>
      <c r="K57" s="5" t="b">
        <v>1</v>
      </c>
    </row>
    <row r="58" spans="1:11">
      <c r="A58" s="5" t="s">
        <v>99</v>
      </c>
      <c r="B58" s="5" t="s">
        <v>220</v>
      </c>
      <c r="C58" s="6">
        <v>420000</v>
      </c>
      <c r="D58" s="7">
        <v>0.28000000000000003</v>
      </c>
      <c r="E58" s="7">
        <v>0.28000000000000003</v>
      </c>
      <c r="F58" s="7">
        <v>7.0000000000000007E-2</v>
      </c>
      <c r="G58" s="5">
        <v>14</v>
      </c>
      <c r="I58" s="5" t="b">
        <v>1</v>
      </c>
      <c r="J58" s="5" t="b">
        <v>1</v>
      </c>
      <c r="K58" s="5" t="b">
        <v>1</v>
      </c>
    </row>
    <row r="59" spans="1:11">
      <c r="A59" s="5" t="s">
        <v>99</v>
      </c>
      <c r="B59" s="5" t="s">
        <v>221</v>
      </c>
      <c r="C59" s="6">
        <v>384988.4</v>
      </c>
      <c r="D59" s="7">
        <v>0</v>
      </c>
      <c r="E59" s="7">
        <v>0.5</v>
      </c>
      <c r="F59" s="7">
        <v>0</v>
      </c>
      <c r="G59" s="5">
        <v>2</v>
      </c>
      <c r="I59" s="5" t="b">
        <v>0</v>
      </c>
      <c r="J59" s="5" t="b">
        <v>1</v>
      </c>
      <c r="K59" s="5" t="b">
        <v>0</v>
      </c>
    </row>
    <row r="60" spans="1:11">
      <c r="A60" s="5" t="s">
        <v>99</v>
      </c>
      <c r="B60" s="5" t="s">
        <v>222</v>
      </c>
      <c r="C60" s="6">
        <v>1400000</v>
      </c>
      <c r="D60" s="7">
        <v>0.25</v>
      </c>
      <c r="E60" s="7">
        <v>0.25</v>
      </c>
      <c r="F60" s="7">
        <v>0.05</v>
      </c>
      <c r="G60" s="5">
        <v>40</v>
      </c>
      <c r="I60" s="5" t="b">
        <v>1</v>
      </c>
      <c r="J60" s="5" t="b">
        <v>1</v>
      </c>
      <c r="K60" s="5" t="b">
        <v>1</v>
      </c>
    </row>
    <row r="61" spans="1:11">
      <c r="A61" s="5" t="s">
        <v>54</v>
      </c>
      <c r="B61" s="5" t="s">
        <v>223</v>
      </c>
      <c r="C61" s="6">
        <v>250000</v>
      </c>
      <c r="D61" s="7">
        <v>0</v>
      </c>
      <c r="E61" s="7">
        <v>0</v>
      </c>
      <c r="F61" s="7">
        <v>0</v>
      </c>
      <c r="G61" s="5">
        <v>5</v>
      </c>
      <c r="I61" s="5" t="b">
        <v>0</v>
      </c>
      <c r="J61" s="5" t="b">
        <v>1</v>
      </c>
      <c r="K61" s="5" t="b">
        <v>1</v>
      </c>
    </row>
    <row r="62" spans="1:11">
      <c r="A62" s="5" t="s">
        <v>54</v>
      </c>
      <c r="B62" s="5" t="s">
        <v>225</v>
      </c>
      <c r="C62" s="6">
        <v>800000</v>
      </c>
      <c r="D62" s="7">
        <v>0.25</v>
      </c>
      <c r="E62" s="7">
        <v>0.1</v>
      </c>
      <c r="F62" s="7">
        <v>0.05</v>
      </c>
      <c r="G62" s="5">
        <v>10</v>
      </c>
      <c r="I62" s="5" t="b">
        <v>1</v>
      </c>
      <c r="J62" s="5" t="b">
        <v>1</v>
      </c>
      <c r="K62" s="5" t="b">
        <v>1</v>
      </c>
    </row>
    <row r="63" spans="1:11">
      <c r="A63" s="5" t="s">
        <v>54</v>
      </c>
      <c r="B63" s="5" t="s">
        <v>226</v>
      </c>
      <c r="C63" s="6">
        <v>2420000</v>
      </c>
      <c r="D63" s="7">
        <v>0.25</v>
      </c>
      <c r="E63" s="7">
        <v>0.1</v>
      </c>
      <c r="F63" s="7">
        <v>0.05</v>
      </c>
      <c r="G63" s="5">
        <v>60</v>
      </c>
      <c r="I63" s="5" t="b">
        <v>1</v>
      </c>
      <c r="J63" s="5" t="b">
        <v>1</v>
      </c>
      <c r="K63" s="5" t="b">
        <v>1</v>
      </c>
    </row>
    <row r="64" spans="1:11">
      <c r="A64" s="5" t="s">
        <v>54</v>
      </c>
      <c r="B64" s="5" t="s">
        <v>227</v>
      </c>
      <c r="C64" s="6">
        <v>330085.32</v>
      </c>
      <c r="D64" s="7">
        <v>0.25</v>
      </c>
      <c r="E64" s="7">
        <v>0.1</v>
      </c>
      <c r="F64" s="7">
        <v>0.05</v>
      </c>
      <c r="G64" s="5">
        <v>12</v>
      </c>
      <c r="I64" s="5" t="b">
        <v>1</v>
      </c>
      <c r="J64" s="5" t="b">
        <v>1</v>
      </c>
      <c r="K64" s="5" t="b">
        <v>1</v>
      </c>
    </row>
    <row r="65" spans="1:11">
      <c r="A65" s="5" t="s">
        <v>100</v>
      </c>
      <c r="B65" s="5" t="s">
        <v>228</v>
      </c>
      <c r="C65" s="6">
        <v>1200000</v>
      </c>
      <c r="D65" s="7">
        <v>0.5</v>
      </c>
      <c r="E65" s="7">
        <v>0.1</v>
      </c>
      <c r="F65" s="7">
        <v>0.05</v>
      </c>
      <c r="G65" s="5">
        <v>20</v>
      </c>
      <c r="I65" s="5" t="b">
        <v>1</v>
      </c>
      <c r="J65" s="5" t="b">
        <v>1</v>
      </c>
      <c r="K65" s="5" t="b">
        <v>1</v>
      </c>
    </row>
    <row r="66" spans="1:11">
      <c r="A66" s="5" t="s">
        <v>100</v>
      </c>
      <c r="B66" s="5" t="s">
        <v>230</v>
      </c>
      <c r="C66" s="6">
        <v>1980000</v>
      </c>
      <c r="D66" s="7">
        <v>0.5</v>
      </c>
      <c r="E66" s="7">
        <v>0.5</v>
      </c>
      <c r="F66" s="7">
        <v>0.05</v>
      </c>
      <c r="G66" s="5">
        <v>66</v>
      </c>
      <c r="I66" s="5" t="b">
        <v>1</v>
      </c>
      <c r="J66" s="5" t="b">
        <v>1</v>
      </c>
      <c r="K66" s="5" t="b">
        <v>1</v>
      </c>
    </row>
    <row r="67" spans="1:11">
      <c r="A67" s="5" t="s">
        <v>100</v>
      </c>
      <c r="B67" s="5" t="s">
        <v>231</v>
      </c>
      <c r="C67" s="6">
        <v>4220000</v>
      </c>
      <c r="D67" s="7">
        <v>0.5</v>
      </c>
      <c r="E67" s="7">
        <v>0.1</v>
      </c>
      <c r="F67" s="7">
        <v>0.05</v>
      </c>
      <c r="G67" s="5">
        <v>74</v>
      </c>
      <c r="I67" s="5" t="b">
        <v>1</v>
      </c>
      <c r="J67" s="5" t="b">
        <v>1</v>
      </c>
      <c r="K67" s="5" t="b">
        <v>1</v>
      </c>
    </row>
    <row r="68" spans="1:11">
      <c r="A68" s="5" t="s">
        <v>100</v>
      </c>
      <c r="B68" s="5" t="s">
        <v>232</v>
      </c>
      <c r="C68" s="6">
        <v>3840000</v>
      </c>
      <c r="D68" s="7">
        <v>0.5</v>
      </c>
      <c r="E68" s="7">
        <v>0.1</v>
      </c>
      <c r="F68" s="7">
        <v>0.05</v>
      </c>
      <c r="G68" s="5">
        <v>48</v>
      </c>
      <c r="I68" s="5" t="b">
        <v>1</v>
      </c>
      <c r="J68" s="5" t="b">
        <v>1</v>
      </c>
      <c r="K68" s="5" t="b">
        <v>1</v>
      </c>
    </row>
    <row r="69" spans="1:11">
      <c r="A69" s="5" t="s">
        <v>100</v>
      </c>
      <c r="B69" s="5" t="s">
        <v>233</v>
      </c>
      <c r="C69" s="6">
        <v>1080000</v>
      </c>
      <c r="D69" s="7">
        <v>0.5</v>
      </c>
      <c r="E69" s="7">
        <v>0.1</v>
      </c>
      <c r="F69" s="7">
        <v>0.05</v>
      </c>
      <c r="G69" s="5">
        <v>27</v>
      </c>
      <c r="I69" s="5" t="b">
        <v>1</v>
      </c>
      <c r="J69" s="5" t="b">
        <v>1</v>
      </c>
      <c r="K69" s="5" t="b">
        <v>1</v>
      </c>
    </row>
    <row r="70" spans="1:11">
      <c r="A70" s="5" t="s">
        <v>100</v>
      </c>
      <c r="B70" s="5" t="s">
        <v>234</v>
      </c>
      <c r="C70" s="6">
        <v>2100000</v>
      </c>
      <c r="D70" s="7">
        <v>0.5</v>
      </c>
      <c r="E70" s="7">
        <v>0.1</v>
      </c>
      <c r="F70" s="7">
        <v>0.05</v>
      </c>
      <c r="G70" s="5">
        <v>7</v>
      </c>
      <c r="I70" s="5" t="b">
        <v>1</v>
      </c>
      <c r="J70" s="5" t="b">
        <v>1</v>
      </c>
      <c r="K70" s="5" t="b">
        <v>1</v>
      </c>
    </row>
    <row r="71" spans="1:11">
      <c r="A71" s="5" t="s">
        <v>100</v>
      </c>
      <c r="B71" s="5" t="s">
        <v>235</v>
      </c>
      <c r="C71" s="6">
        <v>7250000</v>
      </c>
      <c r="D71" s="7">
        <v>0.5</v>
      </c>
      <c r="E71" s="7">
        <v>0.1</v>
      </c>
      <c r="F71" s="7">
        <v>0.05</v>
      </c>
      <c r="G71" s="5">
        <v>113</v>
      </c>
      <c r="I71" s="5" t="b">
        <v>1</v>
      </c>
      <c r="J71" s="5" t="b">
        <v>1</v>
      </c>
      <c r="K71" s="5" t="b">
        <v>1</v>
      </c>
    </row>
    <row r="72" spans="1:11">
      <c r="A72" s="5" t="s">
        <v>100</v>
      </c>
      <c r="B72" s="5" t="s">
        <v>236</v>
      </c>
      <c r="C72" s="6">
        <v>840000</v>
      </c>
      <c r="D72" s="7">
        <v>0.5</v>
      </c>
      <c r="E72" s="7">
        <v>0.1</v>
      </c>
      <c r="F72" s="7">
        <v>0.05</v>
      </c>
      <c r="G72" s="5">
        <v>36</v>
      </c>
      <c r="I72" s="5" t="b">
        <v>1</v>
      </c>
      <c r="J72" s="5" t="b">
        <v>1</v>
      </c>
      <c r="K72" s="5" t="b">
        <v>1</v>
      </c>
    </row>
    <row r="73" spans="1:11">
      <c r="A73" s="5" t="s">
        <v>100</v>
      </c>
      <c r="B73" s="5" t="s">
        <v>237</v>
      </c>
      <c r="C73" s="6">
        <v>780000</v>
      </c>
      <c r="D73" s="7">
        <v>0.5</v>
      </c>
      <c r="E73" s="7">
        <v>0.1</v>
      </c>
      <c r="F73" s="7">
        <v>0.05</v>
      </c>
      <c r="G73" s="5">
        <v>12</v>
      </c>
      <c r="I73" s="5" t="b">
        <v>1</v>
      </c>
      <c r="J73" s="5" t="b">
        <v>1</v>
      </c>
      <c r="K73" s="5" t="b">
        <v>1</v>
      </c>
    </row>
    <row r="74" spans="1:11">
      <c r="A74" s="5" t="s">
        <v>100</v>
      </c>
      <c r="B74" s="5" t="s">
        <v>238</v>
      </c>
      <c r="C74" s="6">
        <v>6900000</v>
      </c>
      <c r="D74" s="7">
        <v>0.5</v>
      </c>
      <c r="E74" s="7">
        <v>0.1</v>
      </c>
      <c r="F74" s="7">
        <v>0.05</v>
      </c>
      <c r="G74" s="5">
        <v>29</v>
      </c>
      <c r="I74" s="5" t="b">
        <v>1</v>
      </c>
      <c r="J74" s="5" t="b">
        <v>1</v>
      </c>
      <c r="K74" s="5" t="b">
        <v>1</v>
      </c>
    </row>
    <row r="75" spans="1:11">
      <c r="A75" s="5" t="s">
        <v>100</v>
      </c>
      <c r="B75" s="5" t="s">
        <v>239</v>
      </c>
      <c r="C75" s="6">
        <v>7200000</v>
      </c>
      <c r="D75" s="7">
        <v>0.5</v>
      </c>
      <c r="E75" s="7">
        <v>0.1</v>
      </c>
      <c r="F75" s="7">
        <v>0.05</v>
      </c>
      <c r="G75" s="5">
        <v>75</v>
      </c>
      <c r="I75" s="5" t="b">
        <v>1</v>
      </c>
      <c r="J75" s="5" t="b">
        <v>1</v>
      </c>
      <c r="K75" s="5" t="b">
        <v>1</v>
      </c>
    </row>
    <row r="76" spans="1:11">
      <c r="A76" s="5" t="s">
        <v>100</v>
      </c>
      <c r="B76" s="5" t="s">
        <v>240</v>
      </c>
      <c r="C76" s="6">
        <v>3000000</v>
      </c>
      <c r="D76" s="7">
        <v>0.5</v>
      </c>
      <c r="E76" s="7">
        <v>0.17</v>
      </c>
      <c r="F76" s="7">
        <v>0.08</v>
      </c>
      <c r="G76" s="5">
        <v>12</v>
      </c>
      <c r="I76" s="5" t="b">
        <v>1</v>
      </c>
      <c r="J76" s="5" t="b">
        <v>1</v>
      </c>
      <c r="K76" s="5" t="b">
        <v>1</v>
      </c>
    </row>
    <row r="77" spans="1:11">
      <c r="A77" s="5" t="s">
        <v>100</v>
      </c>
      <c r="B77" s="5" t="s">
        <v>241</v>
      </c>
      <c r="C77" s="6">
        <v>500000</v>
      </c>
      <c r="D77" s="7">
        <v>0.5</v>
      </c>
      <c r="E77" s="7">
        <v>0.1</v>
      </c>
      <c r="F77" s="7">
        <v>0.1</v>
      </c>
      <c r="G77" s="5">
        <v>10</v>
      </c>
      <c r="I77" s="5" t="b">
        <v>1</v>
      </c>
      <c r="J77" s="5" t="b">
        <v>1</v>
      </c>
      <c r="K77" s="5" t="b">
        <v>1</v>
      </c>
    </row>
    <row r="78" spans="1:11">
      <c r="A78" s="5" t="s">
        <v>100</v>
      </c>
      <c r="B78" s="5" t="s">
        <v>242</v>
      </c>
      <c r="C78" s="6">
        <v>1050000</v>
      </c>
      <c r="D78" s="7">
        <v>0.5</v>
      </c>
      <c r="E78" s="7">
        <v>0.1</v>
      </c>
      <c r="F78" s="7">
        <v>0.05</v>
      </c>
      <c r="G78" s="5">
        <v>21</v>
      </c>
      <c r="I78" s="5" t="b">
        <v>1</v>
      </c>
      <c r="J78" s="5" t="b">
        <v>1</v>
      </c>
      <c r="K78" s="5" t="b">
        <v>1</v>
      </c>
    </row>
    <row r="79" spans="1:11">
      <c r="A79" s="5" t="s">
        <v>100</v>
      </c>
      <c r="B79" s="5" t="s">
        <v>243</v>
      </c>
      <c r="C79" s="6">
        <v>1200000</v>
      </c>
      <c r="D79" s="7">
        <v>0.5</v>
      </c>
      <c r="E79" s="7">
        <v>0.12</v>
      </c>
      <c r="F79" s="7">
        <v>0</v>
      </c>
      <c r="G79" s="5">
        <v>8</v>
      </c>
      <c r="I79" s="5" t="b">
        <v>1</v>
      </c>
      <c r="J79" s="5" t="b">
        <v>1</v>
      </c>
      <c r="K79" s="5" t="b">
        <v>1</v>
      </c>
    </row>
    <row r="80" spans="1:11">
      <c r="A80" s="5" t="s">
        <v>100</v>
      </c>
      <c r="B80" s="5" t="s">
        <v>244</v>
      </c>
      <c r="C80" s="6">
        <v>1250000</v>
      </c>
      <c r="D80" s="7">
        <v>0.4</v>
      </c>
      <c r="E80" s="7">
        <v>0.2</v>
      </c>
      <c r="F80" s="7">
        <v>0</v>
      </c>
      <c r="G80" s="5">
        <v>5</v>
      </c>
      <c r="I80" s="5" t="b">
        <v>1</v>
      </c>
      <c r="J80" s="5" t="b">
        <v>1</v>
      </c>
      <c r="K80" s="5" t="b">
        <v>1</v>
      </c>
    </row>
    <row r="81" spans="1:11">
      <c r="A81" s="5" t="s">
        <v>100</v>
      </c>
      <c r="B81" s="5" t="s">
        <v>245</v>
      </c>
      <c r="C81" s="6">
        <v>1700000</v>
      </c>
      <c r="D81" s="7">
        <v>0.55000000000000004</v>
      </c>
      <c r="E81" s="7">
        <v>0.15</v>
      </c>
      <c r="F81" s="7">
        <v>0.05</v>
      </c>
      <c r="G81" s="5">
        <v>40</v>
      </c>
      <c r="I81" s="5" t="b">
        <v>1</v>
      </c>
      <c r="J81" s="5" t="b">
        <v>1</v>
      </c>
      <c r="K81" s="5" t="b">
        <v>1</v>
      </c>
    </row>
    <row r="82" spans="1:11">
      <c r="A82" s="5" t="s">
        <v>100</v>
      </c>
      <c r="B82" s="5" t="s">
        <v>246</v>
      </c>
      <c r="C82" s="6">
        <v>5150000</v>
      </c>
      <c r="D82" s="7">
        <v>0.5</v>
      </c>
      <c r="E82" s="7">
        <v>0.1</v>
      </c>
      <c r="F82" s="7">
        <v>0.05</v>
      </c>
      <c r="G82" s="5">
        <v>43</v>
      </c>
      <c r="I82" s="5" t="b">
        <v>1</v>
      </c>
      <c r="J82" s="5" t="b">
        <v>1</v>
      </c>
      <c r="K82" s="5" t="b">
        <v>1</v>
      </c>
    </row>
    <row r="83" spans="1:11">
      <c r="A83" s="5" t="s">
        <v>100</v>
      </c>
      <c r="B83" s="5" t="s">
        <v>247</v>
      </c>
      <c r="C83" s="6">
        <v>900000</v>
      </c>
      <c r="D83" s="7">
        <v>0.5</v>
      </c>
      <c r="E83" s="7">
        <v>0.1</v>
      </c>
      <c r="F83" s="7">
        <v>0.05</v>
      </c>
      <c r="G83" s="5">
        <v>20</v>
      </c>
      <c r="I83" s="5" t="b">
        <v>1</v>
      </c>
      <c r="J83" s="5" t="b">
        <v>1</v>
      </c>
      <c r="K83" s="5" t="b">
        <v>1</v>
      </c>
    </row>
    <row r="84" spans="1:11">
      <c r="A84" s="5" t="s">
        <v>100</v>
      </c>
      <c r="B84" s="5" t="s">
        <v>248</v>
      </c>
      <c r="C84" s="6">
        <v>1750000</v>
      </c>
      <c r="D84" s="7">
        <v>0.5</v>
      </c>
      <c r="E84" s="7">
        <v>0.1</v>
      </c>
      <c r="F84" s="7">
        <v>0.05</v>
      </c>
      <c r="G84" s="5">
        <v>35</v>
      </c>
      <c r="I84" s="5" t="b">
        <v>1</v>
      </c>
      <c r="J84" s="5" t="b">
        <v>1</v>
      </c>
      <c r="K84" s="5" t="b">
        <v>1</v>
      </c>
    </row>
    <row r="85" spans="1:11">
      <c r="A85" s="5" t="s">
        <v>100</v>
      </c>
      <c r="B85" s="5" t="s">
        <v>249</v>
      </c>
      <c r="C85" s="6">
        <v>1000000</v>
      </c>
      <c r="D85" s="7">
        <v>0.5</v>
      </c>
      <c r="E85" s="7">
        <v>0.1</v>
      </c>
      <c r="F85" s="7">
        <v>0.05</v>
      </c>
      <c r="G85" s="5">
        <v>33</v>
      </c>
      <c r="I85" s="5" t="b">
        <v>1</v>
      </c>
      <c r="J85" s="5" t="b">
        <v>1</v>
      </c>
      <c r="K85" s="5" t="b">
        <v>1</v>
      </c>
    </row>
    <row r="86" spans="1:11">
      <c r="A86" s="5" t="s">
        <v>100</v>
      </c>
      <c r="B86" s="5" t="s">
        <v>250</v>
      </c>
      <c r="C86" s="6">
        <v>3000000</v>
      </c>
      <c r="D86" s="7">
        <v>0.5</v>
      </c>
      <c r="E86" s="7">
        <v>0.1</v>
      </c>
      <c r="F86" s="7">
        <v>0.05</v>
      </c>
      <c r="G86" s="5">
        <v>12</v>
      </c>
      <c r="I86" s="5" t="b">
        <v>1</v>
      </c>
      <c r="J86" s="5" t="b">
        <v>1</v>
      </c>
      <c r="K86" s="5" t="b">
        <v>1</v>
      </c>
    </row>
    <row r="87" spans="1:11">
      <c r="A87" s="5" t="s">
        <v>100</v>
      </c>
      <c r="B87" s="5" t="s">
        <v>251</v>
      </c>
      <c r="C87" s="6">
        <v>900000</v>
      </c>
      <c r="D87" s="7">
        <v>0.5</v>
      </c>
      <c r="E87" s="7">
        <v>0.1</v>
      </c>
      <c r="F87" s="7">
        <v>0.05</v>
      </c>
      <c r="G87" s="5">
        <v>30</v>
      </c>
      <c r="I87" s="5" t="b">
        <v>1</v>
      </c>
      <c r="J87" s="5" t="b">
        <v>1</v>
      </c>
      <c r="K87" s="5" t="b">
        <v>1</v>
      </c>
    </row>
    <row r="88" spans="1:11">
      <c r="A88" s="5" t="s">
        <v>100</v>
      </c>
      <c r="B88" s="5" t="s">
        <v>252</v>
      </c>
      <c r="C88" s="6">
        <v>160000</v>
      </c>
      <c r="D88" s="7">
        <v>0.5</v>
      </c>
      <c r="E88" s="7">
        <v>0.1</v>
      </c>
      <c r="F88" s="7">
        <v>0.05</v>
      </c>
      <c r="G88" s="5">
        <v>16</v>
      </c>
      <c r="I88" s="5" t="b">
        <v>1</v>
      </c>
      <c r="J88" s="5" t="b">
        <v>1</v>
      </c>
      <c r="K88" s="5" t="b">
        <v>1</v>
      </c>
    </row>
    <row r="89" spans="1:11">
      <c r="A89" s="5" t="s">
        <v>100</v>
      </c>
      <c r="B89" s="5" t="s">
        <v>253</v>
      </c>
      <c r="C89" s="6">
        <v>840000</v>
      </c>
      <c r="D89" s="7">
        <v>0.5</v>
      </c>
      <c r="E89" s="7">
        <v>0.1</v>
      </c>
      <c r="F89" s="7">
        <v>0.05</v>
      </c>
      <c r="G89" s="5">
        <v>28</v>
      </c>
      <c r="I89" s="5" t="b">
        <v>1</v>
      </c>
      <c r="J89" s="5" t="b">
        <v>1</v>
      </c>
      <c r="K89" s="5" t="b">
        <v>1</v>
      </c>
    </row>
    <row r="90" spans="1:11">
      <c r="A90" s="5" t="s">
        <v>100</v>
      </c>
      <c r="B90" s="5" t="s">
        <v>254</v>
      </c>
      <c r="C90" s="6">
        <v>2520000</v>
      </c>
      <c r="D90" s="7">
        <v>0.5</v>
      </c>
      <c r="E90" s="7">
        <v>0.1071</v>
      </c>
      <c r="F90" s="7">
        <v>4.7600000000000003E-2</v>
      </c>
      <c r="G90" s="5">
        <v>84</v>
      </c>
      <c r="I90" s="5" t="b">
        <v>1</v>
      </c>
      <c r="J90" s="5" t="b">
        <v>1</v>
      </c>
      <c r="K90" s="5" t="b">
        <v>1</v>
      </c>
    </row>
    <row r="91" spans="1:11">
      <c r="A91" s="5" t="s">
        <v>100</v>
      </c>
      <c r="B91" s="5" t="s">
        <v>255</v>
      </c>
      <c r="C91" s="6">
        <v>1000000</v>
      </c>
      <c r="D91" s="7">
        <v>0.5</v>
      </c>
      <c r="E91" s="7">
        <v>0.1</v>
      </c>
      <c r="F91" s="7">
        <v>0.05</v>
      </c>
      <c r="G91" s="5">
        <v>20</v>
      </c>
      <c r="I91" s="5" t="b">
        <v>1</v>
      </c>
      <c r="J91" s="5" t="b">
        <v>1</v>
      </c>
      <c r="K91" s="5" t="b">
        <v>1</v>
      </c>
    </row>
    <row r="92" spans="1:11">
      <c r="A92" s="5" t="s">
        <v>100</v>
      </c>
      <c r="B92" s="5" t="s">
        <v>713</v>
      </c>
      <c r="C92" s="6">
        <v>4300000</v>
      </c>
      <c r="D92" s="7">
        <v>0.48</v>
      </c>
      <c r="E92" s="7">
        <v>0.48</v>
      </c>
      <c r="F92" s="7">
        <v>4.6511627906976702E-2</v>
      </c>
      <c r="G92" s="5">
        <v>86</v>
      </c>
      <c r="I92" s="5" t="b">
        <v>1</v>
      </c>
      <c r="J92" s="5" t="b">
        <v>1</v>
      </c>
      <c r="K92" s="5" t="b">
        <v>1</v>
      </c>
    </row>
    <row r="93" spans="1:11">
      <c r="A93" s="5" t="s">
        <v>100</v>
      </c>
      <c r="B93" s="5" t="s">
        <v>257</v>
      </c>
      <c r="C93" s="6">
        <v>4200000</v>
      </c>
      <c r="D93" s="7">
        <v>0</v>
      </c>
      <c r="E93" s="7">
        <v>0.1132</v>
      </c>
      <c r="F93" s="7">
        <v>5.6599999999999998E-2</v>
      </c>
      <c r="G93" s="5">
        <v>53</v>
      </c>
      <c r="I93" s="5" t="b">
        <v>1</v>
      </c>
      <c r="J93" s="5" t="b">
        <v>1</v>
      </c>
      <c r="K93" s="5" t="b">
        <v>1</v>
      </c>
    </row>
    <row r="94" spans="1:11">
      <c r="A94" s="5" t="s">
        <v>55</v>
      </c>
      <c r="B94" s="5" t="s">
        <v>258</v>
      </c>
      <c r="C94" s="6">
        <v>5224089</v>
      </c>
      <c r="D94" s="7">
        <v>0.25</v>
      </c>
      <c r="E94" s="7">
        <v>0.1</v>
      </c>
      <c r="F94" s="7">
        <v>0.05</v>
      </c>
      <c r="G94" s="5">
        <v>100</v>
      </c>
      <c r="I94" s="5" t="b">
        <v>1</v>
      </c>
      <c r="J94" s="5" t="b">
        <v>1</v>
      </c>
      <c r="K94" s="5" t="b">
        <v>1</v>
      </c>
    </row>
    <row r="95" spans="1:11">
      <c r="A95" s="5" t="s">
        <v>56</v>
      </c>
      <c r="B95" s="5" t="s">
        <v>260</v>
      </c>
      <c r="C95" s="6">
        <v>4060000</v>
      </c>
      <c r="D95" s="7">
        <v>0.25</v>
      </c>
      <c r="E95" s="7">
        <v>0.1</v>
      </c>
      <c r="F95" s="7">
        <v>0.05</v>
      </c>
      <c r="G95" s="5">
        <v>124</v>
      </c>
      <c r="I95" s="5" t="b">
        <v>1</v>
      </c>
      <c r="J95" s="5" t="b">
        <v>1</v>
      </c>
      <c r="K95" s="5" t="b">
        <v>1</v>
      </c>
    </row>
    <row r="96" spans="1:11">
      <c r="A96" s="5" t="s">
        <v>56</v>
      </c>
      <c r="B96" s="5" t="s">
        <v>262</v>
      </c>
      <c r="C96" s="6">
        <v>5990000</v>
      </c>
      <c r="D96" s="7">
        <v>0.25</v>
      </c>
      <c r="E96" s="7">
        <v>0.1</v>
      </c>
      <c r="F96" s="7">
        <v>0.05</v>
      </c>
      <c r="G96" s="5">
        <v>79</v>
      </c>
      <c r="I96" s="5" t="b">
        <v>1</v>
      </c>
      <c r="J96" s="5" t="b">
        <v>1</v>
      </c>
      <c r="K96" s="5" t="b">
        <v>1</v>
      </c>
    </row>
    <row r="97" spans="1:11">
      <c r="A97" s="5" t="s">
        <v>56</v>
      </c>
      <c r="B97" s="5" t="s">
        <v>263</v>
      </c>
      <c r="C97" s="6">
        <v>5580000</v>
      </c>
      <c r="D97" s="7">
        <v>0.25</v>
      </c>
      <c r="E97" s="7">
        <v>0.1</v>
      </c>
      <c r="F97" s="7">
        <v>0.05</v>
      </c>
      <c r="G97" s="5">
        <v>219</v>
      </c>
      <c r="I97" s="5" t="b">
        <v>1</v>
      </c>
      <c r="J97" s="5" t="b">
        <v>1</v>
      </c>
      <c r="K97" s="5" t="b">
        <v>1</v>
      </c>
    </row>
    <row r="98" spans="1:11">
      <c r="A98" s="5" t="s">
        <v>57</v>
      </c>
      <c r="B98" s="5" t="s">
        <v>264</v>
      </c>
      <c r="C98" s="6">
        <v>450000</v>
      </c>
      <c r="D98" s="7">
        <v>0.25</v>
      </c>
      <c r="E98" s="7">
        <v>0.1</v>
      </c>
      <c r="F98" s="7">
        <v>0.05</v>
      </c>
      <c r="G98" s="5">
        <v>5</v>
      </c>
      <c r="I98" s="5" t="b">
        <v>1</v>
      </c>
      <c r="J98" s="5" t="b">
        <v>1</v>
      </c>
      <c r="K98" s="5" t="b">
        <v>1</v>
      </c>
    </row>
    <row r="99" spans="1:11">
      <c r="A99" s="5" t="s">
        <v>57</v>
      </c>
      <c r="B99" s="5" t="s">
        <v>266</v>
      </c>
      <c r="C99" s="6">
        <v>2643100</v>
      </c>
      <c r="D99" s="7">
        <v>0.25</v>
      </c>
      <c r="E99" s="7">
        <v>0.1</v>
      </c>
      <c r="F99" s="7">
        <v>0.05</v>
      </c>
      <c r="G99" s="5">
        <v>259</v>
      </c>
      <c r="I99" s="5" t="b">
        <v>1</v>
      </c>
      <c r="J99" s="5" t="b">
        <v>1</v>
      </c>
      <c r="K99" s="5" t="b">
        <v>1</v>
      </c>
    </row>
    <row r="100" spans="1:11">
      <c r="A100" s="5" t="s">
        <v>57</v>
      </c>
      <c r="B100" s="5" t="s">
        <v>267</v>
      </c>
      <c r="C100" s="6">
        <v>472868</v>
      </c>
      <c r="D100" s="7">
        <v>0</v>
      </c>
      <c r="E100" s="7">
        <v>0</v>
      </c>
      <c r="F100" s="7">
        <v>0</v>
      </c>
      <c r="G100" s="5">
        <v>1</v>
      </c>
      <c r="I100" s="5" t="b">
        <v>1</v>
      </c>
      <c r="J100" s="5" t="b">
        <v>1</v>
      </c>
      <c r="K100" s="5" t="b">
        <v>1</v>
      </c>
    </row>
    <row r="101" spans="1:11">
      <c r="A101" s="5" t="s">
        <v>58</v>
      </c>
      <c r="B101" s="5" t="s">
        <v>268</v>
      </c>
      <c r="C101" s="6">
        <v>1197706.2</v>
      </c>
      <c r="D101" s="7">
        <v>0.25</v>
      </c>
      <c r="E101" s="7">
        <v>0.1</v>
      </c>
      <c r="F101" s="7">
        <v>0.1</v>
      </c>
      <c r="G101" s="5">
        <v>25</v>
      </c>
      <c r="I101" s="5" t="b">
        <v>1</v>
      </c>
      <c r="J101" s="5" t="b">
        <v>1</v>
      </c>
      <c r="K101" s="5" t="b">
        <v>1</v>
      </c>
    </row>
    <row r="102" spans="1:11">
      <c r="A102" s="5" t="s">
        <v>58</v>
      </c>
      <c r="B102" s="5" t="s">
        <v>270</v>
      </c>
      <c r="C102" s="6">
        <v>2004628.5</v>
      </c>
      <c r="D102" s="7">
        <v>0.25</v>
      </c>
      <c r="E102" s="7">
        <v>0.1</v>
      </c>
      <c r="F102" s="7">
        <v>0.1</v>
      </c>
      <c r="G102" s="5">
        <v>50</v>
      </c>
      <c r="I102" s="5" t="b">
        <v>1</v>
      </c>
      <c r="J102" s="5" t="b">
        <v>1</v>
      </c>
      <c r="K102" s="5" t="b">
        <v>1</v>
      </c>
    </row>
    <row r="103" spans="1:11">
      <c r="A103" s="5" t="s">
        <v>58</v>
      </c>
      <c r="B103" s="5" t="s">
        <v>271</v>
      </c>
      <c r="C103" s="6">
        <v>1431877.6</v>
      </c>
      <c r="D103" s="7">
        <v>0.25</v>
      </c>
      <c r="E103" s="7">
        <v>0.1</v>
      </c>
      <c r="F103" s="7">
        <v>0.1</v>
      </c>
      <c r="G103" s="5">
        <v>30</v>
      </c>
      <c r="I103" s="5" t="b">
        <v>1</v>
      </c>
      <c r="J103" s="5" t="b">
        <v>1</v>
      </c>
      <c r="K103" s="5" t="b">
        <v>1</v>
      </c>
    </row>
    <row r="104" spans="1:11">
      <c r="A104" s="5" t="s">
        <v>58</v>
      </c>
      <c r="B104" s="5" t="s">
        <v>272</v>
      </c>
      <c r="C104" s="6">
        <v>2004628.5</v>
      </c>
      <c r="D104" s="7">
        <v>0.26</v>
      </c>
      <c r="E104" s="7">
        <v>0.1</v>
      </c>
      <c r="F104" s="7">
        <v>0.06</v>
      </c>
      <c r="G104" s="5">
        <v>50</v>
      </c>
      <c r="I104" s="5" t="b">
        <v>1</v>
      </c>
      <c r="J104" s="5" t="b">
        <v>1</v>
      </c>
      <c r="K104" s="5" t="b">
        <v>1</v>
      </c>
    </row>
    <row r="105" spans="1:11">
      <c r="A105" s="5" t="s">
        <v>101</v>
      </c>
      <c r="B105" s="5" t="s">
        <v>273</v>
      </c>
      <c r="C105" s="6">
        <v>1020000</v>
      </c>
      <c r="D105" s="7">
        <v>0.25</v>
      </c>
      <c r="E105" s="7">
        <v>0.1</v>
      </c>
      <c r="F105" s="7">
        <v>0.1</v>
      </c>
      <c r="G105" s="5">
        <v>28</v>
      </c>
      <c r="I105" s="5" t="b">
        <v>1</v>
      </c>
      <c r="J105" s="5" t="b">
        <v>1</v>
      </c>
      <c r="K105" s="5" t="b">
        <v>1</v>
      </c>
    </row>
    <row r="106" spans="1:11">
      <c r="A106" s="5" t="s">
        <v>101</v>
      </c>
      <c r="B106" s="5" t="s">
        <v>275</v>
      </c>
      <c r="C106" s="6">
        <v>4560000</v>
      </c>
      <c r="D106" s="7">
        <v>0.25</v>
      </c>
      <c r="E106" s="7">
        <v>0.1</v>
      </c>
      <c r="F106" s="7">
        <v>0.1</v>
      </c>
      <c r="G106" s="5">
        <v>38</v>
      </c>
      <c r="I106" s="5" t="b">
        <v>1</v>
      </c>
      <c r="J106" s="5" t="b">
        <v>1</v>
      </c>
      <c r="K106" s="5" t="b">
        <v>1</v>
      </c>
    </row>
    <row r="107" spans="1:11">
      <c r="A107" s="5" t="s">
        <v>101</v>
      </c>
      <c r="B107" s="5" t="s">
        <v>276</v>
      </c>
      <c r="C107" s="6">
        <v>1500000</v>
      </c>
      <c r="D107" s="7">
        <v>0.25</v>
      </c>
      <c r="E107" s="7">
        <v>0.1</v>
      </c>
      <c r="F107" s="7">
        <v>0.1</v>
      </c>
      <c r="G107" s="5">
        <v>3</v>
      </c>
      <c r="I107" s="5" t="b">
        <v>1</v>
      </c>
      <c r="J107" s="5" t="b">
        <v>1</v>
      </c>
      <c r="K107" s="5" t="b">
        <v>1</v>
      </c>
    </row>
    <row r="108" spans="1:11">
      <c r="A108" s="5" t="s">
        <v>101</v>
      </c>
      <c r="B108" s="5" t="s">
        <v>714</v>
      </c>
      <c r="C108" s="6">
        <v>1000000</v>
      </c>
      <c r="D108" s="7">
        <v>0.25</v>
      </c>
      <c r="E108" s="7">
        <v>0.1</v>
      </c>
      <c r="F108" s="7">
        <v>0.1</v>
      </c>
      <c r="G108" s="5">
        <v>20</v>
      </c>
      <c r="I108" s="5" t="b">
        <v>1</v>
      </c>
      <c r="J108" s="5" t="b">
        <v>1</v>
      </c>
      <c r="K108" s="5" t="b">
        <v>1</v>
      </c>
    </row>
    <row r="109" spans="1:11">
      <c r="A109" s="5" t="s">
        <v>101</v>
      </c>
      <c r="B109" s="5" t="s">
        <v>715</v>
      </c>
      <c r="C109" s="6">
        <v>2000000</v>
      </c>
      <c r="D109" s="7">
        <v>0.25</v>
      </c>
      <c r="E109" s="7">
        <v>0.1</v>
      </c>
      <c r="F109" s="7">
        <v>0.1</v>
      </c>
      <c r="G109" s="5">
        <v>20</v>
      </c>
      <c r="I109" s="5" t="b">
        <v>1</v>
      </c>
      <c r="J109" s="5" t="b">
        <v>1</v>
      </c>
      <c r="K109" s="5" t="b">
        <v>1</v>
      </c>
    </row>
    <row r="110" spans="1:11">
      <c r="A110" s="5" t="s">
        <v>101</v>
      </c>
      <c r="B110" s="5" t="s">
        <v>279</v>
      </c>
      <c r="C110" s="6">
        <v>15000000</v>
      </c>
      <c r="D110" s="7">
        <v>0.25</v>
      </c>
      <c r="E110" s="7">
        <v>0.1</v>
      </c>
      <c r="F110" s="7">
        <v>0.1</v>
      </c>
      <c r="G110" s="5">
        <v>410</v>
      </c>
      <c r="I110" s="5" t="b">
        <v>1</v>
      </c>
      <c r="J110" s="5" t="b">
        <v>1</v>
      </c>
      <c r="K110" s="5" t="b">
        <v>1</v>
      </c>
    </row>
    <row r="111" spans="1:11">
      <c r="A111" s="5" t="s">
        <v>101</v>
      </c>
      <c r="B111" s="5" t="s">
        <v>280</v>
      </c>
      <c r="C111" s="6">
        <v>15000000</v>
      </c>
      <c r="D111" s="7">
        <v>0.25</v>
      </c>
      <c r="E111" s="7">
        <v>0.1</v>
      </c>
      <c r="F111" s="7">
        <v>0.1</v>
      </c>
      <c r="G111" s="5">
        <v>13</v>
      </c>
      <c r="I111" s="5" t="b">
        <v>1</v>
      </c>
      <c r="J111" s="5" t="b">
        <v>1</v>
      </c>
      <c r="K111" s="5" t="b">
        <v>1</v>
      </c>
    </row>
    <row r="112" spans="1:11">
      <c r="A112" s="5" t="s">
        <v>101</v>
      </c>
      <c r="B112" s="5" t="s">
        <v>281</v>
      </c>
      <c r="C112" s="6">
        <v>15900000</v>
      </c>
      <c r="D112" s="7">
        <v>0.25</v>
      </c>
      <c r="E112" s="7">
        <v>0.1</v>
      </c>
      <c r="F112" s="7">
        <v>0.1</v>
      </c>
      <c r="G112" s="5">
        <v>114</v>
      </c>
      <c r="I112" s="5" t="b">
        <v>1</v>
      </c>
      <c r="J112" s="5" t="b">
        <v>1</v>
      </c>
      <c r="K112" s="5" t="b">
        <v>1</v>
      </c>
    </row>
    <row r="113" spans="1:11">
      <c r="A113" s="5" t="s">
        <v>101</v>
      </c>
      <c r="B113" s="5" t="s">
        <v>282</v>
      </c>
      <c r="C113" s="6">
        <v>2000000</v>
      </c>
      <c r="D113" s="7">
        <v>0.25</v>
      </c>
      <c r="E113" s="7">
        <v>0.1</v>
      </c>
      <c r="F113" s="7">
        <v>0.1</v>
      </c>
      <c r="G113" s="5">
        <v>30</v>
      </c>
      <c r="I113" s="5" t="b">
        <v>1</v>
      </c>
      <c r="J113" s="5" t="b">
        <v>1</v>
      </c>
      <c r="K113" s="5" t="b">
        <v>1</v>
      </c>
    </row>
    <row r="114" spans="1:11">
      <c r="A114" s="5" t="s">
        <v>101</v>
      </c>
      <c r="B114" s="5" t="s">
        <v>283</v>
      </c>
      <c r="C114" s="6">
        <v>2691000</v>
      </c>
      <c r="D114" s="7">
        <v>0.25</v>
      </c>
      <c r="E114" s="7">
        <v>0.1</v>
      </c>
      <c r="F114" s="7">
        <v>0.1</v>
      </c>
      <c r="G114" s="5">
        <v>26</v>
      </c>
      <c r="I114" s="5" t="b">
        <v>1</v>
      </c>
      <c r="J114" s="5" t="b">
        <v>1</v>
      </c>
      <c r="K114" s="5" t="b">
        <v>1</v>
      </c>
    </row>
    <row r="115" spans="1:11">
      <c r="A115" s="5" t="s">
        <v>101</v>
      </c>
      <c r="B115" s="5" t="s">
        <v>284</v>
      </c>
      <c r="C115" s="6">
        <v>2400000</v>
      </c>
      <c r="D115" s="7">
        <v>0.25</v>
      </c>
      <c r="E115" s="7">
        <v>0.1</v>
      </c>
      <c r="F115" s="7">
        <v>0.1</v>
      </c>
      <c r="G115" s="5">
        <v>20</v>
      </c>
      <c r="I115" s="5" t="b">
        <v>1</v>
      </c>
      <c r="J115" s="5" t="b">
        <v>1</v>
      </c>
      <c r="K115" s="5" t="b">
        <v>1</v>
      </c>
    </row>
    <row r="116" spans="1:11">
      <c r="A116" s="5" t="s">
        <v>101</v>
      </c>
      <c r="B116" s="5" t="s">
        <v>285</v>
      </c>
      <c r="C116" s="6">
        <v>3000000</v>
      </c>
      <c r="D116" s="7">
        <v>0.25</v>
      </c>
      <c r="E116" s="7">
        <v>0.1</v>
      </c>
      <c r="F116" s="7">
        <v>0.1</v>
      </c>
      <c r="G116" s="5">
        <v>50</v>
      </c>
      <c r="I116" s="5" t="b">
        <v>1</v>
      </c>
      <c r="J116" s="5" t="b">
        <v>1</v>
      </c>
      <c r="K116" s="5" t="b">
        <v>1</v>
      </c>
    </row>
    <row r="117" spans="1:11">
      <c r="A117" s="5" t="s">
        <v>101</v>
      </c>
      <c r="B117" s="5" t="s">
        <v>286</v>
      </c>
      <c r="C117" s="6">
        <v>2500000</v>
      </c>
      <c r="D117" s="7">
        <v>0.25</v>
      </c>
      <c r="E117" s="7">
        <v>0.1</v>
      </c>
      <c r="F117" s="7">
        <v>0.1</v>
      </c>
      <c r="G117" s="5">
        <v>16</v>
      </c>
      <c r="I117" s="5" t="b">
        <v>1</v>
      </c>
      <c r="J117" s="5" t="b">
        <v>1</v>
      </c>
      <c r="K117" s="5" t="b">
        <v>1</v>
      </c>
    </row>
    <row r="118" spans="1:11">
      <c r="A118" s="5" t="s">
        <v>101</v>
      </c>
      <c r="B118" s="5" t="s">
        <v>287</v>
      </c>
      <c r="C118" s="6">
        <v>14988000</v>
      </c>
      <c r="D118" s="7">
        <v>0.25</v>
      </c>
      <c r="E118" s="7">
        <v>0.1</v>
      </c>
      <c r="F118" s="7">
        <v>0.1</v>
      </c>
      <c r="G118" s="5">
        <v>40</v>
      </c>
      <c r="I118" s="5" t="b">
        <v>1</v>
      </c>
      <c r="J118" s="5" t="b">
        <v>1</v>
      </c>
      <c r="K118" s="5" t="b">
        <v>1</v>
      </c>
    </row>
    <row r="119" spans="1:11">
      <c r="A119" s="5" t="s">
        <v>101</v>
      </c>
      <c r="B119" s="5" t="s">
        <v>288</v>
      </c>
      <c r="C119" s="6">
        <v>1000000</v>
      </c>
      <c r="D119" s="7">
        <v>0.25</v>
      </c>
      <c r="E119" s="7">
        <v>0.1</v>
      </c>
      <c r="F119" s="7">
        <v>0.1</v>
      </c>
      <c r="G119" s="5">
        <v>20</v>
      </c>
      <c r="I119" s="5" t="b">
        <v>1</v>
      </c>
      <c r="J119" s="5" t="b">
        <v>1</v>
      </c>
      <c r="K119" s="5" t="b">
        <v>1</v>
      </c>
    </row>
    <row r="120" spans="1:11">
      <c r="A120" s="5" t="s">
        <v>101</v>
      </c>
      <c r="B120" s="5" t="s">
        <v>289</v>
      </c>
      <c r="C120" s="6">
        <v>3000000</v>
      </c>
      <c r="D120" s="7">
        <v>0.5</v>
      </c>
      <c r="E120" s="8">
        <v>0.5</v>
      </c>
      <c r="F120" s="7">
        <v>0</v>
      </c>
      <c r="G120" s="5">
        <v>98</v>
      </c>
      <c r="H120" s="5" t="s">
        <v>213</v>
      </c>
      <c r="I120" s="5" t="b">
        <v>1</v>
      </c>
      <c r="J120" s="5" t="b">
        <v>1</v>
      </c>
      <c r="K120" s="14" t="b">
        <v>0</v>
      </c>
    </row>
    <row r="121" spans="1:11">
      <c r="A121" s="5" t="s">
        <v>59</v>
      </c>
      <c r="B121" s="5" t="s">
        <v>290</v>
      </c>
      <c r="C121" s="6">
        <v>2530000</v>
      </c>
      <c r="D121" s="7">
        <v>0.25</v>
      </c>
      <c r="E121" s="7">
        <v>0.1</v>
      </c>
      <c r="F121" s="7">
        <v>0.05</v>
      </c>
      <c r="G121" s="5">
        <v>89</v>
      </c>
      <c r="I121" s="5" t="b">
        <v>1</v>
      </c>
      <c r="J121" s="5" t="b">
        <v>1</v>
      </c>
      <c r="K121" s="5" t="b">
        <v>1</v>
      </c>
    </row>
    <row r="122" spans="1:11">
      <c r="A122" s="5" t="s">
        <v>59</v>
      </c>
      <c r="B122" s="5" t="s">
        <v>292</v>
      </c>
      <c r="C122" s="6">
        <v>1050000</v>
      </c>
      <c r="D122" s="7">
        <v>0.25</v>
      </c>
      <c r="E122" s="7">
        <v>0.1</v>
      </c>
      <c r="F122" s="7">
        <v>0.05</v>
      </c>
      <c r="G122" s="5">
        <v>39</v>
      </c>
      <c r="I122" s="5" t="b">
        <v>1</v>
      </c>
      <c r="J122" s="5" t="b">
        <v>1</v>
      </c>
      <c r="K122" s="5" t="b">
        <v>1</v>
      </c>
    </row>
    <row r="123" spans="1:11">
      <c r="A123" s="5" t="s">
        <v>59</v>
      </c>
      <c r="B123" s="5" t="s">
        <v>293</v>
      </c>
      <c r="C123" s="6">
        <v>120000</v>
      </c>
      <c r="D123" s="7">
        <v>0.25</v>
      </c>
      <c r="E123" s="7">
        <v>0.1</v>
      </c>
      <c r="F123" s="7">
        <v>0.05</v>
      </c>
      <c r="G123" s="5">
        <v>6</v>
      </c>
      <c r="I123" s="5" t="b">
        <v>1</v>
      </c>
      <c r="J123" s="5" t="b">
        <v>1</v>
      </c>
      <c r="K123" s="5" t="b">
        <v>1</v>
      </c>
    </row>
    <row r="124" spans="1:11">
      <c r="A124" s="5" t="s">
        <v>60</v>
      </c>
      <c r="B124" s="5" t="s">
        <v>294</v>
      </c>
      <c r="C124" s="6">
        <v>2844000</v>
      </c>
      <c r="D124" s="7">
        <v>0.25</v>
      </c>
      <c r="E124" s="7">
        <v>0.1</v>
      </c>
      <c r="F124" s="7">
        <v>0.05</v>
      </c>
      <c r="G124" s="5">
        <v>94</v>
      </c>
      <c r="I124" s="5" t="b">
        <v>1</v>
      </c>
      <c r="J124" s="5" t="b">
        <v>1</v>
      </c>
      <c r="K124" s="5" t="b">
        <v>1</v>
      </c>
    </row>
    <row r="125" spans="1:11">
      <c r="A125" s="5" t="s">
        <v>60</v>
      </c>
      <c r="B125" s="5" t="s">
        <v>296</v>
      </c>
      <c r="C125" s="6">
        <v>1674000</v>
      </c>
      <c r="D125" s="7">
        <v>0.25</v>
      </c>
      <c r="E125" s="7">
        <v>0.1</v>
      </c>
      <c r="F125" s="7">
        <v>0.05</v>
      </c>
      <c r="G125" s="5">
        <v>55</v>
      </c>
      <c r="I125" s="5" t="b">
        <v>1</v>
      </c>
      <c r="J125" s="5" t="b">
        <v>1</v>
      </c>
      <c r="K125" s="5" t="b">
        <v>1</v>
      </c>
    </row>
    <row r="126" spans="1:11">
      <c r="A126" s="5" t="s">
        <v>60</v>
      </c>
      <c r="B126" s="5" t="s">
        <v>297</v>
      </c>
      <c r="C126" s="6">
        <v>7840000</v>
      </c>
      <c r="D126" s="7">
        <v>0.25</v>
      </c>
      <c r="E126" s="7">
        <v>0.1</v>
      </c>
      <c r="F126" s="7">
        <v>0.05</v>
      </c>
      <c r="G126" s="5">
        <v>225</v>
      </c>
      <c r="I126" s="5" t="b">
        <v>1</v>
      </c>
      <c r="J126" s="5" t="b">
        <v>1</v>
      </c>
      <c r="K126" s="5" t="b">
        <v>1</v>
      </c>
    </row>
    <row r="127" spans="1:11">
      <c r="A127" s="5" t="s">
        <v>102</v>
      </c>
      <c r="B127" s="5" t="s">
        <v>298</v>
      </c>
      <c r="C127" s="6">
        <v>2000000</v>
      </c>
      <c r="D127" s="7">
        <v>0.25</v>
      </c>
      <c r="E127" s="7">
        <v>0.1</v>
      </c>
      <c r="F127" s="7">
        <v>0.05</v>
      </c>
      <c r="G127" s="5">
        <v>20</v>
      </c>
      <c r="I127" s="5" t="b">
        <v>1</v>
      </c>
      <c r="J127" s="5" t="b">
        <v>1</v>
      </c>
      <c r="K127" s="5" t="b">
        <v>1</v>
      </c>
    </row>
    <row r="128" spans="1:11">
      <c r="A128" s="5" t="s">
        <v>102</v>
      </c>
      <c r="B128" s="5" t="s">
        <v>300</v>
      </c>
      <c r="C128" s="6">
        <v>900000</v>
      </c>
      <c r="D128" s="7">
        <v>0.25</v>
      </c>
      <c r="E128" s="7">
        <v>0.1</v>
      </c>
      <c r="F128" s="7">
        <v>0.05</v>
      </c>
      <c r="G128" s="5">
        <v>3</v>
      </c>
      <c r="I128" s="5" t="b">
        <v>1</v>
      </c>
      <c r="J128" s="5" t="b">
        <v>1</v>
      </c>
      <c r="K128" s="5" t="b">
        <v>1</v>
      </c>
    </row>
    <row r="129" spans="1:11">
      <c r="A129" s="5" t="s">
        <v>102</v>
      </c>
      <c r="B129" s="5" t="s">
        <v>301</v>
      </c>
      <c r="C129" s="6">
        <v>3150000</v>
      </c>
      <c r="D129" s="7">
        <v>0.26829999999999998</v>
      </c>
      <c r="E129" s="7">
        <v>9.7599999999999992E-2</v>
      </c>
      <c r="F129" s="7">
        <v>4.8800000000000003E-2</v>
      </c>
      <c r="G129" s="5">
        <v>82</v>
      </c>
      <c r="I129" s="5" t="b">
        <v>1</v>
      </c>
      <c r="J129" s="5" t="b">
        <v>1</v>
      </c>
      <c r="K129" s="5" t="b">
        <v>1</v>
      </c>
    </row>
    <row r="130" spans="1:11">
      <c r="A130" s="5" t="s">
        <v>102</v>
      </c>
      <c r="B130" s="5" t="s">
        <v>302</v>
      </c>
      <c r="C130" s="6">
        <v>24456206.84</v>
      </c>
      <c r="D130" s="7">
        <v>0.24660000000000001</v>
      </c>
      <c r="E130" s="7">
        <v>0.1507</v>
      </c>
      <c r="F130" s="7">
        <v>0.16439999999999999</v>
      </c>
      <c r="G130" s="5">
        <v>73</v>
      </c>
      <c r="I130" s="5" t="b">
        <v>1</v>
      </c>
      <c r="J130" s="5" t="b">
        <v>1</v>
      </c>
      <c r="K130" s="5" t="b">
        <v>1</v>
      </c>
    </row>
    <row r="131" spans="1:11">
      <c r="A131" s="5" t="s">
        <v>103</v>
      </c>
      <c r="B131" s="5" t="s">
        <v>716</v>
      </c>
      <c r="C131" s="6">
        <v>2100000</v>
      </c>
      <c r="D131" s="7">
        <v>0.25</v>
      </c>
      <c r="E131" s="7">
        <v>0.1</v>
      </c>
      <c r="F131" s="7">
        <v>0.05</v>
      </c>
      <c r="G131" s="5">
        <v>50</v>
      </c>
      <c r="I131" s="5" t="b">
        <v>1</v>
      </c>
      <c r="J131" s="5" t="b">
        <v>1</v>
      </c>
      <c r="K131" s="5" t="b">
        <v>1</v>
      </c>
    </row>
    <row r="132" spans="1:11">
      <c r="A132" s="5" t="s">
        <v>103</v>
      </c>
      <c r="B132" s="5" t="s">
        <v>305</v>
      </c>
      <c r="C132" s="6">
        <v>1200000</v>
      </c>
      <c r="D132" s="7">
        <v>0.25</v>
      </c>
      <c r="E132" s="7">
        <v>0.25</v>
      </c>
      <c r="F132" s="7">
        <v>0</v>
      </c>
      <c r="G132" s="5">
        <v>4</v>
      </c>
      <c r="I132" s="5" t="b">
        <v>1</v>
      </c>
      <c r="J132" s="5" t="b">
        <v>1</v>
      </c>
      <c r="K132" s="5" t="b">
        <v>1</v>
      </c>
    </row>
    <row r="133" spans="1:11">
      <c r="A133" s="5" t="s">
        <v>103</v>
      </c>
      <c r="B133" s="5" t="s">
        <v>306</v>
      </c>
      <c r="C133" s="6">
        <v>480000</v>
      </c>
      <c r="D133" s="7">
        <v>0.25</v>
      </c>
      <c r="E133" s="7">
        <v>0.1</v>
      </c>
      <c r="F133" s="7">
        <v>0</v>
      </c>
      <c r="G133" s="5">
        <v>4</v>
      </c>
      <c r="I133" s="5" t="b">
        <v>1</v>
      </c>
      <c r="J133" s="5" t="b">
        <v>1</v>
      </c>
      <c r="K133" s="18" t="b">
        <v>1</v>
      </c>
    </row>
    <row r="134" spans="1:11">
      <c r="A134" s="5" t="s">
        <v>103</v>
      </c>
      <c r="B134" s="5" t="s">
        <v>307</v>
      </c>
      <c r="C134" s="6">
        <v>800000</v>
      </c>
      <c r="D134" s="7">
        <v>0.25</v>
      </c>
      <c r="E134" s="7">
        <v>0.1</v>
      </c>
      <c r="F134" s="7">
        <v>0.05</v>
      </c>
      <c r="G134" s="5">
        <v>20</v>
      </c>
      <c r="I134" s="5" t="b">
        <v>1</v>
      </c>
      <c r="J134" s="5" t="b">
        <v>1</v>
      </c>
      <c r="K134" s="5" t="b">
        <v>1</v>
      </c>
    </row>
    <row r="135" spans="1:11">
      <c r="A135" s="5" t="s">
        <v>103</v>
      </c>
      <c r="B135" s="5" t="s">
        <v>308</v>
      </c>
      <c r="C135" s="6">
        <v>1120000</v>
      </c>
      <c r="D135" s="7">
        <v>0.25</v>
      </c>
      <c r="E135" s="7">
        <v>0.1</v>
      </c>
      <c r="F135" s="7">
        <v>0.05</v>
      </c>
      <c r="G135" s="5">
        <v>56</v>
      </c>
      <c r="I135" s="5" t="b">
        <v>1</v>
      </c>
      <c r="J135" s="5" t="b">
        <v>1</v>
      </c>
      <c r="K135" s="5" t="b">
        <v>1</v>
      </c>
    </row>
    <row r="136" spans="1:11">
      <c r="A136" s="5" t="s">
        <v>103</v>
      </c>
      <c r="B136" s="5" t="s">
        <v>309</v>
      </c>
      <c r="C136" s="6">
        <v>2100000</v>
      </c>
      <c r="D136" s="7">
        <v>0.25</v>
      </c>
      <c r="E136" s="7">
        <v>0.1</v>
      </c>
      <c r="F136" s="7">
        <v>0.05</v>
      </c>
      <c r="G136" s="5">
        <v>50</v>
      </c>
      <c r="I136" s="5" t="b">
        <v>1</v>
      </c>
      <c r="J136" s="5" t="b">
        <v>1</v>
      </c>
      <c r="K136" s="5" t="b">
        <v>1</v>
      </c>
    </row>
    <row r="137" spans="1:11">
      <c r="A137" s="5" t="s">
        <v>103</v>
      </c>
      <c r="B137" s="5" t="s">
        <v>310</v>
      </c>
      <c r="C137" s="6">
        <v>3200000</v>
      </c>
      <c r="D137" s="7">
        <v>0.25</v>
      </c>
      <c r="E137" s="7">
        <v>0.1</v>
      </c>
      <c r="F137" s="7">
        <v>0.05</v>
      </c>
      <c r="G137" s="5">
        <v>10</v>
      </c>
      <c r="I137" s="5" t="b">
        <v>1</v>
      </c>
      <c r="J137" s="5" t="b">
        <v>1</v>
      </c>
      <c r="K137" s="5" t="b">
        <v>1</v>
      </c>
    </row>
    <row r="138" spans="1:11">
      <c r="A138" s="5" t="s">
        <v>103</v>
      </c>
      <c r="B138" s="5" t="s">
        <v>311</v>
      </c>
      <c r="C138" s="6">
        <v>2500000</v>
      </c>
      <c r="D138" s="7">
        <v>0.25</v>
      </c>
      <c r="E138" s="7">
        <v>0.1</v>
      </c>
      <c r="F138" s="7">
        <v>0.05</v>
      </c>
      <c r="G138" s="5">
        <v>50</v>
      </c>
      <c r="I138" s="5" t="b">
        <v>1</v>
      </c>
      <c r="J138" s="5" t="b">
        <v>1</v>
      </c>
      <c r="K138" s="5" t="b">
        <v>1</v>
      </c>
    </row>
    <row r="139" spans="1:11">
      <c r="A139" s="5" t="s">
        <v>103</v>
      </c>
      <c r="B139" s="5" t="s">
        <v>312</v>
      </c>
      <c r="C139" s="6">
        <v>560000</v>
      </c>
      <c r="D139" s="7">
        <v>0.25</v>
      </c>
      <c r="E139" s="7">
        <v>0.1</v>
      </c>
      <c r="F139" s="7">
        <v>0.05</v>
      </c>
      <c r="G139" s="5">
        <v>14</v>
      </c>
      <c r="I139" s="5" t="b">
        <v>1</v>
      </c>
      <c r="J139" s="5" t="b">
        <v>1</v>
      </c>
      <c r="K139" s="5" t="b">
        <v>1</v>
      </c>
    </row>
    <row r="140" spans="1:11">
      <c r="A140" s="5" t="s">
        <v>103</v>
      </c>
      <c r="B140" s="5" t="s">
        <v>313</v>
      </c>
      <c r="C140" s="6">
        <v>1700000</v>
      </c>
      <c r="D140" s="7">
        <v>0.25</v>
      </c>
      <c r="E140" s="7">
        <v>0.1</v>
      </c>
      <c r="F140" s="7">
        <v>0.05</v>
      </c>
      <c r="G140" s="5">
        <v>33</v>
      </c>
      <c r="I140" s="5" t="b">
        <v>1</v>
      </c>
      <c r="J140" s="5" t="b">
        <v>1</v>
      </c>
      <c r="K140" s="5" t="b">
        <v>1</v>
      </c>
    </row>
    <row r="141" spans="1:11">
      <c r="A141" s="5" t="s">
        <v>103</v>
      </c>
      <c r="B141" s="5" t="s">
        <v>314</v>
      </c>
      <c r="C141" s="6">
        <v>1870000</v>
      </c>
      <c r="D141" s="7">
        <v>0.25</v>
      </c>
      <c r="E141" s="7">
        <v>0.1</v>
      </c>
      <c r="F141" s="7">
        <v>0.05</v>
      </c>
      <c r="G141" s="5">
        <v>26</v>
      </c>
      <c r="I141" s="5" t="b">
        <v>1</v>
      </c>
      <c r="J141" s="5" t="b">
        <v>1</v>
      </c>
      <c r="K141" s="5" t="b">
        <v>1</v>
      </c>
    </row>
    <row r="142" spans="1:11">
      <c r="A142" s="5" t="s">
        <v>103</v>
      </c>
      <c r="B142" s="5" t="s">
        <v>315</v>
      </c>
      <c r="C142" s="6">
        <v>3870000</v>
      </c>
      <c r="D142" s="7">
        <v>0.25</v>
      </c>
      <c r="E142" s="7">
        <v>0.1</v>
      </c>
      <c r="F142" s="7">
        <v>0.05</v>
      </c>
      <c r="G142" s="5">
        <v>57</v>
      </c>
      <c r="I142" s="5" t="b">
        <v>1</v>
      </c>
      <c r="J142" s="5" t="b">
        <v>1</v>
      </c>
      <c r="K142" s="5" t="b">
        <v>1</v>
      </c>
    </row>
    <row r="143" spans="1:11">
      <c r="A143" s="5" t="s">
        <v>103</v>
      </c>
      <c r="B143" s="5" t="s">
        <v>316</v>
      </c>
      <c r="C143" s="6">
        <v>1700000</v>
      </c>
      <c r="D143" s="7">
        <v>0.25</v>
      </c>
      <c r="E143" s="7">
        <v>0.1</v>
      </c>
      <c r="F143" s="7">
        <v>0.05</v>
      </c>
      <c r="G143" s="5">
        <v>47</v>
      </c>
      <c r="I143" s="5" t="b">
        <v>1</v>
      </c>
      <c r="J143" s="5" t="b">
        <v>1</v>
      </c>
      <c r="K143" s="5" t="b">
        <v>1</v>
      </c>
    </row>
    <row r="144" spans="1:11">
      <c r="A144" s="5" t="s">
        <v>103</v>
      </c>
      <c r="B144" s="5" t="s">
        <v>317</v>
      </c>
      <c r="C144" s="6">
        <v>1050000</v>
      </c>
      <c r="D144" s="7">
        <v>0.25</v>
      </c>
      <c r="E144" s="7">
        <v>0.1</v>
      </c>
      <c r="F144" s="7">
        <v>0.05</v>
      </c>
      <c r="G144" s="5">
        <v>25</v>
      </c>
      <c r="I144" s="5" t="b">
        <v>1</v>
      </c>
      <c r="J144" s="5" t="b">
        <v>1</v>
      </c>
      <c r="K144" s="5" t="b">
        <v>1</v>
      </c>
    </row>
    <row r="145" spans="1:11">
      <c r="A145" s="5" t="s">
        <v>103</v>
      </c>
      <c r="B145" s="5" t="s">
        <v>318</v>
      </c>
      <c r="C145" s="6">
        <v>880000</v>
      </c>
      <c r="D145" s="7">
        <v>0.25</v>
      </c>
      <c r="E145" s="7">
        <v>0.1</v>
      </c>
      <c r="F145" s="7">
        <v>0.05</v>
      </c>
      <c r="G145" s="5">
        <v>20</v>
      </c>
      <c r="I145" s="5" t="b">
        <v>1</v>
      </c>
      <c r="J145" s="5" t="b">
        <v>1</v>
      </c>
      <c r="K145" s="5" t="b">
        <v>1</v>
      </c>
    </row>
    <row r="146" spans="1:11">
      <c r="A146" s="5" t="s">
        <v>103</v>
      </c>
      <c r="B146" s="5" t="s">
        <v>319</v>
      </c>
      <c r="C146" s="6">
        <v>5600000</v>
      </c>
      <c r="D146" s="7">
        <v>0.25</v>
      </c>
      <c r="E146" s="7">
        <v>0.1</v>
      </c>
      <c r="F146" s="7">
        <v>0.05</v>
      </c>
      <c r="G146" s="5">
        <v>18</v>
      </c>
      <c r="I146" s="5" t="b">
        <v>1</v>
      </c>
      <c r="J146" s="5" t="b">
        <v>1</v>
      </c>
      <c r="K146" s="5" t="b">
        <v>1</v>
      </c>
    </row>
    <row r="147" spans="1:11">
      <c r="A147" s="5" t="s">
        <v>103</v>
      </c>
      <c r="B147" s="5" t="s">
        <v>320</v>
      </c>
      <c r="C147" s="6">
        <v>1300000</v>
      </c>
      <c r="D147" s="7">
        <v>0.25</v>
      </c>
      <c r="E147" s="7">
        <v>0.1</v>
      </c>
      <c r="F147" s="7">
        <v>0.05</v>
      </c>
      <c r="G147" s="5">
        <v>30</v>
      </c>
      <c r="I147" s="5" t="b">
        <v>1</v>
      </c>
      <c r="J147" s="5" t="b">
        <v>1</v>
      </c>
      <c r="K147" s="5" t="b">
        <v>1</v>
      </c>
    </row>
    <row r="148" spans="1:11">
      <c r="A148" s="5" t="s">
        <v>103</v>
      </c>
      <c r="B148" s="5" t="s">
        <v>321</v>
      </c>
      <c r="C148" s="6">
        <v>1000000</v>
      </c>
      <c r="D148" s="7">
        <v>0</v>
      </c>
      <c r="E148" s="7">
        <v>0</v>
      </c>
      <c r="F148" s="7">
        <v>0</v>
      </c>
      <c r="G148" s="5">
        <v>10</v>
      </c>
      <c r="I148" s="14" t="b">
        <v>0</v>
      </c>
      <c r="J148" s="14" t="b">
        <v>0</v>
      </c>
      <c r="K148" s="14" t="b">
        <v>0</v>
      </c>
    </row>
    <row r="149" spans="1:11">
      <c r="A149" s="5" t="s">
        <v>103</v>
      </c>
      <c r="B149" s="5" t="s">
        <v>322</v>
      </c>
      <c r="C149" s="6">
        <v>400000</v>
      </c>
      <c r="D149" s="7">
        <v>0.25</v>
      </c>
      <c r="E149" s="7">
        <v>0.1</v>
      </c>
      <c r="F149" s="7">
        <v>0.05</v>
      </c>
      <c r="G149" s="5">
        <v>5</v>
      </c>
      <c r="I149" s="5" t="b">
        <v>1</v>
      </c>
      <c r="J149" s="5" t="b">
        <v>1</v>
      </c>
      <c r="K149" s="5" t="b">
        <v>1</v>
      </c>
    </row>
    <row r="150" spans="1:11">
      <c r="A150" s="5" t="s">
        <v>103</v>
      </c>
      <c r="B150" s="5" t="s">
        <v>323</v>
      </c>
      <c r="C150" s="6">
        <v>900000</v>
      </c>
      <c r="D150" s="7">
        <v>0.25</v>
      </c>
      <c r="E150" s="7">
        <v>0.1</v>
      </c>
      <c r="F150" s="7">
        <v>0.05</v>
      </c>
      <c r="G150" s="5">
        <v>20</v>
      </c>
      <c r="I150" s="5" t="b">
        <v>1</v>
      </c>
      <c r="J150" s="5" t="b">
        <v>1</v>
      </c>
      <c r="K150" s="5" t="b">
        <v>1</v>
      </c>
    </row>
    <row r="151" spans="1:11">
      <c r="A151" s="5" t="s">
        <v>103</v>
      </c>
      <c r="B151" s="5" t="s">
        <v>324</v>
      </c>
      <c r="C151" s="6">
        <v>800000</v>
      </c>
      <c r="D151" s="7">
        <v>0</v>
      </c>
      <c r="E151" s="7">
        <v>0</v>
      </c>
      <c r="F151" s="7">
        <v>0</v>
      </c>
      <c r="G151" s="5">
        <v>10</v>
      </c>
      <c r="I151" s="5" t="b">
        <v>0</v>
      </c>
      <c r="J151" s="5" t="b">
        <v>0</v>
      </c>
      <c r="K151" s="5" t="b">
        <v>0</v>
      </c>
    </row>
    <row r="152" spans="1:11">
      <c r="A152" s="5" t="s">
        <v>103</v>
      </c>
      <c r="B152" s="5" t="s">
        <v>325</v>
      </c>
      <c r="C152" s="6">
        <v>400000</v>
      </c>
      <c r="D152" s="7">
        <v>0</v>
      </c>
      <c r="E152" s="7">
        <v>0</v>
      </c>
      <c r="F152" s="7">
        <v>0</v>
      </c>
      <c r="G152" s="5">
        <v>20</v>
      </c>
      <c r="I152" s="19" t="b">
        <v>0</v>
      </c>
      <c r="J152" s="19" t="b">
        <v>0</v>
      </c>
      <c r="K152" s="14" t="b">
        <v>0</v>
      </c>
    </row>
    <row r="153" spans="1:11">
      <c r="A153" s="5" t="s">
        <v>103</v>
      </c>
      <c r="B153" s="5" t="s">
        <v>326</v>
      </c>
      <c r="C153" s="6">
        <v>6000000</v>
      </c>
      <c r="D153" s="7">
        <v>0.25</v>
      </c>
      <c r="E153" s="7">
        <v>0.1</v>
      </c>
      <c r="F153" s="7">
        <v>0.05</v>
      </c>
      <c r="G153" s="5">
        <v>30</v>
      </c>
      <c r="I153" s="5" t="b">
        <v>1</v>
      </c>
      <c r="J153" s="5" t="b">
        <v>1</v>
      </c>
      <c r="K153" s="5" t="b">
        <v>1</v>
      </c>
    </row>
    <row r="154" spans="1:11">
      <c r="A154" s="5" t="s">
        <v>61</v>
      </c>
      <c r="B154" s="5" t="s">
        <v>327</v>
      </c>
      <c r="C154" s="6">
        <v>900000</v>
      </c>
      <c r="D154" s="7">
        <v>0.25</v>
      </c>
      <c r="E154" s="7">
        <v>8.3299999999999999E-2</v>
      </c>
      <c r="F154" s="7">
        <v>5.5599999999999997E-2</v>
      </c>
      <c r="G154" s="5">
        <v>36</v>
      </c>
      <c r="I154" s="5" t="b">
        <v>1</v>
      </c>
      <c r="J154" s="5" t="b">
        <v>1</v>
      </c>
      <c r="K154" s="5" t="b">
        <v>1</v>
      </c>
    </row>
    <row r="155" spans="1:11">
      <c r="A155" s="5" t="s">
        <v>61</v>
      </c>
      <c r="B155" s="5" t="s">
        <v>329</v>
      </c>
      <c r="C155" s="6">
        <v>250000</v>
      </c>
      <c r="D155" s="7">
        <v>0.2</v>
      </c>
      <c r="E155" s="7">
        <v>0.2</v>
      </c>
      <c r="F155" s="7">
        <v>0.2</v>
      </c>
      <c r="G155" s="5">
        <v>5</v>
      </c>
      <c r="I155" s="5" t="b">
        <v>1</v>
      </c>
      <c r="J155" s="5" t="b">
        <v>1</v>
      </c>
      <c r="K155" s="5" t="b">
        <v>1</v>
      </c>
    </row>
    <row r="156" spans="1:11">
      <c r="A156" s="5" t="s">
        <v>61</v>
      </c>
      <c r="B156" s="5" t="s">
        <v>330</v>
      </c>
      <c r="C156" s="6">
        <v>290000</v>
      </c>
      <c r="D156" s="7">
        <v>0.24</v>
      </c>
      <c r="E156" s="7">
        <v>0.1</v>
      </c>
      <c r="F156" s="7">
        <v>0.04</v>
      </c>
      <c r="G156" s="5">
        <v>29</v>
      </c>
      <c r="I156" s="5" t="b">
        <v>1</v>
      </c>
      <c r="J156" s="5" t="b">
        <v>1</v>
      </c>
      <c r="K156" s="5" t="b">
        <v>1</v>
      </c>
    </row>
    <row r="157" spans="1:11">
      <c r="A157" s="5" t="s">
        <v>61</v>
      </c>
      <c r="B157" s="5" t="s">
        <v>331</v>
      </c>
      <c r="C157" s="6">
        <v>1015000</v>
      </c>
      <c r="D157" s="7">
        <v>0.24</v>
      </c>
      <c r="E157" s="7">
        <v>0.1</v>
      </c>
      <c r="F157" s="7">
        <v>0.04</v>
      </c>
      <c r="G157" s="5">
        <v>29</v>
      </c>
      <c r="I157" s="5" t="b">
        <v>1</v>
      </c>
      <c r="J157" s="5" t="b">
        <v>1</v>
      </c>
      <c r="K157" s="5" t="b">
        <v>1</v>
      </c>
    </row>
    <row r="158" spans="1:11">
      <c r="A158" s="5" t="s">
        <v>61</v>
      </c>
      <c r="B158" s="5" t="s">
        <v>332</v>
      </c>
      <c r="C158" s="6">
        <v>900000</v>
      </c>
      <c r="D158" s="7">
        <v>0.25</v>
      </c>
      <c r="E158" s="7">
        <v>0.1</v>
      </c>
      <c r="F158" s="7">
        <v>0.05</v>
      </c>
      <c r="G158" s="5">
        <v>45</v>
      </c>
      <c r="I158" s="5" t="b">
        <v>1</v>
      </c>
      <c r="J158" s="5" t="b">
        <v>1</v>
      </c>
      <c r="K158" s="5" t="b">
        <v>1</v>
      </c>
    </row>
    <row r="159" spans="1:11">
      <c r="A159" s="5" t="s">
        <v>62</v>
      </c>
      <c r="B159" s="5" t="s">
        <v>333</v>
      </c>
      <c r="C159" s="6">
        <v>500000</v>
      </c>
      <c r="D159" s="7">
        <v>0.25</v>
      </c>
      <c r="E159" s="7">
        <v>0.1</v>
      </c>
      <c r="F159" s="7">
        <v>0.1</v>
      </c>
      <c r="G159" s="5">
        <v>20</v>
      </c>
      <c r="I159" s="5" t="b">
        <v>1</v>
      </c>
      <c r="J159" s="5" t="b">
        <v>1</v>
      </c>
      <c r="K159" s="5" t="b">
        <v>1</v>
      </c>
    </row>
    <row r="160" spans="1:11">
      <c r="A160" s="5" t="s">
        <v>62</v>
      </c>
      <c r="B160" s="5" t="s">
        <v>335</v>
      </c>
      <c r="C160" s="6">
        <v>480000</v>
      </c>
      <c r="D160" s="7">
        <v>0.25</v>
      </c>
      <c r="E160" s="7">
        <v>0.1</v>
      </c>
      <c r="F160" s="7">
        <v>0.1</v>
      </c>
      <c r="G160" s="5">
        <v>24</v>
      </c>
      <c r="I160" s="5" t="b">
        <v>1</v>
      </c>
      <c r="J160" s="5" t="b">
        <v>1</v>
      </c>
      <c r="K160" s="5" t="b">
        <v>1</v>
      </c>
    </row>
    <row r="161" spans="1:11">
      <c r="A161" s="5" t="s">
        <v>62</v>
      </c>
      <c r="B161" s="5" t="s">
        <v>336</v>
      </c>
      <c r="C161" s="6">
        <v>480000</v>
      </c>
      <c r="D161" s="7">
        <v>0.25</v>
      </c>
      <c r="E161" s="7">
        <v>0.1</v>
      </c>
      <c r="F161" s="7">
        <v>0.1</v>
      </c>
      <c r="G161" s="5">
        <v>36</v>
      </c>
      <c r="I161" s="5" t="b">
        <v>1</v>
      </c>
      <c r="J161" s="5" t="b">
        <v>1</v>
      </c>
      <c r="K161" s="5" t="b">
        <v>1</v>
      </c>
    </row>
    <row r="162" spans="1:11">
      <c r="A162" s="5" t="s">
        <v>62</v>
      </c>
      <c r="B162" s="5" t="s">
        <v>337</v>
      </c>
      <c r="C162" s="6">
        <v>150000</v>
      </c>
      <c r="D162" s="7">
        <v>0.25</v>
      </c>
      <c r="E162" s="7">
        <v>0.1</v>
      </c>
      <c r="F162" s="7">
        <v>0.1</v>
      </c>
      <c r="G162" s="5">
        <v>6</v>
      </c>
      <c r="I162" s="5" t="b">
        <v>1</v>
      </c>
      <c r="J162" s="5" t="b">
        <v>1</v>
      </c>
      <c r="K162" s="5" t="b">
        <v>1</v>
      </c>
    </row>
    <row r="163" spans="1:11">
      <c r="A163" s="5" t="s">
        <v>62</v>
      </c>
      <c r="B163" s="5" t="s">
        <v>338</v>
      </c>
      <c r="C163" s="6">
        <v>480000</v>
      </c>
      <c r="D163" s="7">
        <v>0.25</v>
      </c>
      <c r="E163" s="7">
        <v>0.1</v>
      </c>
      <c r="F163" s="7">
        <v>0.1</v>
      </c>
      <c r="G163" s="5">
        <v>20</v>
      </c>
      <c r="I163" s="5" t="b">
        <v>1</v>
      </c>
      <c r="J163" s="5" t="b">
        <v>1</v>
      </c>
      <c r="K163" s="5" t="b">
        <v>1</v>
      </c>
    </row>
    <row r="164" spans="1:11">
      <c r="A164" s="5" t="s">
        <v>62</v>
      </c>
      <c r="B164" s="5" t="s">
        <v>339</v>
      </c>
      <c r="C164" s="6">
        <v>577489.37</v>
      </c>
      <c r="D164" s="7">
        <v>0.25</v>
      </c>
      <c r="E164" s="7">
        <v>0.1</v>
      </c>
      <c r="F164" s="7">
        <v>0.1</v>
      </c>
      <c r="G164" s="5">
        <v>12</v>
      </c>
      <c r="I164" s="5" t="b">
        <v>1</v>
      </c>
      <c r="J164" s="5" t="b">
        <v>1</v>
      </c>
      <c r="K164" s="5" t="b">
        <v>1</v>
      </c>
    </row>
    <row r="165" spans="1:11">
      <c r="A165" s="5" t="s">
        <v>62</v>
      </c>
      <c r="B165" s="5" t="s">
        <v>340</v>
      </c>
      <c r="C165" s="6">
        <v>2000000</v>
      </c>
      <c r="D165" s="7">
        <v>0.25</v>
      </c>
      <c r="E165" s="7">
        <v>0</v>
      </c>
      <c r="F165" s="7">
        <v>0.1</v>
      </c>
      <c r="G165" s="5">
        <v>30</v>
      </c>
      <c r="I165" s="5" t="b">
        <v>1</v>
      </c>
      <c r="J165" s="5" t="b">
        <v>0</v>
      </c>
      <c r="K165" s="5" t="b">
        <v>1</v>
      </c>
    </row>
    <row r="166" spans="1:11">
      <c r="A166" s="5" t="s">
        <v>62</v>
      </c>
      <c r="B166" s="5" t="s">
        <v>341</v>
      </c>
      <c r="C166" s="6">
        <v>288000</v>
      </c>
      <c r="D166" s="7">
        <v>0.25</v>
      </c>
      <c r="E166" s="7">
        <v>0.1</v>
      </c>
      <c r="F166" s="7">
        <v>0.1</v>
      </c>
      <c r="G166" s="5">
        <v>16</v>
      </c>
      <c r="I166" s="5" t="b">
        <v>1</v>
      </c>
      <c r="J166" s="5" t="b">
        <v>1</v>
      </c>
      <c r="K166" s="5" t="b">
        <v>1</v>
      </c>
    </row>
    <row r="167" spans="1:11">
      <c r="A167" s="5" t="s">
        <v>62</v>
      </c>
      <c r="B167" s="5" t="s">
        <v>342</v>
      </c>
      <c r="C167" s="6">
        <v>1600000</v>
      </c>
      <c r="D167" s="7">
        <v>0</v>
      </c>
      <c r="E167" s="7">
        <v>0</v>
      </c>
      <c r="F167" s="7">
        <v>0</v>
      </c>
      <c r="G167" s="5">
        <v>3</v>
      </c>
      <c r="I167" s="5" t="b">
        <v>0</v>
      </c>
      <c r="J167" s="5" t="b">
        <v>1</v>
      </c>
      <c r="K167" s="5" t="b">
        <v>1</v>
      </c>
    </row>
    <row r="168" spans="1:11">
      <c r="A168" s="5" t="s">
        <v>62</v>
      </c>
      <c r="B168" s="5" t="s">
        <v>717</v>
      </c>
      <c r="C168" s="6">
        <v>1622228.16</v>
      </c>
      <c r="D168" s="7">
        <v>0</v>
      </c>
      <c r="E168" s="7">
        <v>0</v>
      </c>
      <c r="F168" s="7">
        <v>0</v>
      </c>
      <c r="G168" s="5">
        <v>48</v>
      </c>
      <c r="I168" s="5" t="b">
        <v>0</v>
      </c>
      <c r="J168" s="5" t="b">
        <v>0</v>
      </c>
      <c r="K168" s="5" t="b">
        <v>0</v>
      </c>
    </row>
    <row r="169" spans="1:11">
      <c r="A169" s="5" t="s">
        <v>62</v>
      </c>
      <c r="B169" s="5" t="s">
        <v>344</v>
      </c>
      <c r="C169" s="6">
        <v>350272</v>
      </c>
      <c r="D169" s="7">
        <v>0</v>
      </c>
      <c r="E169" s="7">
        <v>0</v>
      </c>
      <c r="F169" s="7">
        <v>1</v>
      </c>
      <c r="G169" s="5">
        <v>26</v>
      </c>
      <c r="H169" s="5" t="s">
        <v>345</v>
      </c>
      <c r="I169" s="5" t="b">
        <v>0</v>
      </c>
      <c r="J169" s="5" t="b">
        <v>0</v>
      </c>
      <c r="K169" s="5" t="b">
        <v>1</v>
      </c>
    </row>
    <row r="170" spans="1:11">
      <c r="A170" s="5" t="s">
        <v>62</v>
      </c>
      <c r="B170" s="5" t="s">
        <v>346</v>
      </c>
      <c r="C170" s="6">
        <v>523104.55</v>
      </c>
      <c r="D170" s="7">
        <v>0</v>
      </c>
      <c r="E170" s="7">
        <v>0</v>
      </c>
      <c r="F170" s="7">
        <v>0</v>
      </c>
      <c r="G170" s="5">
        <v>12</v>
      </c>
      <c r="I170" s="5" t="b">
        <v>0</v>
      </c>
      <c r="J170" s="5" t="b">
        <v>0</v>
      </c>
      <c r="K170" s="5" t="b">
        <v>0</v>
      </c>
    </row>
    <row r="171" spans="1:11">
      <c r="A171" s="5" t="s">
        <v>62</v>
      </c>
      <c r="B171" s="5" t="s">
        <v>347</v>
      </c>
      <c r="C171" s="6">
        <v>350000</v>
      </c>
      <c r="D171" s="7">
        <v>0.25</v>
      </c>
      <c r="E171" s="7">
        <v>0.1</v>
      </c>
      <c r="F171" s="7">
        <v>0.1</v>
      </c>
      <c r="G171" s="5">
        <v>30</v>
      </c>
      <c r="I171" s="5" t="b">
        <v>1</v>
      </c>
      <c r="J171" s="5" t="b">
        <v>1</v>
      </c>
      <c r="K171" s="5" t="b">
        <v>1</v>
      </c>
    </row>
    <row r="172" spans="1:11">
      <c r="A172" s="5" t="s">
        <v>63</v>
      </c>
      <c r="B172" s="5" t="s">
        <v>349</v>
      </c>
      <c r="C172" s="6">
        <v>3910000</v>
      </c>
      <c r="D172" s="7">
        <v>0.25</v>
      </c>
      <c r="E172" s="7">
        <v>0.1</v>
      </c>
      <c r="F172" s="7">
        <v>0.05</v>
      </c>
      <c r="G172" s="5">
        <v>57</v>
      </c>
      <c r="I172" s="5" t="b">
        <v>1</v>
      </c>
      <c r="J172" s="5" t="b">
        <v>1</v>
      </c>
      <c r="K172" s="5" t="b">
        <v>1</v>
      </c>
    </row>
    <row r="173" spans="1:11">
      <c r="A173" s="5" t="s">
        <v>63</v>
      </c>
      <c r="B173" s="5" t="s">
        <v>351</v>
      </c>
      <c r="C173" s="6">
        <v>421392.11</v>
      </c>
      <c r="D173" s="7">
        <v>0.25</v>
      </c>
      <c r="E173" s="7">
        <v>0.1</v>
      </c>
      <c r="F173" s="7">
        <v>0.05</v>
      </c>
      <c r="G173" s="5">
        <v>42</v>
      </c>
      <c r="I173" s="5" t="b">
        <v>1</v>
      </c>
      <c r="J173" s="5" t="b">
        <v>1</v>
      </c>
      <c r="K173" s="5" t="b">
        <v>1</v>
      </c>
    </row>
    <row r="174" spans="1:11">
      <c r="A174" s="5" t="s">
        <v>63</v>
      </c>
      <c r="B174" s="5" t="s">
        <v>352</v>
      </c>
      <c r="C174" s="6">
        <v>485313.39</v>
      </c>
      <c r="D174" s="7">
        <v>0.25</v>
      </c>
      <c r="E174" s="7">
        <v>0.1</v>
      </c>
      <c r="F174" s="7">
        <v>0.05</v>
      </c>
      <c r="G174" s="5">
        <v>29</v>
      </c>
      <c r="I174" s="5" t="b">
        <v>1</v>
      </c>
      <c r="J174" s="5" t="b">
        <v>1</v>
      </c>
      <c r="K174" s="5" t="b">
        <v>1</v>
      </c>
    </row>
    <row r="175" spans="1:11">
      <c r="A175" s="5" t="s">
        <v>63</v>
      </c>
      <c r="B175" s="5" t="s">
        <v>353</v>
      </c>
      <c r="C175" s="6">
        <v>960784.25</v>
      </c>
      <c r="D175" s="7">
        <v>0.25</v>
      </c>
      <c r="E175" s="7">
        <v>0.1</v>
      </c>
      <c r="F175" s="7">
        <v>0.05</v>
      </c>
      <c r="G175" s="5">
        <v>3</v>
      </c>
      <c r="I175" s="5" t="b">
        <v>1</v>
      </c>
      <c r="J175" s="5" t="b">
        <v>1</v>
      </c>
      <c r="K175" s="5" t="b">
        <v>1</v>
      </c>
    </row>
    <row r="176" spans="1:11">
      <c r="A176" s="5" t="s">
        <v>63</v>
      </c>
      <c r="B176" s="5" t="s">
        <v>354</v>
      </c>
      <c r="C176" s="6">
        <v>2401960.5</v>
      </c>
      <c r="D176" s="7">
        <v>0.25</v>
      </c>
      <c r="E176" s="7">
        <v>0.1</v>
      </c>
      <c r="F176" s="7">
        <v>0.05</v>
      </c>
      <c r="G176" s="5">
        <v>40</v>
      </c>
      <c r="I176" s="5" t="b">
        <v>1</v>
      </c>
      <c r="J176" s="5" t="b">
        <v>1</v>
      </c>
      <c r="K176" s="5" t="b">
        <v>1</v>
      </c>
    </row>
    <row r="177" spans="1:11">
      <c r="A177" s="5" t="s">
        <v>63</v>
      </c>
      <c r="B177" s="5" t="s">
        <v>355</v>
      </c>
      <c r="C177" s="6">
        <v>948000</v>
      </c>
      <c r="D177" s="7">
        <v>0.25</v>
      </c>
      <c r="E177" s="7">
        <v>0.1</v>
      </c>
      <c r="F177" s="7">
        <v>0.05</v>
      </c>
      <c r="G177" s="5">
        <v>57</v>
      </c>
      <c r="I177" s="5" t="b">
        <v>1</v>
      </c>
      <c r="J177" s="5" t="b">
        <v>1</v>
      </c>
      <c r="K177" s="5" t="b">
        <v>1</v>
      </c>
    </row>
    <row r="178" spans="1:11">
      <c r="A178" s="5" t="s">
        <v>104</v>
      </c>
      <c r="B178" s="5" t="s">
        <v>356</v>
      </c>
      <c r="C178" s="6">
        <v>1957000</v>
      </c>
      <c r="D178" s="7">
        <v>0.3</v>
      </c>
      <c r="E178" s="7">
        <v>0.1</v>
      </c>
      <c r="F178" s="7">
        <v>0.1</v>
      </c>
      <c r="G178" s="5">
        <v>50</v>
      </c>
      <c r="I178" s="5" t="b">
        <v>1</v>
      </c>
      <c r="J178" s="5" t="b">
        <v>1</v>
      </c>
      <c r="K178" s="5" t="b">
        <v>1</v>
      </c>
    </row>
    <row r="179" spans="1:11">
      <c r="A179" s="5" t="s">
        <v>104</v>
      </c>
      <c r="B179" s="5" t="s">
        <v>358</v>
      </c>
      <c r="C179" s="6">
        <v>5400000</v>
      </c>
      <c r="D179" s="7">
        <v>0.25</v>
      </c>
      <c r="E179" s="7">
        <v>0.1</v>
      </c>
      <c r="F179" s="7">
        <v>0.1</v>
      </c>
      <c r="G179" s="5">
        <v>40</v>
      </c>
      <c r="I179" s="5" t="b">
        <v>1</v>
      </c>
      <c r="J179" s="5" t="b">
        <v>1</v>
      </c>
      <c r="K179" s="5" t="b">
        <v>1</v>
      </c>
    </row>
    <row r="180" spans="1:11">
      <c r="A180" s="5" t="s">
        <v>104</v>
      </c>
      <c r="B180" s="5" t="s">
        <v>359</v>
      </c>
      <c r="C180" s="6">
        <v>907000</v>
      </c>
      <c r="D180" s="7">
        <v>0.25</v>
      </c>
      <c r="E180" s="7">
        <v>0.1</v>
      </c>
      <c r="F180" s="7">
        <v>0.1</v>
      </c>
      <c r="G180" s="5">
        <v>2</v>
      </c>
      <c r="I180" s="5" t="b">
        <v>1</v>
      </c>
      <c r="J180" s="5" t="b">
        <v>1</v>
      </c>
      <c r="K180" s="5" t="b">
        <v>1</v>
      </c>
    </row>
    <row r="181" spans="1:11">
      <c r="A181" s="5" t="s">
        <v>104</v>
      </c>
      <c r="B181" s="5" t="s">
        <v>360</v>
      </c>
      <c r="C181" s="6">
        <v>1000000</v>
      </c>
      <c r="D181" s="7">
        <v>0.25</v>
      </c>
      <c r="E181" s="7">
        <v>0.1</v>
      </c>
      <c r="F181" s="7">
        <v>0.1</v>
      </c>
      <c r="G181" s="5">
        <v>15</v>
      </c>
      <c r="I181" s="5" t="b">
        <v>1</v>
      </c>
      <c r="J181" s="5" t="b">
        <v>1</v>
      </c>
      <c r="K181" s="5" t="b">
        <v>1</v>
      </c>
    </row>
    <row r="182" spans="1:11">
      <c r="A182" s="5" t="s">
        <v>104</v>
      </c>
      <c r="B182" s="5" t="s">
        <v>361</v>
      </c>
      <c r="C182" s="6">
        <v>2500000</v>
      </c>
      <c r="D182" s="7">
        <v>0.25</v>
      </c>
      <c r="E182" s="7">
        <v>0.1</v>
      </c>
      <c r="F182" s="7">
        <v>0.1</v>
      </c>
      <c r="G182" s="5">
        <v>20</v>
      </c>
      <c r="I182" s="5" t="b">
        <v>1</v>
      </c>
      <c r="J182" s="5" t="b">
        <v>1</v>
      </c>
      <c r="K182" s="5" t="b">
        <v>1</v>
      </c>
    </row>
    <row r="183" spans="1:11">
      <c r="A183" s="5" t="s">
        <v>104</v>
      </c>
      <c r="B183" s="5" t="s">
        <v>362</v>
      </c>
      <c r="C183" s="6">
        <v>2500000</v>
      </c>
      <c r="D183" s="7">
        <v>0.25</v>
      </c>
      <c r="E183" s="7">
        <v>0.1</v>
      </c>
      <c r="F183" s="7">
        <v>0.1</v>
      </c>
      <c r="G183" s="5">
        <v>36</v>
      </c>
      <c r="I183" s="5" t="b">
        <v>1</v>
      </c>
      <c r="J183" s="5" t="b">
        <v>1</v>
      </c>
      <c r="K183" s="5" t="b">
        <v>1</v>
      </c>
    </row>
    <row r="184" spans="1:11">
      <c r="A184" s="5" t="s">
        <v>104</v>
      </c>
      <c r="B184" s="5" t="s">
        <v>363</v>
      </c>
      <c r="C184" s="6">
        <v>1000000</v>
      </c>
      <c r="D184" s="7">
        <v>0.25</v>
      </c>
      <c r="E184" s="7">
        <v>0.1</v>
      </c>
      <c r="F184" s="7">
        <v>0.1</v>
      </c>
      <c r="G184" s="5">
        <v>39</v>
      </c>
      <c r="I184" s="5" t="b">
        <v>1</v>
      </c>
      <c r="J184" s="5" t="b">
        <v>1</v>
      </c>
      <c r="K184" s="5" t="b">
        <v>1</v>
      </c>
    </row>
    <row r="185" spans="1:11">
      <c r="A185" s="5" t="s">
        <v>104</v>
      </c>
      <c r="B185" s="5" t="s">
        <v>364</v>
      </c>
      <c r="C185" s="6">
        <v>2000000</v>
      </c>
      <c r="D185" s="7">
        <v>0.25</v>
      </c>
      <c r="E185" s="7">
        <v>0.1</v>
      </c>
      <c r="F185" s="7">
        <v>0.1</v>
      </c>
      <c r="G185" s="5">
        <v>20</v>
      </c>
      <c r="I185" s="5" t="b">
        <v>1</v>
      </c>
      <c r="J185" s="5" t="b">
        <v>1</v>
      </c>
      <c r="K185" s="5" t="b">
        <v>1</v>
      </c>
    </row>
    <row r="186" spans="1:11">
      <c r="A186" s="5" t="s">
        <v>104</v>
      </c>
      <c r="B186" s="5" t="s">
        <v>365</v>
      </c>
      <c r="C186" s="6">
        <v>1000000</v>
      </c>
      <c r="D186" s="7">
        <v>0.25</v>
      </c>
      <c r="E186" s="7">
        <v>0.1</v>
      </c>
      <c r="F186" s="7">
        <v>0.1</v>
      </c>
      <c r="G186" s="5">
        <v>13</v>
      </c>
      <c r="I186" s="5" t="b">
        <v>1</v>
      </c>
      <c r="J186" s="5" t="b">
        <v>1</v>
      </c>
      <c r="K186" s="5" t="b">
        <v>1</v>
      </c>
    </row>
    <row r="187" spans="1:11">
      <c r="A187" s="5" t="s">
        <v>104</v>
      </c>
      <c r="B187" s="5" t="s">
        <v>366</v>
      </c>
      <c r="C187" s="6">
        <v>1000000</v>
      </c>
      <c r="D187" s="7">
        <v>0.25</v>
      </c>
      <c r="E187" s="7">
        <v>0.1</v>
      </c>
      <c r="F187" s="7">
        <v>0.1</v>
      </c>
      <c r="G187" s="5">
        <v>18</v>
      </c>
      <c r="I187" s="5" t="b">
        <v>1</v>
      </c>
      <c r="J187" s="5" t="b">
        <v>1</v>
      </c>
      <c r="K187" s="5" t="b">
        <v>1</v>
      </c>
    </row>
    <row r="188" spans="1:11">
      <c r="A188" s="5" t="s">
        <v>104</v>
      </c>
      <c r="B188" s="5" t="s">
        <v>367</v>
      </c>
      <c r="C188" s="6">
        <v>2000000</v>
      </c>
      <c r="D188" s="7">
        <v>0.25</v>
      </c>
      <c r="E188" s="7">
        <v>0.1</v>
      </c>
      <c r="F188" s="7">
        <v>0.1</v>
      </c>
      <c r="G188" s="5">
        <v>22</v>
      </c>
      <c r="I188" s="5" t="b">
        <v>1</v>
      </c>
      <c r="J188" s="5" t="b">
        <v>1</v>
      </c>
      <c r="K188" s="5" t="b">
        <v>1</v>
      </c>
    </row>
    <row r="189" spans="1:11">
      <c r="A189" s="5" t="s">
        <v>104</v>
      </c>
      <c r="B189" s="5" t="s">
        <v>368</v>
      </c>
      <c r="C189" s="6">
        <v>2000000</v>
      </c>
      <c r="D189" s="7">
        <v>0.25</v>
      </c>
      <c r="E189" s="7">
        <v>0.1</v>
      </c>
      <c r="F189" s="7">
        <v>0.1</v>
      </c>
      <c r="G189" s="5">
        <v>62</v>
      </c>
      <c r="I189" s="5" t="b">
        <v>1</v>
      </c>
      <c r="J189" s="5" t="b">
        <v>1</v>
      </c>
      <c r="K189" s="5" t="b">
        <v>1</v>
      </c>
    </row>
    <row r="190" spans="1:11">
      <c r="A190" s="5" t="s">
        <v>104</v>
      </c>
      <c r="B190" s="5" t="s">
        <v>369</v>
      </c>
      <c r="C190" s="6">
        <v>4000000</v>
      </c>
      <c r="D190" s="7">
        <v>0.25</v>
      </c>
      <c r="E190" s="7">
        <v>0.1</v>
      </c>
      <c r="F190" s="7">
        <v>0.1</v>
      </c>
      <c r="G190" s="5">
        <v>73</v>
      </c>
      <c r="I190" s="5" t="b">
        <v>1</v>
      </c>
      <c r="J190" s="5" t="b">
        <v>1</v>
      </c>
      <c r="K190" s="5" t="b">
        <v>1</v>
      </c>
    </row>
    <row r="191" spans="1:11">
      <c r="A191" s="5" t="s">
        <v>104</v>
      </c>
      <c r="B191" s="5" t="s">
        <v>370</v>
      </c>
      <c r="C191" s="6">
        <v>2000000</v>
      </c>
      <c r="D191" s="7">
        <v>0.25</v>
      </c>
      <c r="E191" s="7">
        <v>0.1</v>
      </c>
      <c r="F191" s="7">
        <v>0.1</v>
      </c>
      <c r="G191" s="5">
        <v>22</v>
      </c>
      <c r="I191" s="5" t="b">
        <v>1</v>
      </c>
      <c r="J191" s="5" t="b">
        <v>1</v>
      </c>
      <c r="K191" s="5" t="b">
        <v>1</v>
      </c>
    </row>
    <row r="192" spans="1:11">
      <c r="A192" s="5" t="s">
        <v>104</v>
      </c>
      <c r="B192" s="5" t="s">
        <v>371</v>
      </c>
      <c r="C192" s="6">
        <v>1500000</v>
      </c>
      <c r="D192" s="7">
        <v>0.25</v>
      </c>
      <c r="E192" s="7">
        <v>0.1</v>
      </c>
      <c r="F192" s="7">
        <v>0.1</v>
      </c>
      <c r="G192" s="5">
        <v>12</v>
      </c>
      <c r="I192" s="5" t="b">
        <v>1</v>
      </c>
      <c r="J192" s="5" t="b">
        <v>1</v>
      </c>
      <c r="K192" s="5" t="b">
        <v>1</v>
      </c>
    </row>
    <row r="193" spans="1:11">
      <c r="A193" s="5" t="s">
        <v>104</v>
      </c>
      <c r="B193" s="5" t="s">
        <v>372</v>
      </c>
      <c r="C193" s="6">
        <v>1000000</v>
      </c>
      <c r="D193" s="7">
        <v>0.25</v>
      </c>
      <c r="E193" s="7">
        <v>0.1</v>
      </c>
      <c r="F193" s="7">
        <v>0.1</v>
      </c>
      <c r="G193" s="5">
        <v>25</v>
      </c>
      <c r="I193" s="5" t="b">
        <v>1</v>
      </c>
      <c r="J193" s="5" t="b">
        <v>1</v>
      </c>
      <c r="K193" s="5" t="b">
        <v>1</v>
      </c>
    </row>
    <row r="194" spans="1:11">
      <c r="A194" s="5" t="s">
        <v>104</v>
      </c>
      <c r="B194" s="5" t="s">
        <v>373</v>
      </c>
      <c r="C194" s="6">
        <v>3500000</v>
      </c>
      <c r="D194" s="7">
        <v>0.25</v>
      </c>
      <c r="E194" s="7">
        <v>0.1</v>
      </c>
      <c r="F194" s="7">
        <v>0.1</v>
      </c>
      <c r="G194" s="5">
        <v>27</v>
      </c>
      <c r="I194" s="5" t="b">
        <v>1</v>
      </c>
      <c r="J194" s="5" t="b">
        <v>1</v>
      </c>
      <c r="K194" s="5" t="b">
        <v>1</v>
      </c>
    </row>
    <row r="195" spans="1:11">
      <c r="A195" s="5" t="s">
        <v>104</v>
      </c>
      <c r="B195" s="5" t="s">
        <v>374</v>
      </c>
      <c r="C195" s="6">
        <v>6050000</v>
      </c>
      <c r="D195" s="7">
        <v>0.25</v>
      </c>
      <c r="E195" s="7">
        <v>0.1</v>
      </c>
      <c r="F195" s="7">
        <v>0.1</v>
      </c>
      <c r="G195" s="5">
        <v>32</v>
      </c>
      <c r="I195" s="5" t="b">
        <v>1</v>
      </c>
      <c r="J195" s="5" t="b">
        <v>1</v>
      </c>
      <c r="K195" s="5" t="b">
        <v>1</v>
      </c>
    </row>
    <row r="196" spans="1:11">
      <c r="A196" s="5" t="s">
        <v>104</v>
      </c>
      <c r="B196" s="5" t="s">
        <v>375</v>
      </c>
      <c r="C196" s="6">
        <v>1000000</v>
      </c>
      <c r="D196" s="7">
        <v>0.25</v>
      </c>
      <c r="E196" s="7">
        <v>0.1</v>
      </c>
      <c r="F196" s="7">
        <v>0.1</v>
      </c>
      <c r="G196" s="5">
        <v>10</v>
      </c>
      <c r="I196" s="5" t="b">
        <v>1</v>
      </c>
      <c r="J196" s="5" t="b">
        <v>1</v>
      </c>
      <c r="K196" s="5" t="b">
        <v>1</v>
      </c>
    </row>
    <row r="197" spans="1:11">
      <c r="A197" s="5" t="s">
        <v>104</v>
      </c>
      <c r="B197" s="5" t="s">
        <v>376</v>
      </c>
      <c r="C197" s="6">
        <v>4950000</v>
      </c>
      <c r="D197" s="7">
        <v>0.23680000000000001</v>
      </c>
      <c r="E197" s="7">
        <v>7.8899999999999998E-2</v>
      </c>
      <c r="F197" s="7">
        <v>7.8899999999999998E-2</v>
      </c>
      <c r="G197" s="5">
        <v>38</v>
      </c>
      <c r="I197" s="5" t="b">
        <v>1</v>
      </c>
      <c r="J197" s="5" t="b">
        <v>0</v>
      </c>
      <c r="K197" s="5" t="b">
        <v>1</v>
      </c>
    </row>
    <row r="198" spans="1:11">
      <c r="A198" s="5" t="s">
        <v>64</v>
      </c>
      <c r="B198" s="5" t="s">
        <v>377</v>
      </c>
      <c r="C198" s="6">
        <v>420000</v>
      </c>
      <c r="D198" s="7">
        <v>0.25</v>
      </c>
      <c r="E198" s="7">
        <v>0.1</v>
      </c>
      <c r="F198" s="7">
        <v>0.05</v>
      </c>
      <c r="G198" s="5">
        <v>14</v>
      </c>
      <c r="I198" s="5" t="b">
        <v>1</v>
      </c>
      <c r="J198" s="5" t="b">
        <v>1</v>
      </c>
      <c r="K198" s="5" t="b">
        <v>1</v>
      </c>
    </row>
    <row r="199" spans="1:11">
      <c r="A199" s="5" t="s">
        <v>64</v>
      </c>
      <c r="B199" s="5" t="s">
        <v>379</v>
      </c>
      <c r="C199" s="6">
        <v>1200000</v>
      </c>
      <c r="D199" s="7">
        <v>0.25</v>
      </c>
      <c r="E199" s="7">
        <v>0.1</v>
      </c>
      <c r="F199" s="7">
        <v>0.05</v>
      </c>
      <c r="G199" s="5">
        <v>10</v>
      </c>
      <c r="I199" s="5" t="b">
        <v>1</v>
      </c>
      <c r="J199" s="5" t="b">
        <v>1</v>
      </c>
      <c r="K199" s="5" t="b">
        <v>1</v>
      </c>
    </row>
    <row r="200" spans="1:11">
      <c r="A200" s="5" t="s">
        <v>64</v>
      </c>
      <c r="B200" s="5" t="s">
        <v>380</v>
      </c>
      <c r="C200" s="6">
        <v>240000</v>
      </c>
      <c r="D200" s="7">
        <v>1</v>
      </c>
      <c r="E200" s="7">
        <v>0.1</v>
      </c>
      <c r="F200" s="7">
        <v>7.0000000000000007E-2</v>
      </c>
      <c r="G200" s="5">
        <v>30</v>
      </c>
      <c r="H200" s="5" t="s">
        <v>213</v>
      </c>
      <c r="I200" s="5" t="b">
        <v>1</v>
      </c>
      <c r="J200" s="5" t="b">
        <v>1</v>
      </c>
      <c r="K200" s="5" t="b">
        <v>1</v>
      </c>
    </row>
    <row r="201" spans="1:11">
      <c r="A201" s="5" t="s">
        <v>64</v>
      </c>
      <c r="B201" s="5" t="s">
        <v>381</v>
      </c>
      <c r="C201" s="6">
        <v>800000</v>
      </c>
      <c r="D201" s="7">
        <v>0.25</v>
      </c>
      <c r="E201" s="7">
        <v>0.1</v>
      </c>
      <c r="F201" s="7">
        <v>0.05</v>
      </c>
      <c r="G201" s="5">
        <v>20</v>
      </c>
      <c r="I201" s="5" t="b">
        <v>1</v>
      </c>
      <c r="J201" s="5" t="b">
        <v>1</v>
      </c>
      <c r="K201" s="5" t="b">
        <v>1</v>
      </c>
    </row>
    <row r="202" spans="1:11">
      <c r="A202" s="5" t="s">
        <v>64</v>
      </c>
      <c r="B202" s="5" t="s">
        <v>382</v>
      </c>
      <c r="C202" s="6">
        <v>240000</v>
      </c>
      <c r="D202" s="7">
        <v>0.26</v>
      </c>
      <c r="E202" s="7">
        <v>0.1</v>
      </c>
      <c r="F202" s="7">
        <v>0.06</v>
      </c>
      <c r="G202" s="5">
        <v>30</v>
      </c>
      <c r="I202" s="5" t="b">
        <v>1</v>
      </c>
      <c r="J202" s="5" t="b">
        <v>1</v>
      </c>
      <c r="K202" s="5" t="b">
        <v>1</v>
      </c>
    </row>
    <row r="203" spans="1:11">
      <c r="A203" s="5" t="s">
        <v>64</v>
      </c>
      <c r="B203" s="5" t="s">
        <v>383</v>
      </c>
      <c r="C203" s="6">
        <v>500000</v>
      </c>
      <c r="D203" s="7">
        <v>0.23</v>
      </c>
      <c r="E203" s="7">
        <v>0.12</v>
      </c>
      <c r="F203" s="7">
        <v>0.06</v>
      </c>
      <c r="G203" s="5">
        <v>17</v>
      </c>
      <c r="I203" s="5" t="b">
        <v>1</v>
      </c>
      <c r="J203" s="5" t="b">
        <v>1</v>
      </c>
      <c r="K203" s="5" t="b">
        <v>1</v>
      </c>
    </row>
    <row r="204" spans="1:11">
      <c r="A204" s="5" t="s">
        <v>64</v>
      </c>
      <c r="B204" s="5" t="s">
        <v>384</v>
      </c>
      <c r="C204" s="6">
        <v>370000</v>
      </c>
      <c r="D204" s="7">
        <v>0.23</v>
      </c>
      <c r="E204" s="7">
        <v>0.15</v>
      </c>
      <c r="F204" s="7">
        <v>0.15</v>
      </c>
      <c r="G204" s="5">
        <v>13</v>
      </c>
      <c r="I204" s="5" t="b">
        <v>1</v>
      </c>
      <c r="J204" s="5" t="b">
        <v>1</v>
      </c>
      <c r="K204" s="5" t="b">
        <v>1</v>
      </c>
    </row>
    <row r="205" spans="1:11">
      <c r="A205" s="5" t="s">
        <v>64</v>
      </c>
      <c r="B205" s="5" t="s">
        <v>385</v>
      </c>
      <c r="C205" s="6">
        <v>200000</v>
      </c>
      <c r="D205" s="7">
        <v>0.26</v>
      </c>
      <c r="E205" s="7">
        <v>0.13</v>
      </c>
      <c r="F205" s="7">
        <v>0.06</v>
      </c>
      <c r="G205" s="5">
        <v>15</v>
      </c>
      <c r="I205" s="5" t="b">
        <v>1</v>
      </c>
      <c r="J205" s="5" t="b">
        <v>1</v>
      </c>
      <c r="K205" s="5" t="b">
        <v>1</v>
      </c>
    </row>
    <row r="206" spans="1:11">
      <c r="A206" s="5" t="s">
        <v>64</v>
      </c>
      <c r="B206" s="5" t="s">
        <v>386</v>
      </c>
      <c r="C206" s="6">
        <v>1320000</v>
      </c>
      <c r="D206" s="7">
        <v>0.24</v>
      </c>
      <c r="E206" s="7">
        <v>0.09</v>
      </c>
      <c r="F206" s="7">
        <v>0.06</v>
      </c>
      <c r="G206" s="5">
        <v>75</v>
      </c>
      <c r="I206" s="5" t="b">
        <v>0</v>
      </c>
      <c r="J206" s="5" t="b">
        <v>1</v>
      </c>
      <c r="K206" s="5" t="b">
        <v>1</v>
      </c>
    </row>
    <row r="207" spans="1:11">
      <c r="A207" s="5" t="s">
        <v>65</v>
      </c>
      <c r="B207" s="5" t="s">
        <v>387</v>
      </c>
      <c r="C207" s="6">
        <v>868254.06</v>
      </c>
      <c r="D207" s="7">
        <v>0.25</v>
      </c>
      <c r="E207" s="7">
        <v>0.1</v>
      </c>
      <c r="F207" s="7">
        <v>0.05</v>
      </c>
      <c r="G207" s="5">
        <v>48</v>
      </c>
      <c r="I207" s="5" t="b">
        <v>1</v>
      </c>
      <c r="J207" s="5" t="b">
        <v>1</v>
      </c>
      <c r="K207" s="5" t="b">
        <v>1</v>
      </c>
    </row>
    <row r="208" spans="1:11">
      <c r="A208" s="5" t="s">
        <v>65</v>
      </c>
      <c r="B208" s="5" t="s">
        <v>389</v>
      </c>
      <c r="C208" s="6">
        <v>1070000</v>
      </c>
      <c r="D208" s="7">
        <v>0.25</v>
      </c>
      <c r="E208" s="7">
        <v>0.1</v>
      </c>
      <c r="F208" s="7">
        <v>0.05</v>
      </c>
      <c r="G208" s="5">
        <v>38</v>
      </c>
      <c r="I208" s="5" t="b">
        <v>1</v>
      </c>
      <c r="J208" s="5" t="b">
        <v>1</v>
      </c>
      <c r="K208" s="5" t="b">
        <v>1</v>
      </c>
    </row>
    <row r="209" spans="1:11">
      <c r="A209" s="5" t="s">
        <v>65</v>
      </c>
      <c r="B209" s="5" t="s">
        <v>390</v>
      </c>
      <c r="C209" s="6">
        <v>600000</v>
      </c>
      <c r="D209" s="7">
        <v>0.25</v>
      </c>
      <c r="E209" s="7">
        <v>0.1</v>
      </c>
      <c r="F209" s="7">
        <v>0.05</v>
      </c>
      <c r="G209" s="5">
        <v>65</v>
      </c>
      <c r="I209" s="5" t="b">
        <v>1</v>
      </c>
      <c r="J209" s="5" t="b">
        <v>1</v>
      </c>
      <c r="K209" s="5" t="b">
        <v>1</v>
      </c>
    </row>
    <row r="210" spans="1:11">
      <c r="A210" s="5" t="s">
        <v>66</v>
      </c>
      <c r="B210" s="5" t="s">
        <v>391</v>
      </c>
      <c r="C210" s="6">
        <v>745000</v>
      </c>
      <c r="D210" s="7">
        <v>0.26</v>
      </c>
      <c r="E210" s="7">
        <v>0.1</v>
      </c>
      <c r="F210" s="7">
        <v>0.08</v>
      </c>
      <c r="G210" s="5">
        <v>51</v>
      </c>
      <c r="I210" s="5" t="b">
        <v>1</v>
      </c>
      <c r="J210" s="5" t="b">
        <v>1</v>
      </c>
      <c r="K210" s="5" t="b">
        <v>1</v>
      </c>
    </row>
    <row r="211" spans="1:11">
      <c r="A211" s="5" t="s">
        <v>66</v>
      </c>
      <c r="B211" s="5" t="s">
        <v>393</v>
      </c>
      <c r="C211" s="6">
        <v>733500</v>
      </c>
      <c r="D211" s="7">
        <v>0.28000000000000003</v>
      </c>
      <c r="E211" s="7">
        <v>0.1</v>
      </c>
      <c r="F211" s="7">
        <v>0.09</v>
      </c>
      <c r="G211" s="5">
        <v>46</v>
      </c>
      <c r="I211" s="5" t="b">
        <v>1</v>
      </c>
      <c r="J211" s="5" t="b">
        <v>1</v>
      </c>
      <c r="K211" s="5" t="b">
        <v>1</v>
      </c>
    </row>
    <row r="212" spans="1:11">
      <c r="A212" s="5" t="s">
        <v>66</v>
      </c>
      <c r="B212" s="5" t="s">
        <v>394</v>
      </c>
      <c r="C212" s="6">
        <v>462000</v>
      </c>
      <c r="D212" s="7">
        <v>0.3</v>
      </c>
      <c r="E212" s="7">
        <v>0.1</v>
      </c>
      <c r="F212" s="7">
        <v>0.1</v>
      </c>
      <c r="G212" s="5">
        <v>20</v>
      </c>
      <c r="I212" s="5" t="b">
        <v>1</v>
      </c>
      <c r="J212" s="5" t="b">
        <v>1</v>
      </c>
      <c r="K212" s="5" t="b">
        <v>1</v>
      </c>
    </row>
    <row r="213" spans="1:11">
      <c r="A213" s="5" t="s">
        <v>66</v>
      </c>
      <c r="B213" s="5" t="s">
        <v>395</v>
      </c>
      <c r="C213" s="6">
        <v>861000</v>
      </c>
      <c r="D213" s="7">
        <v>0.25</v>
      </c>
      <c r="E213" s="7">
        <v>0.09</v>
      </c>
      <c r="F213" s="7">
        <v>7.0000000000000007E-2</v>
      </c>
      <c r="G213" s="5">
        <v>58</v>
      </c>
      <c r="I213" s="5" t="b">
        <v>1</v>
      </c>
      <c r="J213" s="5" t="b">
        <v>1</v>
      </c>
      <c r="K213" s="5" t="b">
        <v>1</v>
      </c>
    </row>
    <row r="214" spans="1:11">
      <c r="A214" s="5" t="s">
        <v>66</v>
      </c>
      <c r="B214" s="5" t="s">
        <v>396</v>
      </c>
      <c r="C214" s="6">
        <v>839000</v>
      </c>
      <c r="D214" s="7">
        <v>0.25</v>
      </c>
      <c r="E214" s="7">
        <v>0.1</v>
      </c>
      <c r="F214" s="7">
        <v>0.06</v>
      </c>
      <c r="G214" s="5">
        <v>83</v>
      </c>
      <c r="I214" s="5" t="b">
        <v>1</v>
      </c>
      <c r="J214" s="5" t="b">
        <v>1</v>
      </c>
      <c r="K214" s="5" t="b">
        <v>1</v>
      </c>
    </row>
    <row r="215" spans="1:11">
      <c r="A215" s="5" t="s">
        <v>66</v>
      </c>
      <c r="B215" s="5" t="s">
        <v>397</v>
      </c>
      <c r="C215" s="6">
        <v>1748733.4</v>
      </c>
      <c r="D215" s="7">
        <v>0.25</v>
      </c>
      <c r="E215" s="7">
        <v>0.1</v>
      </c>
      <c r="F215" s="7">
        <v>0.05</v>
      </c>
      <c r="G215" s="5">
        <v>10</v>
      </c>
      <c r="I215" s="5" t="b">
        <v>1</v>
      </c>
      <c r="J215" s="5" t="b">
        <v>1</v>
      </c>
      <c r="K215" s="5" t="b">
        <v>1</v>
      </c>
    </row>
    <row r="216" spans="1:11">
      <c r="A216" s="5" t="s">
        <v>66</v>
      </c>
      <c r="B216" s="5" t="s">
        <v>398</v>
      </c>
      <c r="C216" s="6">
        <v>630000</v>
      </c>
      <c r="D216" s="7">
        <v>0.25</v>
      </c>
      <c r="E216" s="7">
        <v>0.1</v>
      </c>
      <c r="F216" s="7">
        <v>0.05</v>
      </c>
      <c r="G216" s="5">
        <v>119</v>
      </c>
      <c r="I216" s="5" t="b">
        <v>1</v>
      </c>
      <c r="J216" s="5" t="b">
        <v>1</v>
      </c>
      <c r="K216" s="5" t="b">
        <v>1</v>
      </c>
    </row>
    <row r="217" spans="1:11">
      <c r="A217" s="5" t="s">
        <v>66</v>
      </c>
      <c r="B217" s="5" t="s">
        <v>399</v>
      </c>
      <c r="C217" s="6">
        <v>600000</v>
      </c>
      <c r="D217" s="7">
        <v>0.25</v>
      </c>
      <c r="E217" s="7">
        <v>0.1</v>
      </c>
      <c r="F217" s="7">
        <v>0.05</v>
      </c>
      <c r="G217" s="5">
        <v>15</v>
      </c>
      <c r="I217" s="5" t="b">
        <v>1</v>
      </c>
      <c r="J217" s="5" t="b">
        <v>1</v>
      </c>
      <c r="K217" s="5" t="b">
        <v>1</v>
      </c>
    </row>
    <row r="218" spans="1:11">
      <c r="A218" s="5" t="s">
        <v>67</v>
      </c>
      <c r="B218" s="5" t="s">
        <v>400</v>
      </c>
      <c r="C218" s="6">
        <v>4789485.7</v>
      </c>
      <c r="D218" s="7">
        <v>0.2</v>
      </c>
      <c r="E218" s="7">
        <v>0.2</v>
      </c>
      <c r="F218" s="7">
        <v>0.06</v>
      </c>
      <c r="G218" s="5">
        <v>188</v>
      </c>
      <c r="I218" s="5" t="b">
        <v>0</v>
      </c>
      <c r="J218" s="5" t="b">
        <v>1</v>
      </c>
      <c r="K218" s="5" t="b">
        <v>1</v>
      </c>
    </row>
    <row r="219" spans="1:11">
      <c r="A219" s="5" t="s">
        <v>67</v>
      </c>
      <c r="B219" s="5" t="s">
        <v>718</v>
      </c>
      <c r="C219" s="6">
        <v>300000</v>
      </c>
      <c r="D219" s="7">
        <v>0.25</v>
      </c>
      <c r="E219" s="7">
        <v>0.25</v>
      </c>
      <c r="F219" s="7">
        <v>0.05</v>
      </c>
      <c r="G219" s="5">
        <v>30</v>
      </c>
      <c r="I219" s="5" t="b">
        <v>1</v>
      </c>
      <c r="J219" s="5" t="b">
        <v>1</v>
      </c>
      <c r="K219" s="5" t="b">
        <v>1</v>
      </c>
    </row>
    <row r="220" spans="1:11">
      <c r="A220" s="5" t="s">
        <v>67</v>
      </c>
      <c r="B220" s="5" t="s">
        <v>403</v>
      </c>
      <c r="C220" s="6">
        <v>500000</v>
      </c>
      <c r="D220" s="7">
        <v>0.25</v>
      </c>
      <c r="E220" s="7">
        <v>0.25</v>
      </c>
      <c r="F220" s="7">
        <v>0.05</v>
      </c>
      <c r="G220" s="5">
        <v>10</v>
      </c>
      <c r="I220" s="5" t="b">
        <v>1</v>
      </c>
      <c r="J220" s="5" t="b">
        <v>1</v>
      </c>
      <c r="K220" s="5" t="b">
        <v>1</v>
      </c>
    </row>
    <row r="221" spans="1:11">
      <c r="A221" s="5" t="s">
        <v>67</v>
      </c>
      <c r="B221" s="5" t="s">
        <v>404</v>
      </c>
      <c r="C221" s="6">
        <v>400000</v>
      </c>
      <c r="D221" s="7">
        <v>0.25</v>
      </c>
      <c r="E221" s="7">
        <v>0.25</v>
      </c>
      <c r="F221" s="7">
        <v>0.05</v>
      </c>
      <c r="G221" s="5">
        <v>25</v>
      </c>
      <c r="I221" s="5" t="b">
        <v>1</v>
      </c>
      <c r="J221" s="5" t="b">
        <v>1</v>
      </c>
      <c r="K221" s="5" t="b">
        <v>1</v>
      </c>
    </row>
    <row r="222" spans="1:11">
      <c r="A222" s="5" t="s">
        <v>67</v>
      </c>
      <c r="B222" s="5" t="s">
        <v>405</v>
      </c>
      <c r="C222" s="6">
        <v>2400000</v>
      </c>
      <c r="D222" s="7">
        <v>0.25</v>
      </c>
      <c r="E222" s="7">
        <v>0.25</v>
      </c>
      <c r="F222" s="7">
        <v>0.05</v>
      </c>
      <c r="G222" s="5">
        <v>30</v>
      </c>
      <c r="I222" s="5" t="b">
        <v>1</v>
      </c>
      <c r="J222" s="5" t="b">
        <v>1</v>
      </c>
      <c r="K222" s="5" t="b">
        <v>1</v>
      </c>
    </row>
    <row r="223" spans="1:11">
      <c r="A223" s="5" t="s">
        <v>67</v>
      </c>
      <c r="B223" s="5" t="s">
        <v>406</v>
      </c>
      <c r="C223" s="6">
        <v>1080000</v>
      </c>
      <c r="D223" s="7">
        <v>0.25</v>
      </c>
      <c r="E223" s="7">
        <v>0.25</v>
      </c>
      <c r="F223" s="7">
        <v>0.05</v>
      </c>
      <c r="G223" s="5">
        <v>36</v>
      </c>
      <c r="I223" s="5" t="b">
        <v>1</v>
      </c>
      <c r="J223" s="5" t="b">
        <v>1</v>
      </c>
      <c r="K223" s="5" t="b">
        <v>1</v>
      </c>
    </row>
    <row r="224" spans="1:11">
      <c r="A224" s="5" t="s">
        <v>67</v>
      </c>
      <c r="B224" s="5" t="s">
        <v>407</v>
      </c>
      <c r="C224" s="6">
        <v>1197371.44</v>
      </c>
      <c r="D224" s="7">
        <v>0.25</v>
      </c>
      <c r="E224" s="7">
        <v>0.25</v>
      </c>
      <c r="F224" s="7">
        <v>0.05</v>
      </c>
      <c r="G224" s="5">
        <v>40</v>
      </c>
      <c r="I224" s="5" t="b">
        <v>1</v>
      </c>
      <c r="J224" s="5" t="b">
        <v>1</v>
      </c>
      <c r="K224" s="5" t="b">
        <v>1</v>
      </c>
    </row>
    <row r="225" spans="1:11">
      <c r="A225" s="5" t="s">
        <v>67</v>
      </c>
      <c r="B225" s="5" t="s">
        <v>408</v>
      </c>
      <c r="C225" s="6">
        <v>2400000</v>
      </c>
      <c r="D225" s="7">
        <v>0.25</v>
      </c>
      <c r="E225" s="7">
        <v>0.25</v>
      </c>
      <c r="F225" s="7">
        <v>0.05</v>
      </c>
      <c r="G225" s="5">
        <v>40</v>
      </c>
      <c r="I225" s="5" t="b">
        <v>1</v>
      </c>
      <c r="J225" s="5" t="b">
        <v>1</v>
      </c>
      <c r="K225" s="5" t="b">
        <v>1</v>
      </c>
    </row>
    <row r="226" spans="1:11">
      <c r="A226" s="5" t="s">
        <v>67</v>
      </c>
      <c r="B226" s="5" t="s">
        <v>409</v>
      </c>
      <c r="C226" s="6">
        <v>300000</v>
      </c>
      <c r="D226" s="7">
        <v>0.25</v>
      </c>
      <c r="E226" s="7">
        <v>0.25</v>
      </c>
      <c r="F226" s="7">
        <v>0.05</v>
      </c>
      <c r="G226" s="5">
        <v>15</v>
      </c>
      <c r="I226" s="5" t="b">
        <v>1</v>
      </c>
      <c r="J226" s="5" t="b">
        <v>1</v>
      </c>
      <c r="K226" s="5" t="b">
        <v>1</v>
      </c>
    </row>
    <row r="227" spans="1:11">
      <c r="A227" s="5" t="s">
        <v>105</v>
      </c>
      <c r="B227" s="5" t="s">
        <v>410</v>
      </c>
      <c r="C227" s="6">
        <v>6450000</v>
      </c>
      <c r="D227" s="7">
        <v>0.25</v>
      </c>
      <c r="E227" s="7">
        <v>0.1</v>
      </c>
      <c r="F227" s="7">
        <v>0.05</v>
      </c>
      <c r="G227" s="5">
        <v>209</v>
      </c>
      <c r="I227" s="5" t="b">
        <v>1</v>
      </c>
      <c r="J227" s="5" t="b">
        <v>1</v>
      </c>
      <c r="K227" s="5" t="b">
        <v>1</v>
      </c>
    </row>
    <row r="228" spans="1:11">
      <c r="A228" s="5" t="s">
        <v>105</v>
      </c>
      <c r="B228" s="5" t="s">
        <v>412</v>
      </c>
      <c r="C228" s="6">
        <v>6300000</v>
      </c>
      <c r="D228" s="7">
        <v>0.2031</v>
      </c>
      <c r="E228" s="7">
        <v>0.1042</v>
      </c>
      <c r="F228" s="7">
        <v>0</v>
      </c>
      <c r="G228" s="5">
        <v>192</v>
      </c>
      <c r="I228" s="18" t="b">
        <v>1</v>
      </c>
      <c r="J228" s="5" t="b">
        <v>1</v>
      </c>
      <c r="K228" s="14" t="b">
        <v>0</v>
      </c>
    </row>
    <row r="229" spans="1:11">
      <c r="A229" s="5" t="s">
        <v>105</v>
      </c>
      <c r="B229" s="5" t="s">
        <v>413</v>
      </c>
      <c r="C229" s="6">
        <v>5700000</v>
      </c>
      <c r="D229" s="7">
        <v>0.25</v>
      </c>
      <c r="E229" s="7">
        <v>0.1</v>
      </c>
      <c r="F229" s="7">
        <v>0.05</v>
      </c>
      <c r="G229" s="5">
        <v>30</v>
      </c>
      <c r="I229" s="5" t="b">
        <v>1</v>
      </c>
      <c r="J229" s="5" t="b">
        <v>1</v>
      </c>
      <c r="K229" s="5" t="b">
        <v>1</v>
      </c>
    </row>
    <row r="230" spans="1:11">
      <c r="A230" s="5" t="s">
        <v>105</v>
      </c>
      <c r="B230" s="5" t="s">
        <v>414</v>
      </c>
      <c r="C230" s="6">
        <v>4900000</v>
      </c>
      <c r="D230" s="7">
        <v>0.25</v>
      </c>
      <c r="E230" s="7">
        <v>0.1</v>
      </c>
      <c r="F230" s="7">
        <v>0.05</v>
      </c>
      <c r="G230" s="5">
        <v>35</v>
      </c>
      <c r="I230" s="5" t="b">
        <v>1</v>
      </c>
      <c r="J230" s="5" t="b">
        <v>1</v>
      </c>
      <c r="K230" s="5" t="b">
        <v>1</v>
      </c>
    </row>
    <row r="231" spans="1:11">
      <c r="A231" s="5" t="s">
        <v>105</v>
      </c>
      <c r="B231" s="5" t="s">
        <v>415</v>
      </c>
      <c r="C231" s="6">
        <v>5700000</v>
      </c>
      <c r="D231" s="7">
        <v>0.25</v>
      </c>
      <c r="E231" s="7">
        <v>0.1</v>
      </c>
      <c r="F231" s="7">
        <v>0.05</v>
      </c>
      <c r="G231" s="5">
        <v>310</v>
      </c>
      <c r="I231" s="5" t="b">
        <v>1</v>
      </c>
      <c r="J231" s="5" t="b">
        <v>1</v>
      </c>
      <c r="K231" s="5" t="b">
        <v>1</v>
      </c>
    </row>
    <row r="232" spans="1:11">
      <c r="A232" s="5" t="s">
        <v>105</v>
      </c>
      <c r="B232" s="5" t="s">
        <v>416</v>
      </c>
      <c r="C232" s="6">
        <v>2000000</v>
      </c>
      <c r="D232" s="7">
        <v>0.25</v>
      </c>
      <c r="E232" s="7">
        <v>0.1</v>
      </c>
      <c r="F232" s="7">
        <v>0.05</v>
      </c>
      <c r="G232" s="5">
        <v>400</v>
      </c>
      <c r="I232" s="5" t="b">
        <v>1</v>
      </c>
      <c r="J232" s="5" t="b">
        <v>1</v>
      </c>
      <c r="K232" s="5" t="b">
        <v>1</v>
      </c>
    </row>
    <row r="233" spans="1:11">
      <c r="A233" s="5" t="s">
        <v>106</v>
      </c>
      <c r="B233" s="5" t="s">
        <v>417</v>
      </c>
      <c r="C233" s="6">
        <v>2760000</v>
      </c>
      <c r="D233" s="7">
        <v>0.25</v>
      </c>
      <c r="E233" s="7">
        <v>0.1</v>
      </c>
      <c r="F233" s="7">
        <v>0.05</v>
      </c>
      <c r="G233" s="5">
        <v>23</v>
      </c>
      <c r="I233" s="5" t="b">
        <v>1</v>
      </c>
      <c r="J233" s="5" t="b">
        <v>1</v>
      </c>
      <c r="K233" s="5" t="b">
        <v>1</v>
      </c>
    </row>
    <row r="234" spans="1:11">
      <c r="A234" s="5" t="s">
        <v>106</v>
      </c>
      <c r="B234" s="5" t="s">
        <v>419</v>
      </c>
      <c r="C234" s="6">
        <v>488000</v>
      </c>
      <c r="D234" s="7">
        <v>0</v>
      </c>
      <c r="E234" s="7">
        <v>0</v>
      </c>
      <c r="F234" s="7">
        <v>0</v>
      </c>
      <c r="G234" s="5">
        <v>1</v>
      </c>
      <c r="I234" s="5" t="b">
        <v>1</v>
      </c>
      <c r="J234" s="5" t="b">
        <v>1</v>
      </c>
      <c r="K234" s="5" t="b">
        <v>1</v>
      </c>
    </row>
    <row r="235" spans="1:11">
      <c r="A235" s="5" t="s">
        <v>106</v>
      </c>
      <c r="B235" s="5" t="s">
        <v>420</v>
      </c>
      <c r="C235" s="6">
        <v>1000000</v>
      </c>
      <c r="D235" s="7">
        <v>0.25</v>
      </c>
      <c r="E235" s="7">
        <v>0.1</v>
      </c>
      <c r="F235" s="7">
        <v>0.05</v>
      </c>
      <c r="G235" s="5">
        <v>10</v>
      </c>
      <c r="I235" s="5" t="b">
        <v>1</v>
      </c>
      <c r="J235" s="5" t="b">
        <v>1</v>
      </c>
      <c r="K235" s="5" t="b">
        <v>1</v>
      </c>
    </row>
    <row r="236" spans="1:11">
      <c r="A236" s="5" t="s">
        <v>106</v>
      </c>
      <c r="B236" s="5" t="s">
        <v>421</v>
      </c>
      <c r="C236" s="6">
        <v>640000</v>
      </c>
      <c r="D236" s="7">
        <v>0.25</v>
      </c>
      <c r="E236" s="7">
        <v>0.1</v>
      </c>
      <c r="F236" s="7">
        <v>0.05</v>
      </c>
      <c r="G236" s="5">
        <v>8</v>
      </c>
      <c r="I236" s="5" t="b">
        <v>1</v>
      </c>
      <c r="J236" s="5" t="b">
        <v>1</v>
      </c>
      <c r="K236" s="5" t="b">
        <v>1</v>
      </c>
    </row>
    <row r="237" spans="1:11">
      <c r="A237" s="5" t="s">
        <v>106</v>
      </c>
      <c r="B237" s="5" t="s">
        <v>422</v>
      </c>
      <c r="C237" s="6">
        <v>4500000</v>
      </c>
      <c r="D237" s="7">
        <v>0.25</v>
      </c>
      <c r="E237" s="7">
        <v>0.1</v>
      </c>
      <c r="F237" s="7">
        <v>0.05</v>
      </c>
      <c r="G237" s="5">
        <v>53</v>
      </c>
      <c r="I237" s="5" t="b">
        <v>1</v>
      </c>
      <c r="J237" s="5" t="b">
        <v>1</v>
      </c>
      <c r="K237" s="5" t="b">
        <v>1</v>
      </c>
    </row>
    <row r="238" spans="1:11">
      <c r="A238" s="5" t="s">
        <v>106</v>
      </c>
      <c r="B238" s="5" t="s">
        <v>423</v>
      </c>
      <c r="C238" s="6">
        <v>7300000</v>
      </c>
      <c r="D238" s="7">
        <v>0.21</v>
      </c>
      <c r="E238" s="7">
        <v>0.1</v>
      </c>
      <c r="F238" s="7">
        <v>0.05</v>
      </c>
      <c r="G238" s="5">
        <v>100</v>
      </c>
      <c r="I238" s="5" t="b">
        <v>1</v>
      </c>
      <c r="J238" s="5" t="b">
        <v>1</v>
      </c>
      <c r="K238" s="5" t="b">
        <v>1</v>
      </c>
    </row>
    <row r="239" spans="1:11">
      <c r="A239" s="5" t="s">
        <v>106</v>
      </c>
      <c r="B239" s="5" t="s">
        <v>424</v>
      </c>
      <c r="C239" s="6">
        <v>1400000</v>
      </c>
      <c r="D239" s="7">
        <v>0.25</v>
      </c>
      <c r="E239" s="7">
        <v>0.1</v>
      </c>
      <c r="F239" s="7">
        <v>0.05</v>
      </c>
      <c r="G239" s="5">
        <v>23</v>
      </c>
      <c r="I239" s="5" t="b">
        <v>1</v>
      </c>
      <c r="J239" s="5" t="b">
        <v>1</v>
      </c>
      <c r="K239" s="5" t="b">
        <v>1</v>
      </c>
    </row>
    <row r="240" spans="1:11">
      <c r="A240" s="5" t="s">
        <v>106</v>
      </c>
      <c r="B240" s="5" t="s">
        <v>425</v>
      </c>
      <c r="C240" s="6">
        <v>360000</v>
      </c>
      <c r="D240" s="7">
        <v>0.25</v>
      </c>
      <c r="E240" s="7">
        <v>0.1</v>
      </c>
      <c r="F240" s="7">
        <v>0.05</v>
      </c>
      <c r="G240" s="5">
        <v>12</v>
      </c>
      <c r="I240" s="5" t="b">
        <v>1</v>
      </c>
      <c r="J240" s="5" t="b">
        <v>1</v>
      </c>
      <c r="K240" s="5" t="b">
        <v>1</v>
      </c>
    </row>
    <row r="241" spans="1:11">
      <c r="A241" s="5" t="s">
        <v>107</v>
      </c>
      <c r="B241" s="5" t="s">
        <v>426</v>
      </c>
      <c r="C241" s="6">
        <v>600000</v>
      </c>
      <c r="D241" s="7">
        <v>0.25</v>
      </c>
      <c r="E241" s="7">
        <v>0.1</v>
      </c>
      <c r="F241" s="7">
        <v>0.05</v>
      </c>
      <c r="G241" s="5">
        <v>32</v>
      </c>
      <c r="I241" s="5" t="b">
        <v>1</v>
      </c>
      <c r="J241" s="5" t="b">
        <v>1</v>
      </c>
      <c r="K241" s="5" t="b">
        <v>1</v>
      </c>
    </row>
    <row r="242" spans="1:11">
      <c r="A242" s="5" t="s">
        <v>107</v>
      </c>
      <c r="B242" s="5" t="s">
        <v>428</v>
      </c>
      <c r="C242" s="6">
        <v>2428000</v>
      </c>
      <c r="D242" s="7">
        <v>0.25</v>
      </c>
      <c r="E242" s="7">
        <v>0.15</v>
      </c>
      <c r="F242" s="7">
        <v>7.4999999999999997E-2</v>
      </c>
      <c r="G242" s="5">
        <v>40</v>
      </c>
      <c r="I242" s="5" t="b">
        <v>1</v>
      </c>
      <c r="J242" s="5" t="b">
        <v>1</v>
      </c>
      <c r="K242" s="5" t="b">
        <v>1</v>
      </c>
    </row>
    <row r="243" spans="1:11">
      <c r="A243" s="5" t="s">
        <v>107</v>
      </c>
      <c r="B243" s="5" t="s">
        <v>429</v>
      </c>
      <c r="C243" s="6">
        <v>600000</v>
      </c>
      <c r="D243" s="7">
        <v>0.25</v>
      </c>
      <c r="E243" s="7">
        <v>0.1</v>
      </c>
      <c r="F243" s="7">
        <v>0.05</v>
      </c>
      <c r="G243" s="5">
        <v>2</v>
      </c>
      <c r="I243" s="5" t="b">
        <v>1</v>
      </c>
      <c r="J243" s="5" t="b">
        <v>1</v>
      </c>
      <c r="K243" s="5" t="b">
        <v>1</v>
      </c>
    </row>
    <row r="244" spans="1:11">
      <c r="A244" s="5" t="s">
        <v>107</v>
      </c>
      <c r="B244" s="5" t="s">
        <v>430</v>
      </c>
      <c r="C244" s="6">
        <v>400000</v>
      </c>
      <c r="D244" s="7">
        <v>0.25</v>
      </c>
      <c r="E244" s="7">
        <v>0.1</v>
      </c>
      <c r="F244" s="7">
        <v>0.05</v>
      </c>
      <c r="G244" s="5">
        <v>4</v>
      </c>
      <c r="I244" s="5" t="b">
        <v>1</v>
      </c>
      <c r="J244" s="5" t="b">
        <v>1</v>
      </c>
      <c r="K244" s="5" t="b">
        <v>1</v>
      </c>
    </row>
    <row r="245" spans="1:11">
      <c r="A245" s="5" t="s">
        <v>107</v>
      </c>
      <c r="B245" s="5" t="s">
        <v>431</v>
      </c>
      <c r="C245" s="6">
        <v>1000000</v>
      </c>
      <c r="D245" s="7">
        <v>0.2</v>
      </c>
      <c r="E245" s="7">
        <v>0.1</v>
      </c>
      <c r="F245" s="7">
        <v>0.05</v>
      </c>
      <c r="I245" s="5" t="b">
        <v>0</v>
      </c>
      <c r="J245" s="5" t="b">
        <v>1</v>
      </c>
      <c r="K245" s="5" t="b">
        <v>1</v>
      </c>
    </row>
    <row r="246" spans="1:11">
      <c r="A246" s="5" t="s">
        <v>107</v>
      </c>
      <c r="B246" s="5" t="s">
        <v>432</v>
      </c>
      <c r="C246" s="6">
        <v>750000</v>
      </c>
      <c r="D246" s="7">
        <v>0.25</v>
      </c>
      <c r="E246" s="7">
        <v>0.1</v>
      </c>
      <c r="F246" s="7">
        <v>0.05</v>
      </c>
      <c r="G246" s="5">
        <v>50</v>
      </c>
      <c r="I246" s="5" t="b">
        <v>1</v>
      </c>
      <c r="J246" s="5" t="b">
        <v>1</v>
      </c>
      <c r="K246" s="5" t="b">
        <v>1</v>
      </c>
    </row>
    <row r="247" spans="1:11">
      <c r="A247" s="5" t="s">
        <v>107</v>
      </c>
      <c r="B247" s="5" t="s">
        <v>433</v>
      </c>
      <c r="C247" s="6">
        <v>500000</v>
      </c>
      <c r="D247" s="7">
        <v>0.25</v>
      </c>
      <c r="E247" s="7">
        <v>0.1</v>
      </c>
      <c r="F247" s="7">
        <v>0.05</v>
      </c>
      <c r="G247" s="5">
        <v>39</v>
      </c>
      <c r="I247" s="5" t="b">
        <v>1</v>
      </c>
      <c r="J247" s="5" t="b">
        <v>1</v>
      </c>
      <c r="K247" s="5" t="b">
        <v>1</v>
      </c>
    </row>
    <row r="248" spans="1:11">
      <c r="A248" s="5" t="s">
        <v>107</v>
      </c>
      <c r="B248" s="5" t="s">
        <v>434</v>
      </c>
      <c r="C248" s="6">
        <v>700000</v>
      </c>
      <c r="D248" s="7">
        <v>0.25</v>
      </c>
      <c r="E248" s="7">
        <v>0.1</v>
      </c>
      <c r="F248" s="7">
        <v>0.05</v>
      </c>
      <c r="G248" s="5">
        <v>32</v>
      </c>
      <c r="I248" s="5" t="b">
        <v>1</v>
      </c>
      <c r="J248" s="5" t="b">
        <v>1</v>
      </c>
      <c r="K248" s="5" t="b">
        <v>1</v>
      </c>
    </row>
    <row r="249" spans="1:11">
      <c r="A249" s="5" t="s">
        <v>107</v>
      </c>
      <c r="B249" s="5" t="s">
        <v>435</v>
      </c>
      <c r="C249" s="6">
        <v>300000</v>
      </c>
      <c r="D249" s="7">
        <v>0.25</v>
      </c>
      <c r="E249" s="7">
        <v>0.1</v>
      </c>
      <c r="F249" s="7">
        <v>0.05</v>
      </c>
      <c r="G249" s="5">
        <v>90</v>
      </c>
      <c r="I249" s="5" t="b">
        <v>1</v>
      </c>
      <c r="J249" s="5" t="b">
        <v>1</v>
      </c>
      <c r="K249" s="5" t="b">
        <v>1</v>
      </c>
    </row>
    <row r="250" spans="1:11">
      <c r="A250" s="5" t="s">
        <v>107</v>
      </c>
      <c r="B250" s="5" t="s">
        <v>436</v>
      </c>
      <c r="C250" s="6">
        <v>2100000</v>
      </c>
      <c r="D250" s="7">
        <v>0.25</v>
      </c>
      <c r="E250" s="7">
        <v>0.1</v>
      </c>
      <c r="F250" s="7">
        <v>0.05</v>
      </c>
      <c r="G250" s="5">
        <v>7</v>
      </c>
      <c r="I250" s="5" t="b">
        <v>1</v>
      </c>
      <c r="J250" s="5" t="b">
        <v>1</v>
      </c>
      <c r="K250" s="5" t="b">
        <v>1</v>
      </c>
    </row>
    <row r="251" spans="1:11">
      <c r="A251" s="5" t="s">
        <v>107</v>
      </c>
      <c r="B251" s="5" t="s">
        <v>437</v>
      </c>
      <c r="C251" s="6">
        <v>400000</v>
      </c>
      <c r="D251" s="7">
        <v>0.25</v>
      </c>
      <c r="E251" s="7">
        <v>0.1</v>
      </c>
      <c r="F251" s="7">
        <v>0.05</v>
      </c>
      <c r="G251" s="5">
        <v>40</v>
      </c>
      <c r="I251" s="5" t="b">
        <v>1</v>
      </c>
      <c r="J251" s="5" t="b">
        <v>1</v>
      </c>
      <c r="K251" s="5" t="b">
        <v>1</v>
      </c>
    </row>
    <row r="252" spans="1:11">
      <c r="A252" s="5" t="s">
        <v>107</v>
      </c>
      <c r="B252" s="5" t="s">
        <v>438</v>
      </c>
      <c r="C252" s="6">
        <v>200000</v>
      </c>
      <c r="D252" s="7">
        <v>0.25</v>
      </c>
      <c r="E252" s="7">
        <v>0.1</v>
      </c>
      <c r="F252" s="7">
        <v>0.05</v>
      </c>
      <c r="G252" s="5">
        <v>12</v>
      </c>
      <c r="I252" s="5" t="b">
        <v>1</v>
      </c>
      <c r="J252" s="5" t="b">
        <v>1</v>
      </c>
      <c r="K252" s="5" t="b">
        <v>1</v>
      </c>
    </row>
    <row r="253" spans="1:11">
      <c r="A253" s="5" t="s">
        <v>107</v>
      </c>
      <c r="B253" s="5" t="s">
        <v>439</v>
      </c>
      <c r="C253" s="6">
        <v>300000</v>
      </c>
      <c r="D253" s="7">
        <v>0.2</v>
      </c>
      <c r="E253" s="7">
        <v>0.1</v>
      </c>
      <c r="F253" s="7">
        <v>0.06</v>
      </c>
      <c r="G253" s="5">
        <v>30</v>
      </c>
      <c r="I253" s="5" t="b">
        <v>0</v>
      </c>
      <c r="J253" s="5" t="b">
        <v>1</v>
      </c>
      <c r="K253" s="5" t="b">
        <v>1</v>
      </c>
    </row>
    <row r="254" spans="1:11">
      <c r="A254" s="5" t="s">
        <v>107</v>
      </c>
      <c r="B254" s="5" t="s">
        <v>440</v>
      </c>
      <c r="C254" s="6">
        <v>600000</v>
      </c>
      <c r="D254" s="7">
        <v>0.25</v>
      </c>
      <c r="E254" s="7">
        <v>0.1</v>
      </c>
      <c r="F254" s="7">
        <v>0.05</v>
      </c>
      <c r="I254" s="5" t="b">
        <v>1</v>
      </c>
      <c r="J254" s="5" t="b">
        <v>1</v>
      </c>
      <c r="K254" s="5" t="b">
        <v>1</v>
      </c>
    </row>
    <row r="255" spans="1:11">
      <c r="A255" s="5" t="s">
        <v>107</v>
      </c>
      <c r="B255" s="5" t="s">
        <v>441</v>
      </c>
      <c r="C255" s="6">
        <v>300000</v>
      </c>
      <c r="D255" s="7">
        <v>0.2</v>
      </c>
      <c r="E255" s="7">
        <v>0.2</v>
      </c>
      <c r="F255" s="7">
        <v>0.16669999999999999</v>
      </c>
      <c r="G255" s="5">
        <v>30</v>
      </c>
      <c r="I255" s="5" t="b">
        <v>0</v>
      </c>
      <c r="J255" s="5" t="b">
        <v>1</v>
      </c>
      <c r="K255" s="5" t="b">
        <v>1</v>
      </c>
    </row>
    <row r="256" spans="1:11">
      <c r="A256" s="5" t="s">
        <v>107</v>
      </c>
      <c r="B256" s="5" t="s">
        <v>442</v>
      </c>
      <c r="C256" s="6">
        <v>650000</v>
      </c>
      <c r="D256" s="7">
        <v>0.25</v>
      </c>
      <c r="E256" s="7">
        <v>0.2</v>
      </c>
      <c r="F256" s="7">
        <v>0.05</v>
      </c>
      <c r="G256" s="5">
        <v>130</v>
      </c>
      <c r="I256" s="5" t="b">
        <v>1</v>
      </c>
      <c r="J256" s="5" t="b">
        <v>1</v>
      </c>
      <c r="K256" s="5" t="b">
        <v>1</v>
      </c>
    </row>
    <row r="257" spans="1:11">
      <c r="A257" s="5" t="s">
        <v>107</v>
      </c>
      <c r="B257" s="5" t="s">
        <v>443</v>
      </c>
      <c r="C257" s="6">
        <v>900000</v>
      </c>
      <c r="D257" s="7">
        <v>0.25</v>
      </c>
      <c r="E257" s="7">
        <v>0.1</v>
      </c>
      <c r="F257" s="7">
        <v>0.05</v>
      </c>
      <c r="I257" s="5" t="b">
        <v>1</v>
      </c>
      <c r="J257" s="5" t="b">
        <v>1</v>
      </c>
      <c r="K257" s="5" t="b">
        <v>1</v>
      </c>
    </row>
    <row r="258" spans="1:11">
      <c r="A258" s="5" t="s">
        <v>107</v>
      </c>
      <c r="B258" s="5" t="s">
        <v>444</v>
      </c>
      <c r="C258" s="6">
        <v>300000</v>
      </c>
      <c r="D258" s="7">
        <v>0.23</v>
      </c>
      <c r="E258" s="7">
        <v>0.23</v>
      </c>
      <c r="F258" s="7">
        <v>0.03</v>
      </c>
      <c r="G258" s="5">
        <v>30</v>
      </c>
      <c r="I258" s="5" t="b">
        <v>1</v>
      </c>
      <c r="J258" s="5" t="b">
        <v>1</v>
      </c>
      <c r="K258" s="5" t="b">
        <v>0</v>
      </c>
    </row>
    <row r="259" spans="1:11">
      <c r="A259" s="5" t="s">
        <v>107</v>
      </c>
      <c r="B259" s="5" t="s">
        <v>445</v>
      </c>
      <c r="C259" s="6">
        <v>1500000</v>
      </c>
      <c r="D259" s="7">
        <v>0.25</v>
      </c>
      <c r="E259" s="7">
        <v>0.1</v>
      </c>
      <c r="F259" s="7">
        <v>0.05</v>
      </c>
      <c r="G259" s="5">
        <v>20</v>
      </c>
      <c r="I259" s="5" t="b">
        <v>1</v>
      </c>
      <c r="J259" s="5" t="b">
        <v>1</v>
      </c>
      <c r="K259" s="5" t="b">
        <v>1</v>
      </c>
    </row>
    <row r="260" spans="1:11">
      <c r="A260" s="5" t="s">
        <v>107</v>
      </c>
      <c r="B260" s="5" t="s">
        <v>446</v>
      </c>
      <c r="C260" s="6">
        <v>1000000</v>
      </c>
      <c r="D260" s="7">
        <v>0.25</v>
      </c>
      <c r="E260" s="7">
        <v>0.1</v>
      </c>
      <c r="F260" s="7">
        <v>0.05</v>
      </c>
      <c r="G260" s="5">
        <v>20</v>
      </c>
      <c r="I260" s="5" t="b">
        <v>1</v>
      </c>
      <c r="J260" s="5" t="b">
        <v>1</v>
      </c>
      <c r="K260" s="5" t="b">
        <v>1</v>
      </c>
    </row>
    <row r="261" spans="1:11">
      <c r="A261" s="5" t="s">
        <v>107</v>
      </c>
      <c r="B261" s="5" t="s">
        <v>447</v>
      </c>
      <c r="C261" s="6">
        <v>1500000</v>
      </c>
      <c r="D261" s="7">
        <v>0.25</v>
      </c>
      <c r="E261" s="7">
        <v>0.1</v>
      </c>
      <c r="F261" s="7">
        <v>0.05</v>
      </c>
      <c r="G261" s="5">
        <v>18</v>
      </c>
      <c r="I261" s="5" t="b">
        <v>1</v>
      </c>
      <c r="J261" s="5" t="b">
        <v>1</v>
      </c>
      <c r="K261" s="5" t="b">
        <v>1</v>
      </c>
    </row>
    <row r="262" spans="1:11">
      <c r="A262" s="5" t="s">
        <v>107</v>
      </c>
      <c r="B262" s="5" t="s">
        <v>448</v>
      </c>
      <c r="C262" s="6">
        <v>1000000</v>
      </c>
      <c r="D262" s="7">
        <v>0.25</v>
      </c>
      <c r="E262" s="7">
        <v>0.1</v>
      </c>
      <c r="F262" s="7">
        <v>0.05</v>
      </c>
      <c r="G262" s="5">
        <v>14</v>
      </c>
      <c r="I262" s="5" t="b">
        <v>1</v>
      </c>
      <c r="J262" s="5" t="b">
        <v>1</v>
      </c>
      <c r="K262" s="5" t="b">
        <v>1</v>
      </c>
    </row>
    <row r="263" spans="1:11">
      <c r="A263" s="5" t="s">
        <v>107</v>
      </c>
      <c r="B263" s="5" t="s">
        <v>449</v>
      </c>
      <c r="C263" s="6">
        <v>100000</v>
      </c>
      <c r="D263" s="7">
        <v>0.25</v>
      </c>
      <c r="E263" s="7">
        <v>0.15</v>
      </c>
      <c r="F263" s="7">
        <v>1</v>
      </c>
      <c r="G263" s="5">
        <v>20</v>
      </c>
      <c r="H263" s="5" t="s">
        <v>345</v>
      </c>
      <c r="I263" s="5" t="b">
        <v>1</v>
      </c>
      <c r="J263" s="5" t="b">
        <v>1</v>
      </c>
      <c r="K263" s="5" t="b">
        <v>1</v>
      </c>
    </row>
    <row r="264" spans="1:11">
      <c r="A264" s="5" t="s">
        <v>107</v>
      </c>
      <c r="B264" s="5" t="s">
        <v>719</v>
      </c>
      <c r="C264" s="6">
        <v>450000</v>
      </c>
      <c r="D264" s="7">
        <v>0</v>
      </c>
      <c r="E264" s="7">
        <v>1</v>
      </c>
      <c r="F264" s="7">
        <v>0.06</v>
      </c>
      <c r="G264" s="5">
        <v>75</v>
      </c>
      <c r="H264" s="5" t="s">
        <v>168</v>
      </c>
      <c r="I264" s="5" t="b">
        <v>1</v>
      </c>
      <c r="J264" s="5" t="b">
        <v>1</v>
      </c>
      <c r="K264" s="5" t="b">
        <v>1</v>
      </c>
    </row>
    <row r="265" spans="1:11">
      <c r="A265" s="5" t="s">
        <v>107</v>
      </c>
      <c r="B265" s="5" t="s">
        <v>451</v>
      </c>
      <c r="C265" s="6">
        <v>300000</v>
      </c>
      <c r="D265" s="7">
        <v>0.2</v>
      </c>
      <c r="E265" s="7">
        <v>0.1</v>
      </c>
      <c r="F265" s="7">
        <v>0.05</v>
      </c>
      <c r="G265" s="5">
        <v>20</v>
      </c>
      <c r="I265" s="5" t="b">
        <v>0</v>
      </c>
      <c r="J265" s="5" t="b">
        <v>1</v>
      </c>
      <c r="K265" s="5" t="b">
        <v>1</v>
      </c>
    </row>
    <row r="266" spans="1:11">
      <c r="A266" s="5" t="s">
        <v>107</v>
      </c>
      <c r="B266" s="5" t="s">
        <v>452</v>
      </c>
      <c r="C266" s="6">
        <v>100000</v>
      </c>
      <c r="D266" s="7">
        <v>0.25</v>
      </c>
      <c r="E266" s="7">
        <v>0.05</v>
      </c>
      <c r="F266" s="7">
        <v>0.05</v>
      </c>
      <c r="G266" s="5">
        <v>20</v>
      </c>
      <c r="I266" s="5" t="b">
        <v>1</v>
      </c>
      <c r="J266" s="5" t="b">
        <v>0</v>
      </c>
      <c r="K266" s="5" t="b">
        <v>1</v>
      </c>
    </row>
    <row r="267" spans="1:11">
      <c r="A267" s="5" t="s">
        <v>108</v>
      </c>
      <c r="B267" s="5" t="s">
        <v>453</v>
      </c>
      <c r="C267" s="6">
        <v>2275000</v>
      </c>
      <c r="D267" s="7">
        <v>0.25640000000000002</v>
      </c>
      <c r="E267" s="7">
        <v>0.1026</v>
      </c>
      <c r="F267" s="7">
        <v>5.1299999999999998E-2</v>
      </c>
      <c r="G267" s="5">
        <v>117</v>
      </c>
      <c r="I267" s="5" t="b">
        <v>1</v>
      </c>
      <c r="J267" s="5" t="b">
        <v>1</v>
      </c>
      <c r="K267" s="5" t="b">
        <v>1</v>
      </c>
    </row>
    <row r="268" spans="1:11">
      <c r="A268" s="5" t="s">
        <v>108</v>
      </c>
      <c r="B268" s="5" t="s">
        <v>455</v>
      </c>
      <c r="C268" s="6">
        <v>1462500</v>
      </c>
      <c r="D268" s="7">
        <v>0.26</v>
      </c>
      <c r="E268" s="7">
        <v>0.1</v>
      </c>
      <c r="F268" s="7">
        <v>0.05</v>
      </c>
      <c r="G268" s="5">
        <v>104</v>
      </c>
      <c r="I268" s="5" t="b">
        <v>1</v>
      </c>
      <c r="J268" s="5" t="b">
        <v>1</v>
      </c>
      <c r="K268" s="5" t="b">
        <v>1</v>
      </c>
    </row>
    <row r="269" spans="1:11">
      <c r="A269" s="5" t="s">
        <v>108</v>
      </c>
      <c r="B269" s="5" t="s">
        <v>456</v>
      </c>
      <c r="C269" s="6">
        <v>12600000</v>
      </c>
      <c r="D269" s="7">
        <v>0.25</v>
      </c>
      <c r="E269" s="7">
        <v>0.1</v>
      </c>
      <c r="F269" s="7">
        <v>0.05</v>
      </c>
      <c r="G269" s="5">
        <v>147</v>
      </c>
      <c r="I269" s="5" t="b">
        <v>1</v>
      </c>
      <c r="J269" s="5" t="b">
        <v>1</v>
      </c>
      <c r="K269" s="5" t="b">
        <v>1</v>
      </c>
    </row>
    <row r="270" spans="1:11">
      <c r="A270" s="5" t="s">
        <v>108</v>
      </c>
      <c r="B270" s="5" t="s">
        <v>457</v>
      </c>
      <c r="C270" s="6">
        <v>4320000</v>
      </c>
      <c r="D270" s="7">
        <v>0.25</v>
      </c>
      <c r="E270" s="7">
        <v>0.1</v>
      </c>
      <c r="F270" s="7">
        <v>0.05</v>
      </c>
      <c r="G270" s="5">
        <v>144</v>
      </c>
      <c r="I270" s="5" t="b">
        <v>1</v>
      </c>
      <c r="J270" s="5" t="b">
        <v>1</v>
      </c>
      <c r="K270" s="5" t="b">
        <v>1</v>
      </c>
    </row>
    <row r="271" spans="1:11">
      <c r="A271" s="5" t="s">
        <v>108</v>
      </c>
      <c r="B271" s="5" t="s">
        <v>458</v>
      </c>
      <c r="C271" s="6">
        <v>9700000</v>
      </c>
      <c r="D271" s="7">
        <v>0.25290000000000001</v>
      </c>
      <c r="E271" s="7">
        <v>0.10340000000000001</v>
      </c>
      <c r="F271" s="7">
        <v>5.1700000000000003E-2</v>
      </c>
      <c r="G271" s="5">
        <v>174</v>
      </c>
      <c r="I271" s="5" t="b">
        <v>1</v>
      </c>
      <c r="J271" s="5" t="b">
        <v>1</v>
      </c>
      <c r="K271" s="5" t="b">
        <v>1</v>
      </c>
    </row>
    <row r="272" spans="1:11">
      <c r="A272" s="5" t="s">
        <v>108</v>
      </c>
      <c r="B272" s="5" t="s">
        <v>459</v>
      </c>
      <c r="C272" s="6">
        <v>7150000</v>
      </c>
      <c r="D272" s="7">
        <v>0.25</v>
      </c>
      <c r="E272" s="7">
        <v>0.1</v>
      </c>
      <c r="F272" s="7">
        <v>0.05</v>
      </c>
      <c r="G272" s="5">
        <v>286</v>
      </c>
      <c r="I272" s="5" t="b">
        <v>1</v>
      </c>
      <c r="J272" s="5" t="b">
        <v>1</v>
      </c>
      <c r="K272" s="5" t="b">
        <v>1</v>
      </c>
    </row>
    <row r="273" spans="1:11">
      <c r="A273" s="5" t="s">
        <v>108</v>
      </c>
      <c r="B273" s="5" t="s">
        <v>460</v>
      </c>
      <c r="C273" s="6">
        <v>5340000</v>
      </c>
      <c r="D273" s="7">
        <v>0.23</v>
      </c>
      <c r="E273" s="7">
        <v>0.11</v>
      </c>
      <c r="F273" s="7">
        <v>0.04</v>
      </c>
      <c r="G273" s="5">
        <v>215</v>
      </c>
      <c r="I273" s="18" t="b">
        <v>1</v>
      </c>
      <c r="J273" s="5" t="b">
        <v>1</v>
      </c>
      <c r="K273" s="14" t="b">
        <v>0</v>
      </c>
    </row>
    <row r="274" spans="1:11">
      <c r="A274" s="5" t="s">
        <v>108</v>
      </c>
      <c r="B274" s="5" t="s">
        <v>461</v>
      </c>
      <c r="C274" s="6">
        <v>13262500</v>
      </c>
      <c r="D274" s="7">
        <v>0.25</v>
      </c>
      <c r="E274" s="7">
        <v>0.1</v>
      </c>
      <c r="F274" s="7">
        <v>0.05</v>
      </c>
      <c r="G274" s="5">
        <v>347</v>
      </c>
      <c r="I274" s="5" t="b">
        <v>1</v>
      </c>
      <c r="J274" s="5" t="b">
        <v>1</v>
      </c>
      <c r="K274" s="5" t="b">
        <v>1</v>
      </c>
    </row>
    <row r="275" spans="1:11">
      <c r="A275" s="5" t="s">
        <v>108</v>
      </c>
      <c r="B275" s="5" t="s">
        <v>462</v>
      </c>
      <c r="C275" s="6">
        <v>8820000</v>
      </c>
      <c r="D275" s="7">
        <v>0.26</v>
      </c>
      <c r="E275" s="7">
        <v>0.11</v>
      </c>
      <c r="F275" s="7">
        <v>4.4999999999999998E-2</v>
      </c>
      <c r="G275" s="5">
        <v>201</v>
      </c>
      <c r="I275" s="5" t="b">
        <v>1</v>
      </c>
      <c r="J275" s="5" t="b">
        <v>1</v>
      </c>
      <c r="K275" s="5" t="b">
        <v>0</v>
      </c>
    </row>
    <row r="276" spans="1:11">
      <c r="A276" s="5" t="s">
        <v>108</v>
      </c>
      <c r="B276" s="5" t="s">
        <v>463</v>
      </c>
      <c r="C276" s="6">
        <v>16400000</v>
      </c>
      <c r="D276" s="7">
        <v>0.25119999999999998</v>
      </c>
      <c r="E276" s="7">
        <v>9.849999999999999E-2</v>
      </c>
      <c r="F276" s="7">
        <v>5.4199999999999998E-2</v>
      </c>
      <c r="G276" s="5">
        <v>203</v>
      </c>
      <c r="I276" s="5" t="b">
        <v>1</v>
      </c>
      <c r="J276" s="5" t="b">
        <v>1</v>
      </c>
      <c r="K276" s="5" t="b">
        <v>1</v>
      </c>
    </row>
    <row r="277" spans="1:11">
      <c r="A277" s="5" t="s">
        <v>108</v>
      </c>
      <c r="B277" s="5" t="s">
        <v>464</v>
      </c>
      <c r="C277" s="6">
        <v>39787500</v>
      </c>
      <c r="D277" s="7">
        <v>0.25</v>
      </c>
      <c r="E277" s="7">
        <v>0.1</v>
      </c>
      <c r="F277" s="7">
        <v>0.05</v>
      </c>
      <c r="G277" s="5">
        <v>2114</v>
      </c>
      <c r="I277" s="5" t="b">
        <v>1</v>
      </c>
      <c r="J277" s="5" t="b">
        <v>1</v>
      </c>
      <c r="K277" s="5" t="b">
        <v>1</v>
      </c>
    </row>
    <row r="278" spans="1:11">
      <c r="A278" s="5" t="s">
        <v>108</v>
      </c>
      <c r="B278" s="5" t="s">
        <v>465</v>
      </c>
      <c r="C278" s="6">
        <v>8895000</v>
      </c>
      <c r="D278" s="7">
        <v>0.26</v>
      </c>
      <c r="E278" s="7">
        <v>0.11</v>
      </c>
      <c r="F278" s="7">
        <v>4.2999999999999997E-2</v>
      </c>
      <c r="G278" s="5">
        <v>163</v>
      </c>
      <c r="I278" s="5" t="b">
        <v>1</v>
      </c>
      <c r="J278" s="5" t="b">
        <v>1</v>
      </c>
      <c r="K278" s="5" t="b">
        <v>0</v>
      </c>
    </row>
    <row r="279" spans="1:11">
      <c r="A279" s="5" t="s">
        <v>68</v>
      </c>
      <c r="B279" s="5" t="s">
        <v>466</v>
      </c>
      <c r="C279" s="6">
        <v>900000</v>
      </c>
      <c r="D279" s="7">
        <v>0.25</v>
      </c>
      <c r="E279" s="7">
        <v>0.1</v>
      </c>
      <c r="F279" s="7">
        <v>0.05</v>
      </c>
      <c r="G279" s="5">
        <v>10</v>
      </c>
      <c r="I279" s="5" t="b">
        <v>1</v>
      </c>
      <c r="J279" s="5" t="b">
        <v>1</v>
      </c>
      <c r="K279" s="5" t="b">
        <v>1</v>
      </c>
    </row>
    <row r="280" spans="1:11">
      <c r="A280" s="5" t="s">
        <v>68</v>
      </c>
      <c r="B280" s="5" t="s">
        <v>468</v>
      </c>
      <c r="C280" s="6">
        <v>500000</v>
      </c>
      <c r="D280" s="7">
        <v>0.25</v>
      </c>
      <c r="E280" s="7">
        <v>0.1</v>
      </c>
      <c r="F280" s="7">
        <v>0.05</v>
      </c>
      <c r="G280" s="5">
        <v>206</v>
      </c>
      <c r="I280" s="5" t="b">
        <v>1</v>
      </c>
      <c r="J280" s="5" t="b">
        <v>1</v>
      </c>
      <c r="K280" s="5" t="b">
        <v>1</v>
      </c>
    </row>
    <row r="281" spans="1:11">
      <c r="A281" s="5" t="s">
        <v>68</v>
      </c>
      <c r="B281" s="5" t="s">
        <v>469</v>
      </c>
      <c r="C281" s="6">
        <v>1990000</v>
      </c>
      <c r="D281" s="7">
        <v>0.25</v>
      </c>
      <c r="E281" s="7">
        <v>0.1</v>
      </c>
      <c r="F281" s="7">
        <v>0.05</v>
      </c>
      <c r="G281" s="5">
        <v>206</v>
      </c>
      <c r="I281" s="5" t="b">
        <v>1</v>
      </c>
      <c r="J281" s="5" t="b">
        <v>1</v>
      </c>
      <c r="K281" s="5" t="b">
        <v>1</v>
      </c>
    </row>
    <row r="282" spans="1:11">
      <c r="A282" s="5" t="s">
        <v>68</v>
      </c>
      <c r="B282" s="5" t="s">
        <v>470</v>
      </c>
      <c r="C282" s="6">
        <v>900000</v>
      </c>
      <c r="D282" s="7">
        <v>0.25</v>
      </c>
      <c r="E282" s="7">
        <v>0.1</v>
      </c>
      <c r="F282" s="7">
        <v>0.05</v>
      </c>
      <c r="G282" s="5">
        <v>9</v>
      </c>
      <c r="I282" s="5" t="b">
        <v>1</v>
      </c>
      <c r="J282" s="5" t="b">
        <v>1</v>
      </c>
      <c r="K282" s="5" t="b">
        <v>1</v>
      </c>
    </row>
    <row r="283" spans="1:11">
      <c r="A283" s="5" t="s">
        <v>68</v>
      </c>
      <c r="B283" s="5" t="s">
        <v>471</v>
      </c>
      <c r="C283" s="6">
        <v>138000</v>
      </c>
      <c r="D283" s="7">
        <v>0.25</v>
      </c>
      <c r="E283" s="7">
        <v>0.1</v>
      </c>
      <c r="F283" s="7">
        <v>0.05</v>
      </c>
      <c r="G283" s="5">
        <v>23</v>
      </c>
      <c r="I283" s="5" t="b">
        <v>1</v>
      </c>
      <c r="J283" s="5" t="b">
        <v>1</v>
      </c>
      <c r="K283" s="5" t="b">
        <v>1</v>
      </c>
    </row>
    <row r="284" spans="1:11">
      <c r="A284" s="5" t="s">
        <v>68</v>
      </c>
      <c r="B284" s="5" t="s">
        <v>472</v>
      </c>
      <c r="C284" s="6">
        <v>500000</v>
      </c>
      <c r="D284" s="7">
        <v>0.25</v>
      </c>
      <c r="E284" s="7">
        <v>0.1</v>
      </c>
      <c r="F284" s="7">
        <v>0.05</v>
      </c>
      <c r="G284" s="5">
        <v>59</v>
      </c>
      <c r="I284" s="5" t="b">
        <v>1</v>
      </c>
      <c r="J284" s="5" t="b">
        <v>1</v>
      </c>
      <c r="K284" s="5" t="b">
        <v>1</v>
      </c>
    </row>
    <row r="285" spans="1:11">
      <c r="A285" s="5" t="s">
        <v>68</v>
      </c>
      <c r="B285" s="5" t="s">
        <v>473</v>
      </c>
      <c r="C285" s="6">
        <v>280000</v>
      </c>
      <c r="D285" s="7">
        <v>0.25</v>
      </c>
      <c r="E285" s="7">
        <v>0.1</v>
      </c>
      <c r="F285" s="7">
        <v>0.05</v>
      </c>
      <c r="G285" s="5">
        <v>206</v>
      </c>
      <c r="I285" s="5" t="b">
        <v>1</v>
      </c>
      <c r="J285" s="5" t="b">
        <v>1</v>
      </c>
      <c r="K285" s="5" t="b">
        <v>1</v>
      </c>
    </row>
    <row r="286" spans="1:11">
      <c r="A286" s="5" t="s">
        <v>69</v>
      </c>
      <c r="B286" s="5" t="s">
        <v>474</v>
      </c>
      <c r="C286" s="6">
        <v>542500</v>
      </c>
      <c r="D286" s="7">
        <v>0.25</v>
      </c>
      <c r="E286" s="7">
        <v>0.1</v>
      </c>
      <c r="F286" s="7">
        <v>0.05</v>
      </c>
      <c r="G286" s="5">
        <v>21</v>
      </c>
      <c r="I286" s="5" t="b">
        <v>1</v>
      </c>
      <c r="J286" s="5" t="b">
        <v>1</v>
      </c>
      <c r="K286" s="5" t="b">
        <v>1</v>
      </c>
    </row>
    <row r="287" spans="1:11">
      <c r="A287" s="5" t="s">
        <v>69</v>
      </c>
      <c r="B287" s="5" t="s">
        <v>476</v>
      </c>
      <c r="C287" s="6">
        <v>514000</v>
      </c>
      <c r="D287" s="7">
        <v>0.25</v>
      </c>
      <c r="E287" s="7">
        <v>0.1</v>
      </c>
      <c r="F287" s="7">
        <v>0.05</v>
      </c>
      <c r="G287" s="5">
        <v>22</v>
      </c>
      <c r="I287" s="5" t="b">
        <v>1</v>
      </c>
      <c r="J287" s="5" t="b">
        <v>1</v>
      </c>
      <c r="K287" s="5" t="b">
        <v>1</v>
      </c>
    </row>
    <row r="288" spans="1:11">
      <c r="A288" s="5" t="s">
        <v>69</v>
      </c>
      <c r="B288" s="5" t="s">
        <v>477</v>
      </c>
      <c r="C288" s="6">
        <v>814000</v>
      </c>
      <c r="D288" s="7">
        <v>0.25</v>
      </c>
      <c r="E288" s="7">
        <v>0.1</v>
      </c>
      <c r="F288" s="7">
        <v>0.05</v>
      </c>
      <c r="G288" s="5">
        <v>35</v>
      </c>
      <c r="I288" s="5" t="b">
        <v>1</v>
      </c>
      <c r="J288" s="5" t="b">
        <v>1</v>
      </c>
      <c r="K288" s="5" t="b">
        <v>1</v>
      </c>
    </row>
    <row r="289" spans="1:11">
      <c r="A289" s="5" t="s">
        <v>69</v>
      </c>
      <c r="B289" s="5" t="s">
        <v>478</v>
      </c>
      <c r="C289" s="6">
        <v>100000</v>
      </c>
      <c r="D289" s="7">
        <v>0.25</v>
      </c>
      <c r="E289" s="7">
        <v>0.1</v>
      </c>
      <c r="F289" s="7">
        <v>0.05</v>
      </c>
      <c r="G289" s="5">
        <v>10</v>
      </c>
      <c r="I289" s="5" t="b">
        <v>1</v>
      </c>
      <c r="J289" s="5" t="b">
        <v>1</v>
      </c>
      <c r="K289" s="5" t="b">
        <v>1</v>
      </c>
    </row>
    <row r="290" spans="1:11">
      <c r="A290" s="5" t="s">
        <v>69</v>
      </c>
      <c r="B290" s="5" t="s">
        <v>479</v>
      </c>
      <c r="C290" s="6">
        <v>144000</v>
      </c>
      <c r="D290" s="7">
        <v>0.25</v>
      </c>
      <c r="E290" s="7">
        <v>0</v>
      </c>
      <c r="F290" s="7">
        <v>0</v>
      </c>
      <c r="G290" s="5">
        <v>4</v>
      </c>
      <c r="I290" s="5" t="b">
        <v>1</v>
      </c>
      <c r="J290" s="5" t="b">
        <v>1</v>
      </c>
      <c r="K290" s="5" t="b">
        <v>1</v>
      </c>
    </row>
    <row r="291" spans="1:11">
      <c r="A291" s="5" t="s">
        <v>109</v>
      </c>
      <c r="B291" s="5" t="s">
        <v>480</v>
      </c>
      <c r="C291" s="6">
        <v>5000000</v>
      </c>
      <c r="D291" s="7">
        <v>0.25</v>
      </c>
      <c r="E291" s="7">
        <v>0.1</v>
      </c>
      <c r="F291" s="7">
        <v>0.05</v>
      </c>
      <c r="G291" s="5">
        <v>40</v>
      </c>
      <c r="I291" s="5" t="b">
        <v>1</v>
      </c>
      <c r="J291" s="5" t="b">
        <v>1</v>
      </c>
      <c r="K291" s="5" t="b">
        <v>1</v>
      </c>
    </row>
    <row r="292" spans="1:11">
      <c r="A292" s="5" t="s">
        <v>109</v>
      </c>
      <c r="B292" s="5" t="s">
        <v>482</v>
      </c>
      <c r="C292" s="6">
        <v>18487819</v>
      </c>
      <c r="D292" s="7">
        <v>0.25</v>
      </c>
      <c r="E292" s="7">
        <v>0.1</v>
      </c>
      <c r="F292" s="7">
        <v>0.1</v>
      </c>
      <c r="G292" s="5">
        <v>474</v>
      </c>
      <c r="I292" s="5" t="b">
        <v>1</v>
      </c>
      <c r="J292" s="5" t="b">
        <v>1</v>
      </c>
      <c r="K292" s="5" t="b">
        <v>1</v>
      </c>
    </row>
    <row r="293" spans="1:11">
      <c r="A293" s="5" t="s">
        <v>109</v>
      </c>
      <c r="B293" s="5" t="s">
        <v>483</v>
      </c>
      <c r="C293" s="6">
        <v>4621949.37</v>
      </c>
      <c r="D293" s="7">
        <v>0.25</v>
      </c>
      <c r="E293" s="7">
        <v>0.1</v>
      </c>
      <c r="F293" s="7">
        <v>0.1</v>
      </c>
      <c r="G293" s="5">
        <v>252</v>
      </c>
      <c r="I293" s="5" t="b">
        <v>1</v>
      </c>
      <c r="J293" s="5" t="b">
        <v>1</v>
      </c>
      <c r="K293" s="5" t="b">
        <v>1</v>
      </c>
    </row>
    <row r="294" spans="1:11">
      <c r="A294" s="5" t="s">
        <v>109</v>
      </c>
      <c r="B294" s="5" t="s">
        <v>484</v>
      </c>
      <c r="C294" s="6">
        <v>18487819</v>
      </c>
      <c r="D294" s="7">
        <v>0.25</v>
      </c>
      <c r="E294" s="7">
        <v>0.1</v>
      </c>
      <c r="F294" s="7">
        <v>0.1</v>
      </c>
      <c r="G294" s="5">
        <v>308</v>
      </c>
      <c r="I294" s="5" t="b">
        <v>1</v>
      </c>
      <c r="J294" s="5" t="b">
        <v>1</v>
      </c>
      <c r="K294" s="5" t="b">
        <v>1</v>
      </c>
    </row>
    <row r="295" spans="1:11">
      <c r="A295" s="5" t="s">
        <v>109</v>
      </c>
      <c r="B295" s="5" t="s">
        <v>485</v>
      </c>
      <c r="C295" s="6">
        <v>5490000</v>
      </c>
      <c r="D295" s="7">
        <v>0.25</v>
      </c>
      <c r="E295" s="7">
        <v>0.1</v>
      </c>
      <c r="F295" s="7">
        <v>0.05</v>
      </c>
      <c r="G295" s="5">
        <v>183</v>
      </c>
      <c r="I295" s="5" t="b">
        <v>1</v>
      </c>
      <c r="J295" s="5" t="b">
        <v>1</v>
      </c>
      <c r="K295" s="5" t="b">
        <v>1</v>
      </c>
    </row>
    <row r="296" spans="1:11">
      <c r="A296" s="5" t="s">
        <v>109</v>
      </c>
      <c r="B296" s="5" t="s">
        <v>720</v>
      </c>
      <c r="C296" s="6">
        <v>4621954.74</v>
      </c>
      <c r="D296" s="7">
        <v>0.25</v>
      </c>
      <c r="E296" s="7">
        <v>0.1</v>
      </c>
      <c r="F296" s="7">
        <v>0.05</v>
      </c>
      <c r="G296" s="5">
        <v>200</v>
      </c>
      <c r="I296" s="5" t="b">
        <v>1</v>
      </c>
      <c r="J296" s="5" t="b">
        <v>1</v>
      </c>
      <c r="K296" s="5" t="b">
        <v>1</v>
      </c>
    </row>
    <row r="297" spans="1:11">
      <c r="A297" s="5" t="s">
        <v>109</v>
      </c>
      <c r="B297" s="5" t="s">
        <v>487</v>
      </c>
      <c r="C297" s="6">
        <v>2731708.8</v>
      </c>
      <c r="D297" s="7">
        <v>0.25</v>
      </c>
      <c r="E297" s="7">
        <v>0.1</v>
      </c>
      <c r="F297" s="7">
        <v>0.05</v>
      </c>
      <c r="G297" s="5">
        <v>30</v>
      </c>
      <c r="I297" s="5" t="b">
        <v>1</v>
      </c>
      <c r="J297" s="5" t="b">
        <v>1</v>
      </c>
      <c r="K297" s="5" t="b">
        <v>1</v>
      </c>
    </row>
    <row r="298" spans="1:11">
      <c r="A298" s="5" t="s">
        <v>110</v>
      </c>
      <c r="B298" s="5" t="s">
        <v>721</v>
      </c>
      <c r="C298" s="6">
        <v>4250000</v>
      </c>
      <c r="D298" s="7">
        <v>0.25</v>
      </c>
      <c r="E298" s="7">
        <v>0.1</v>
      </c>
      <c r="F298" s="7">
        <v>0.05</v>
      </c>
      <c r="G298" s="5">
        <v>75</v>
      </c>
      <c r="I298" s="5" t="b">
        <v>1</v>
      </c>
      <c r="J298" s="5" t="b">
        <v>1</v>
      </c>
      <c r="K298" s="5" t="b">
        <v>1</v>
      </c>
    </row>
    <row r="299" spans="1:11">
      <c r="A299" s="5" t="s">
        <v>110</v>
      </c>
      <c r="B299" s="5" t="s">
        <v>722</v>
      </c>
      <c r="C299" s="6">
        <v>3500000</v>
      </c>
      <c r="D299" s="7">
        <v>0.25</v>
      </c>
      <c r="E299" s="7">
        <v>0.1</v>
      </c>
      <c r="F299" s="7">
        <v>0.05</v>
      </c>
      <c r="G299" s="5">
        <v>350</v>
      </c>
      <c r="I299" s="5" t="b">
        <v>1</v>
      </c>
      <c r="J299" s="5" t="b">
        <v>1</v>
      </c>
      <c r="K299" s="5" t="b">
        <v>1</v>
      </c>
    </row>
    <row r="300" spans="1:11">
      <c r="A300" s="5" t="s">
        <v>110</v>
      </c>
      <c r="B300" s="5" t="s">
        <v>723</v>
      </c>
      <c r="C300" s="6">
        <v>1995000</v>
      </c>
      <c r="D300" s="7">
        <v>0.25</v>
      </c>
      <c r="E300" s="7">
        <v>0.1</v>
      </c>
      <c r="F300" s="7">
        <v>0.05</v>
      </c>
      <c r="G300" s="5">
        <v>35</v>
      </c>
      <c r="I300" s="5" t="b">
        <v>1</v>
      </c>
      <c r="J300" s="5" t="b">
        <v>1</v>
      </c>
      <c r="K300" s="5" t="b">
        <v>1</v>
      </c>
    </row>
    <row r="301" spans="1:11">
      <c r="A301" s="5" t="s">
        <v>110</v>
      </c>
      <c r="B301" s="5" t="s">
        <v>724</v>
      </c>
      <c r="C301" s="6">
        <v>600000</v>
      </c>
      <c r="D301" s="7">
        <v>0.25</v>
      </c>
      <c r="E301" s="7">
        <v>0.1</v>
      </c>
      <c r="F301" s="7">
        <v>0.05</v>
      </c>
      <c r="G301" s="5">
        <v>120</v>
      </c>
      <c r="I301" s="5" t="b">
        <v>1</v>
      </c>
      <c r="J301" s="5" t="b">
        <v>1</v>
      </c>
      <c r="K301" s="5" t="b">
        <v>1</v>
      </c>
    </row>
    <row r="302" spans="1:11">
      <c r="A302" s="5" t="s">
        <v>110</v>
      </c>
      <c r="B302" s="5" t="s">
        <v>725</v>
      </c>
      <c r="C302" s="6">
        <v>1000000</v>
      </c>
      <c r="D302" s="7">
        <v>0.25</v>
      </c>
      <c r="E302" s="7">
        <v>0.1</v>
      </c>
      <c r="F302" s="7">
        <v>0.05</v>
      </c>
      <c r="G302" s="5">
        <v>160</v>
      </c>
      <c r="I302" s="5" t="b">
        <v>1</v>
      </c>
      <c r="J302" s="5" t="b">
        <v>1</v>
      </c>
      <c r="K302" s="5" t="b">
        <v>1</v>
      </c>
    </row>
    <row r="303" spans="1:11">
      <c r="A303" s="5" t="s">
        <v>110</v>
      </c>
      <c r="B303" s="5" t="s">
        <v>726</v>
      </c>
      <c r="C303" s="6">
        <v>2400000</v>
      </c>
      <c r="D303" s="7">
        <v>0.25</v>
      </c>
      <c r="E303" s="7">
        <v>0.1</v>
      </c>
      <c r="F303" s="7">
        <v>0.05</v>
      </c>
      <c r="G303" s="5">
        <v>240</v>
      </c>
      <c r="I303" s="5" t="b">
        <v>1</v>
      </c>
      <c r="J303" s="5" t="b">
        <v>1</v>
      </c>
      <c r="K303" s="5" t="b">
        <v>1</v>
      </c>
    </row>
    <row r="304" spans="1:11">
      <c r="A304" s="5" t="s">
        <v>110</v>
      </c>
      <c r="B304" s="5" t="s">
        <v>727</v>
      </c>
      <c r="C304" s="6">
        <v>800000</v>
      </c>
      <c r="D304" s="7">
        <v>0</v>
      </c>
      <c r="E304" s="7">
        <v>1</v>
      </c>
      <c r="F304" s="7">
        <v>0.05</v>
      </c>
      <c r="G304" s="5">
        <v>55</v>
      </c>
      <c r="H304" s="5" t="s">
        <v>168</v>
      </c>
      <c r="I304" s="5" t="b">
        <v>1</v>
      </c>
      <c r="J304" s="5" t="b">
        <v>1</v>
      </c>
      <c r="K304" s="5" t="b">
        <v>1</v>
      </c>
    </row>
    <row r="305" spans="1:11">
      <c r="A305" s="5" t="s">
        <v>110</v>
      </c>
      <c r="B305" s="5" t="s">
        <v>728</v>
      </c>
      <c r="C305" s="6">
        <v>2400000</v>
      </c>
      <c r="D305" s="7">
        <v>0.25</v>
      </c>
      <c r="E305" s="7">
        <v>0.1</v>
      </c>
      <c r="F305" s="7">
        <v>0.05</v>
      </c>
      <c r="G305" s="5">
        <v>120</v>
      </c>
      <c r="I305" s="5" t="b">
        <v>1</v>
      </c>
      <c r="J305" s="5" t="b">
        <v>1</v>
      </c>
      <c r="K305" s="5" t="b">
        <v>1</v>
      </c>
    </row>
    <row r="306" spans="1:11">
      <c r="A306" s="5" t="s">
        <v>110</v>
      </c>
      <c r="B306" s="5" t="s">
        <v>729</v>
      </c>
      <c r="C306" s="6">
        <v>8500000</v>
      </c>
      <c r="D306" s="7">
        <v>0.25</v>
      </c>
      <c r="E306" s="7">
        <v>0.1</v>
      </c>
      <c r="F306" s="7">
        <v>0.05</v>
      </c>
      <c r="G306" s="5">
        <v>222</v>
      </c>
      <c r="I306" s="5" t="b">
        <v>1</v>
      </c>
      <c r="J306" s="5" t="b">
        <v>1</v>
      </c>
      <c r="K306" s="5" t="b">
        <v>1</v>
      </c>
    </row>
    <row r="307" spans="1:11">
      <c r="A307" s="5" t="s">
        <v>110</v>
      </c>
      <c r="B307" s="5" t="s">
        <v>730</v>
      </c>
      <c r="C307" s="6">
        <v>1800000</v>
      </c>
      <c r="D307" s="7">
        <v>0.25</v>
      </c>
      <c r="E307" s="7">
        <v>0.1</v>
      </c>
      <c r="F307" s="7">
        <v>0.05</v>
      </c>
      <c r="G307" s="5">
        <v>90</v>
      </c>
      <c r="I307" s="5" t="b">
        <v>1</v>
      </c>
      <c r="J307" s="5" t="b">
        <v>1</v>
      </c>
      <c r="K307" s="5" t="b">
        <v>1</v>
      </c>
    </row>
    <row r="308" spans="1:11">
      <c r="A308" s="5" t="s">
        <v>110</v>
      </c>
      <c r="B308" s="5" t="s">
        <v>731</v>
      </c>
      <c r="C308" s="6">
        <v>600000</v>
      </c>
      <c r="D308" s="7">
        <v>0.25</v>
      </c>
      <c r="E308" s="7">
        <v>0.1</v>
      </c>
      <c r="F308" s="7">
        <v>0.05</v>
      </c>
      <c r="G308" s="5">
        <v>120</v>
      </c>
      <c r="I308" s="5" t="b">
        <v>1</v>
      </c>
      <c r="J308" s="5" t="b">
        <v>1</v>
      </c>
      <c r="K308" s="5" t="b">
        <v>1</v>
      </c>
    </row>
    <row r="309" spans="1:11">
      <c r="A309" s="5" t="s">
        <v>110</v>
      </c>
      <c r="B309" s="5" t="s">
        <v>732</v>
      </c>
      <c r="C309" s="6">
        <v>1355000</v>
      </c>
      <c r="D309" s="7">
        <v>0.25</v>
      </c>
      <c r="E309" s="7">
        <v>0.1</v>
      </c>
      <c r="F309" s="7">
        <v>0.05</v>
      </c>
      <c r="G309" s="5">
        <v>131</v>
      </c>
      <c r="I309" s="5" t="b">
        <v>1</v>
      </c>
      <c r="J309" s="5" t="b">
        <v>1</v>
      </c>
      <c r="K309" s="5" t="b">
        <v>1</v>
      </c>
    </row>
    <row r="310" spans="1:11">
      <c r="A310" s="5" t="s">
        <v>110</v>
      </c>
      <c r="B310" s="5" t="s">
        <v>733</v>
      </c>
      <c r="C310" s="6">
        <v>2400000</v>
      </c>
      <c r="D310" s="7">
        <v>0.25</v>
      </c>
      <c r="E310" s="7">
        <v>0.1</v>
      </c>
      <c r="F310" s="7">
        <v>0.05</v>
      </c>
      <c r="G310" s="5">
        <v>80</v>
      </c>
      <c r="I310" s="5" t="b">
        <v>1</v>
      </c>
      <c r="J310" s="5" t="b">
        <v>1</v>
      </c>
      <c r="K310" s="5" t="b">
        <v>1</v>
      </c>
    </row>
    <row r="311" spans="1:11">
      <c r="A311" s="5" t="s">
        <v>110</v>
      </c>
      <c r="B311" s="5" t="s">
        <v>734</v>
      </c>
      <c r="C311" s="6">
        <v>2400000</v>
      </c>
      <c r="D311" s="7">
        <v>0.25</v>
      </c>
      <c r="E311" s="7">
        <v>0.1</v>
      </c>
      <c r="F311" s="7">
        <v>0.05</v>
      </c>
      <c r="G311" s="5">
        <v>120</v>
      </c>
      <c r="I311" s="5" t="b">
        <v>1</v>
      </c>
      <c r="J311" s="5" t="b">
        <v>1</v>
      </c>
      <c r="K311" s="5" t="b">
        <v>1</v>
      </c>
    </row>
    <row r="312" spans="1:11">
      <c r="A312" s="5" t="s">
        <v>110</v>
      </c>
      <c r="B312" s="5" t="s">
        <v>503</v>
      </c>
      <c r="C312" s="6">
        <v>800000</v>
      </c>
      <c r="D312" s="7">
        <v>0</v>
      </c>
      <c r="E312" s="7">
        <v>1</v>
      </c>
      <c r="F312" s="7">
        <v>0.05</v>
      </c>
      <c r="G312" s="5">
        <v>55</v>
      </c>
      <c r="H312" s="5" t="s">
        <v>168</v>
      </c>
      <c r="I312" s="5" t="b">
        <v>1</v>
      </c>
      <c r="J312" s="5" t="b">
        <v>1</v>
      </c>
      <c r="K312" s="5" t="b">
        <v>1</v>
      </c>
    </row>
    <row r="313" spans="1:11">
      <c r="A313" s="5" t="s">
        <v>110</v>
      </c>
      <c r="B313" s="5" t="s">
        <v>504</v>
      </c>
      <c r="C313" s="6">
        <v>800000</v>
      </c>
      <c r="D313" s="7">
        <v>0</v>
      </c>
      <c r="E313" s="7">
        <v>0</v>
      </c>
      <c r="F313" s="7">
        <v>0.05</v>
      </c>
      <c r="G313" s="5">
        <v>55</v>
      </c>
      <c r="I313" s="5" t="b">
        <v>1</v>
      </c>
      <c r="J313" s="5" t="b">
        <v>1</v>
      </c>
      <c r="K313" s="5" t="b">
        <v>1</v>
      </c>
    </row>
    <row r="314" spans="1:11">
      <c r="A314" s="5" t="s">
        <v>111</v>
      </c>
      <c r="B314" s="5" t="s">
        <v>505</v>
      </c>
      <c r="C314" s="6">
        <v>5825997.2400000002</v>
      </c>
      <c r="D314" s="7">
        <v>0.25</v>
      </c>
      <c r="E314" s="7">
        <v>0.1</v>
      </c>
      <c r="F314" s="7">
        <v>0.05</v>
      </c>
      <c r="G314" s="5">
        <v>24</v>
      </c>
      <c r="I314" s="5" t="b">
        <v>1</v>
      </c>
      <c r="J314" s="5" t="b">
        <v>1</v>
      </c>
      <c r="K314" s="5" t="b">
        <v>1</v>
      </c>
    </row>
    <row r="315" spans="1:11">
      <c r="A315" s="5" t="s">
        <v>111</v>
      </c>
      <c r="B315" s="5" t="s">
        <v>507</v>
      </c>
      <c r="C315" s="6">
        <v>5475586.3399999999</v>
      </c>
      <c r="D315" s="7">
        <v>0.25</v>
      </c>
      <c r="E315" s="7">
        <v>0.1</v>
      </c>
      <c r="F315" s="7">
        <v>0.05</v>
      </c>
      <c r="G315" s="5">
        <v>38</v>
      </c>
      <c r="I315" s="5" t="b">
        <v>1</v>
      </c>
      <c r="J315" s="5" t="b">
        <v>1</v>
      </c>
      <c r="K315" s="5" t="b">
        <v>1</v>
      </c>
    </row>
    <row r="316" spans="1:11">
      <c r="A316" s="5" t="s">
        <v>111</v>
      </c>
      <c r="B316" s="5" t="s">
        <v>508</v>
      </c>
      <c r="C316" s="6">
        <v>3300000</v>
      </c>
      <c r="D316" s="7">
        <v>0.25</v>
      </c>
      <c r="E316" s="7">
        <v>0.1</v>
      </c>
      <c r="F316" s="7">
        <v>0.05</v>
      </c>
      <c r="G316" s="5">
        <v>60</v>
      </c>
      <c r="I316" s="5" t="b">
        <v>1</v>
      </c>
      <c r="J316" s="5" t="b">
        <v>1</v>
      </c>
      <c r="K316" s="5" t="b">
        <v>1</v>
      </c>
    </row>
    <row r="317" spans="1:11">
      <c r="A317" s="5" t="s">
        <v>111</v>
      </c>
      <c r="B317" s="9" t="s">
        <v>509</v>
      </c>
      <c r="C317" s="6">
        <v>34050000</v>
      </c>
      <c r="D317" s="7">
        <v>0.25</v>
      </c>
      <c r="E317" s="7">
        <v>0.1</v>
      </c>
      <c r="F317" s="7">
        <v>0.05</v>
      </c>
      <c r="G317" s="10">
        <v>280</v>
      </c>
      <c r="I317" s="5" t="b">
        <v>1</v>
      </c>
      <c r="J317" s="5" t="b">
        <v>1</v>
      </c>
      <c r="K317" s="5" t="b">
        <v>1</v>
      </c>
    </row>
    <row r="318" spans="1:11">
      <c r="A318" s="5" t="s">
        <v>111</v>
      </c>
      <c r="B318" s="5" t="s">
        <v>510</v>
      </c>
      <c r="C318" s="6">
        <v>571428.56000000006</v>
      </c>
      <c r="D318" s="7">
        <v>0.25</v>
      </c>
      <c r="E318" s="7">
        <v>0.1</v>
      </c>
      <c r="F318" s="7">
        <v>0.05</v>
      </c>
      <c r="G318" s="5">
        <v>120</v>
      </c>
      <c r="I318" s="5" t="b">
        <v>1</v>
      </c>
      <c r="J318" s="5" t="b">
        <v>1</v>
      </c>
      <c r="K318" s="5" t="b">
        <v>1</v>
      </c>
    </row>
    <row r="319" spans="1:11">
      <c r="A319" s="5" t="s">
        <v>111</v>
      </c>
      <c r="B319" s="9" t="s">
        <v>511</v>
      </c>
      <c r="C319" s="6">
        <v>8750000</v>
      </c>
      <c r="D319" s="7">
        <v>0.25</v>
      </c>
      <c r="E319" s="7">
        <v>0.1</v>
      </c>
      <c r="F319" s="7">
        <v>0.05</v>
      </c>
      <c r="G319" s="10">
        <v>53</v>
      </c>
      <c r="I319" s="5" t="b">
        <v>1</v>
      </c>
      <c r="J319" s="5" t="b">
        <v>1</v>
      </c>
      <c r="K319" s="5" t="b">
        <v>1</v>
      </c>
    </row>
    <row r="320" spans="1:11">
      <c r="A320" s="5" t="s">
        <v>111</v>
      </c>
      <c r="B320" s="5" t="s">
        <v>512</v>
      </c>
      <c r="C320" s="6">
        <v>1500000</v>
      </c>
      <c r="D320" s="7">
        <v>0.25</v>
      </c>
      <c r="E320" s="7">
        <v>0.1</v>
      </c>
      <c r="F320" s="7">
        <v>0.05</v>
      </c>
      <c r="G320" s="5">
        <v>50</v>
      </c>
      <c r="I320" s="5" t="b">
        <v>1</v>
      </c>
      <c r="J320" s="5" t="b">
        <v>1</v>
      </c>
      <c r="K320" s="5" t="b">
        <v>1</v>
      </c>
    </row>
    <row r="321" spans="1:11">
      <c r="A321" s="5" t="s">
        <v>111</v>
      </c>
      <c r="B321" s="5" t="s">
        <v>513</v>
      </c>
      <c r="C321" s="6">
        <v>3300000</v>
      </c>
      <c r="D321" s="7">
        <v>0.25</v>
      </c>
      <c r="E321" s="7">
        <v>0.1</v>
      </c>
      <c r="F321" s="7">
        <v>0.05</v>
      </c>
      <c r="G321" s="5">
        <v>16</v>
      </c>
      <c r="I321" s="5" t="b">
        <v>1</v>
      </c>
      <c r="J321" s="5" t="b">
        <v>1</v>
      </c>
      <c r="K321" s="5" t="b">
        <v>1</v>
      </c>
    </row>
    <row r="322" spans="1:11">
      <c r="A322" s="5" t="s">
        <v>111</v>
      </c>
      <c r="B322" s="5" t="s">
        <v>514</v>
      </c>
      <c r="C322" s="6">
        <v>1499999.84</v>
      </c>
      <c r="D322" s="7">
        <v>0.4</v>
      </c>
      <c r="E322" s="7">
        <v>0.1</v>
      </c>
      <c r="F322" s="7">
        <v>0.05</v>
      </c>
      <c r="G322" s="5">
        <v>4</v>
      </c>
      <c r="I322" s="5" t="b">
        <v>1</v>
      </c>
      <c r="J322" s="5" t="b">
        <v>1</v>
      </c>
      <c r="K322" s="5" t="b">
        <v>1</v>
      </c>
    </row>
    <row r="323" spans="1:11">
      <c r="A323" s="5" t="s">
        <v>112</v>
      </c>
      <c r="B323" s="5" t="s">
        <v>515</v>
      </c>
      <c r="C323" s="6">
        <v>9800000</v>
      </c>
      <c r="D323" s="7">
        <v>0.25</v>
      </c>
      <c r="E323" s="7">
        <v>0.1</v>
      </c>
      <c r="F323" s="7">
        <v>0.05</v>
      </c>
      <c r="G323" s="5">
        <v>260</v>
      </c>
      <c r="I323" s="5" t="b">
        <v>1</v>
      </c>
      <c r="J323" s="5" t="b">
        <v>1</v>
      </c>
      <c r="K323" s="5" t="b">
        <v>1</v>
      </c>
    </row>
    <row r="324" spans="1:11">
      <c r="A324" s="5" t="s">
        <v>112</v>
      </c>
      <c r="B324" s="5" t="s">
        <v>517</v>
      </c>
      <c r="C324" s="6">
        <v>33950000</v>
      </c>
      <c r="D324" s="7">
        <v>0.25</v>
      </c>
      <c r="E324" s="7">
        <v>0.1</v>
      </c>
      <c r="F324" s="7">
        <v>0.05</v>
      </c>
      <c r="G324" s="5">
        <v>900</v>
      </c>
      <c r="I324" s="5" t="b">
        <v>1</v>
      </c>
      <c r="J324" s="5" t="b">
        <v>1</v>
      </c>
      <c r="K324" s="5" t="b">
        <v>1</v>
      </c>
    </row>
    <row r="325" spans="1:11">
      <c r="A325" s="5" t="s">
        <v>112</v>
      </c>
      <c r="B325" s="5" t="s">
        <v>518</v>
      </c>
      <c r="C325" s="6">
        <v>9177166.5999999996</v>
      </c>
      <c r="D325" s="7">
        <v>0.25</v>
      </c>
      <c r="E325" s="7">
        <v>0.1</v>
      </c>
      <c r="F325" s="7">
        <v>0.05</v>
      </c>
      <c r="G325" s="5">
        <v>780</v>
      </c>
      <c r="I325" s="5" t="b">
        <v>1</v>
      </c>
      <c r="J325" s="5" t="b">
        <v>1</v>
      </c>
      <c r="K325" s="5" t="b">
        <v>1</v>
      </c>
    </row>
    <row r="326" spans="1:11">
      <c r="A326" s="5" t="s">
        <v>112</v>
      </c>
      <c r="B326" s="5" t="s">
        <v>735</v>
      </c>
      <c r="C326" s="6">
        <v>1000000</v>
      </c>
      <c r="D326" s="7">
        <v>1</v>
      </c>
      <c r="E326" s="7">
        <v>0.1</v>
      </c>
      <c r="F326" s="7">
        <v>0.05</v>
      </c>
      <c r="G326" s="5">
        <v>100</v>
      </c>
      <c r="H326" s="5" t="s">
        <v>213</v>
      </c>
      <c r="I326" s="5" t="b">
        <v>1</v>
      </c>
      <c r="J326" s="5" t="b">
        <v>1</v>
      </c>
      <c r="K326" s="5" t="b">
        <v>1</v>
      </c>
    </row>
    <row r="327" spans="1:11">
      <c r="A327" s="5" t="s">
        <v>112</v>
      </c>
      <c r="B327" s="5" t="s">
        <v>736</v>
      </c>
      <c r="C327" s="6">
        <v>2500000</v>
      </c>
      <c r="D327" s="7">
        <v>0.25</v>
      </c>
      <c r="E327" s="7">
        <v>0.1</v>
      </c>
      <c r="F327" s="7">
        <v>0.05</v>
      </c>
      <c r="G327" s="5">
        <v>100</v>
      </c>
      <c r="I327" s="5" t="b">
        <v>1</v>
      </c>
      <c r="J327" s="5" t="b">
        <v>1</v>
      </c>
      <c r="K327" s="5" t="b">
        <v>1</v>
      </c>
    </row>
    <row r="328" spans="1:11">
      <c r="A328" s="5" t="s">
        <v>112</v>
      </c>
      <c r="B328" s="5" t="s">
        <v>521</v>
      </c>
      <c r="C328" s="6">
        <v>7700000</v>
      </c>
      <c r="D328" s="7">
        <v>0.25</v>
      </c>
      <c r="E328" s="7">
        <v>0.1</v>
      </c>
      <c r="F328" s="7">
        <v>0.05</v>
      </c>
      <c r="G328" s="5">
        <v>80</v>
      </c>
      <c r="I328" s="5" t="b">
        <v>1</v>
      </c>
      <c r="J328" s="5" t="b">
        <v>1</v>
      </c>
      <c r="K328" s="5" t="b">
        <v>1</v>
      </c>
    </row>
    <row r="329" spans="1:11">
      <c r="A329" s="5" t="s">
        <v>112</v>
      </c>
      <c r="B329" s="5" t="s">
        <v>522</v>
      </c>
      <c r="C329" s="6">
        <v>1800000</v>
      </c>
      <c r="D329" s="7">
        <v>0.25</v>
      </c>
      <c r="E329" s="7">
        <v>0.1</v>
      </c>
      <c r="F329" s="7">
        <v>0.05</v>
      </c>
      <c r="G329" s="5">
        <v>6</v>
      </c>
      <c r="I329" s="5" t="b">
        <v>1</v>
      </c>
      <c r="J329" s="5" t="b">
        <v>1</v>
      </c>
      <c r="K329" s="5" t="b">
        <v>1</v>
      </c>
    </row>
    <row r="330" spans="1:11">
      <c r="A330" s="5" t="s">
        <v>113</v>
      </c>
      <c r="B330" s="5" t="s">
        <v>737</v>
      </c>
      <c r="C330" s="6">
        <v>6500000</v>
      </c>
      <c r="D330" s="7">
        <v>0.25</v>
      </c>
      <c r="E330" s="7">
        <v>0.1</v>
      </c>
      <c r="F330" s="7">
        <v>0.05</v>
      </c>
      <c r="G330" s="5">
        <v>130</v>
      </c>
      <c r="I330" s="5" t="b">
        <v>1</v>
      </c>
      <c r="J330" s="5" t="b">
        <v>1</v>
      </c>
      <c r="K330" s="5" t="b">
        <v>1</v>
      </c>
    </row>
    <row r="331" spans="1:11">
      <c r="A331" s="5" t="s">
        <v>113</v>
      </c>
      <c r="B331" s="5" t="s">
        <v>525</v>
      </c>
      <c r="C331" s="6">
        <v>12000000</v>
      </c>
      <c r="D331" s="7">
        <v>0.25</v>
      </c>
      <c r="E331" s="7">
        <v>0.1</v>
      </c>
      <c r="F331" s="7">
        <v>0.05</v>
      </c>
      <c r="G331" s="5">
        <v>110</v>
      </c>
      <c r="I331" s="5" t="b">
        <v>1</v>
      </c>
      <c r="J331" s="5" t="b">
        <v>1</v>
      </c>
      <c r="K331" s="5" t="b">
        <v>1</v>
      </c>
    </row>
    <row r="332" spans="1:11">
      <c r="A332" s="5" t="s">
        <v>113</v>
      </c>
      <c r="B332" s="5" t="s">
        <v>526</v>
      </c>
      <c r="C332" s="6">
        <v>2248000</v>
      </c>
      <c r="D332" s="7">
        <v>0.25</v>
      </c>
      <c r="E332" s="7">
        <v>0.1</v>
      </c>
      <c r="F332" s="7">
        <v>0.05</v>
      </c>
      <c r="G332" s="5">
        <v>251</v>
      </c>
      <c r="I332" s="5" t="b">
        <v>1</v>
      </c>
      <c r="J332" s="5" t="b">
        <v>1</v>
      </c>
      <c r="K332" s="5" t="b">
        <v>1</v>
      </c>
    </row>
    <row r="333" spans="1:11">
      <c r="A333" s="5" t="s">
        <v>113</v>
      </c>
      <c r="B333" s="5" t="s">
        <v>527</v>
      </c>
      <c r="C333" s="6">
        <v>2700000</v>
      </c>
      <c r="D333" s="7">
        <v>0.25</v>
      </c>
      <c r="E333" s="7">
        <v>0.1</v>
      </c>
      <c r="F333" s="7">
        <v>0.05</v>
      </c>
      <c r="G333" s="5">
        <v>27</v>
      </c>
      <c r="I333" s="5" t="b">
        <v>1</v>
      </c>
      <c r="J333" s="5" t="b">
        <v>1</v>
      </c>
      <c r="K333" s="5" t="b">
        <v>1</v>
      </c>
    </row>
    <row r="334" spans="1:11">
      <c r="A334" s="5" t="s">
        <v>113</v>
      </c>
      <c r="B334" s="5" t="s">
        <v>528</v>
      </c>
      <c r="C334" s="6">
        <v>600000</v>
      </c>
      <c r="D334" s="7">
        <v>0.25</v>
      </c>
      <c r="E334" s="7">
        <v>0.1</v>
      </c>
      <c r="F334" s="7">
        <v>0.05</v>
      </c>
      <c r="G334" s="5">
        <v>2</v>
      </c>
      <c r="I334" s="5" t="b">
        <v>1</v>
      </c>
      <c r="J334" s="5" t="b">
        <v>1</v>
      </c>
      <c r="K334" s="5" t="b">
        <v>1</v>
      </c>
    </row>
    <row r="335" spans="1:11">
      <c r="A335" s="5" t="s">
        <v>70</v>
      </c>
      <c r="B335" s="5" t="s">
        <v>529</v>
      </c>
      <c r="C335" s="6">
        <v>3980000</v>
      </c>
      <c r="D335" s="7">
        <v>0.25</v>
      </c>
      <c r="E335" s="7">
        <v>0.1</v>
      </c>
      <c r="F335" s="7">
        <v>0.05</v>
      </c>
      <c r="G335" s="5">
        <v>55</v>
      </c>
      <c r="I335" s="5" t="b">
        <v>1</v>
      </c>
      <c r="J335" s="5" t="b">
        <v>1</v>
      </c>
      <c r="K335" s="5" t="b">
        <v>1</v>
      </c>
    </row>
    <row r="336" spans="1:11">
      <c r="A336" s="5" t="s">
        <v>70</v>
      </c>
      <c r="B336" s="5" t="s">
        <v>531</v>
      </c>
      <c r="C336" s="6">
        <v>1000000</v>
      </c>
      <c r="D336" s="7">
        <v>0.25</v>
      </c>
      <c r="E336" s="7">
        <v>0.1</v>
      </c>
      <c r="F336" s="7">
        <v>0.05</v>
      </c>
      <c r="G336" s="5">
        <v>50</v>
      </c>
      <c r="I336" s="5" t="b">
        <v>1</v>
      </c>
      <c r="J336" s="5" t="b">
        <v>1</v>
      </c>
      <c r="K336" s="5" t="b">
        <v>1</v>
      </c>
    </row>
    <row r="337" spans="1:11">
      <c r="A337" s="5" t="s">
        <v>70</v>
      </c>
      <c r="B337" s="5" t="s">
        <v>532</v>
      </c>
      <c r="C337" s="6">
        <v>1800000</v>
      </c>
      <c r="D337" s="7">
        <v>0.25</v>
      </c>
      <c r="E337" s="7">
        <v>0.1</v>
      </c>
      <c r="F337" s="7">
        <v>0.05</v>
      </c>
      <c r="G337" s="5">
        <v>30</v>
      </c>
      <c r="I337" s="5" t="b">
        <v>1</v>
      </c>
      <c r="J337" s="5" t="b">
        <v>1</v>
      </c>
      <c r="K337" s="5" t="b">
        <v>1</v>
      </c>
    </row>
    <row r="338" spans="1:11">
      <c r="A338" s="5" t="s">
        <v>70</v>
      </c>
      <c r="B338" s="5" t="s">
        <v>533</v>
      </c>
      <c r="C338" s="6">
        <v>1036000</v>
      </c>
      <c r="D338" s="7">
        <v>0.25</v>
      </c>
      <c r="E338" s="7">
        <v>0.1</v>
      </c>
      <c r="F338" s="7">
        <v>0.05</v>
      </c>
      <c r="G338" s="5">
        <v>97</v>
      </c>
      <c r="I338" s="5" t="b">
        <v>1</v>
      </c>
      <c r="J338" s="5" t="b">
        <v>1</v>
      </c>
      <c r="K338" s="5" t="b">
        <v>1</v>
      </c>
    </row>
    <row r="339" spans="1:11">
      <c r="A339" s="5" t="s">
        <v>70</v>
      </c>
      <c r="B339" s="5" t="s">
        <v>534</v>
      </c>
      <c r="C339" s="6">
        <v>780000</v>
      </c>
      <c r="D339" s="7">
        <v>0</v>
      </c>
      <c r="E339" s="7">
        <v>0</v>
      </c>
      <c r="F339" s="7">
        <v>0</v>
      </c>
      <c r="G339" s="5">
        <v>1</v>
      </c>
      <c r="I339" s="5" t="b">
        <v>1</v>
      </c>
      <c r="J339" s="5" t="b">
        <v>1</v>
      </c>
      <c r="K339" s="5" t="b">
        <v>1</v>
      </c>
    </row>
    <row r="340" spans="1:11">
      <c r="A340" s="5" t="s">
        <v>71</v>
      </c>
      <c r="B340" s="5" t="s">
        <v>535</v>
      </c>
      <c r="C340" s="6">
        <v>2121592.46</v>
      </c>
      <c r="D340" s="7">
        <v>0.25</v>
      </c>
      <c r="E340" s="7">
        <v>0.1</v>
      </c>
      <c r="F340" s="7">
        <v>0.05</v>
      </c>
      <c r="G340" s="5">
        <v>64</v>
      </c>
      <c r="I340" s="5" t="b">
        <v>1</v>
      </c>
      <c r="J340" s="5" t="b">
        <v>1</v>
      </c>
      <c r="K340" s="5" t="b">
        <v>1</v>
      </c>
    </row>
    <row r="341" spans="1:11">
      <c r="A341" s="5" t="s">
        <v>71</v>
      </c>
      <c r="B341" s="5" t="s">
        <v>537</v>
      </c>
      <c r="C341" s="6">
        <v>510000</v>
      </c>
      <c r="D341" s="7">
        <v>0.25</v>
      </c>
      <c r="E341" s="7">
        <v>0.1</v>
      </c>
      <c r="F341" s="7">
        <v>0.05</v>
      </c>
      <c r="G341" s="5">
        <v>26</v>
      </c>
      <c r="I341" s="5" t="b">
        <v>1</v>
      </c>
      <c r="J341" s="5" t="b">
        <v>1</v>
      </c>
      <c r="K341" s="5" t="b">
        <v>1</v>
      </c>
    </row>
    <row r="342" spans="1:11">
      <c r="A342" s="5" t="s">
        <v>71</v>
      </c>
      <c r="B342" s="5" t="s">
        <v>538</v>
      </c>
      <c r="C342" s="6">
        <v>571216.27</v>
      </c>
      <c r="D342" s="7">
        <v>0.25</v>
      </c>
      <c r="E342" s="7">
        <v>0.1</v>
      </c>
      <c r="F342" s="7">
        <v>0.05</v>
      </c>
      <c r="G342" s="5">
        <v>6</v>
      </c>
      <c r="I342" s="5" t="b">
        <v>1</v>
      </c>
      <c r="J342" s="5" t="b">
        <v>1</v>
      </c>
      <c r="K342" s="5" t="b">
        <v>1</v>
      </c>
    </row>
    <row r="343" spans="1:11">
      <c r="A343" s="5" t="s">
        <v>71</v>
      </c>
      <c r="B343" s="5" t="s">
        <v>539</v>
      </c>
      <c r="C343" s="6">
        <v>470000</v>
      </c>
      <c r="D343" s="7">
        <v>0.19</v>
      </c>
      <c r="E343" s="7">
        <v>0.19</v>
      </c>
      <c r="F343" s="7">
        <v>0.05</v>
      </c>
      <c r="G343" s="5">
        <v>21</v>
      </c>
      <c r="I343" s="5" t="b">
        <v>0</v>
      </c>
      <c r="J343" s="5" t="b">
        <v>1</v>
      </c>
      <c r="K343" s="5" t="b">
        <v>1</v>
      </c>
    </row>
    <row r="344" spans="1:11">
      <c r="A344" s="5" t="s">
        <v>72</v>
      </c>
      <c r="B344" s="5" t="s">
        <v>540</v>
      </c>
      <c r="C344" s="6">
        <v>500000</v>
      </c>
      <c r="D344" s="7">
        <v>0.3</v>
      </c>
      <c r="E344" s="7">
        <v>0.1</v>
      </c>
      <c r="F344" s="7">
        <v>0.05</v>
      </c>
      <c r="G344" s="5">
        <v>10</v>
      </c>
      <c r="I344" s="5" t="b">
        <v>1</v>
      </c>
      <c r="J344" s="5" t="b">
        <v>1</v>
      </c>
      <c r="K344" s="5" t="b">
        <v>1</v>
      </c>
    </row>
    <row r="345" spans="1:11">
      <c r="A345" s="5" t="s">
        <v>72</v>
      </c>
      <c r="B345" s="5" t="s">
        <v>542</v>
      </c>
      <c r="C345" s="6">
        <v>2099141.2999999998</v>
      </c>
      <c r="D345" s="7">
        <v>0.3</v>
      </c>
      <c r="E345" s="7">
        <v>0.1</v>
      </c>
      <c r="F345" s="7">
        <v>0.05</v>
      </c>
      <c r="I345" s="5" t="b">
        <v>1</v>
      </c>
      <c r="J345" s="5" t="b">
        <v>1</v>
      </c>
      <c r="K345" s="5" t="b">
        <v>1</v>
      </c>
    </row>
    <row r="346" spans="1:11">
      <c r="A346" s="5" t="s">
        <v>72</v>
      </c>
      <c r="B346" s="5" t="s">
        <v>543</v>
      </c>
      <c r="C346" s="6">
        <v>2800000</v>
      </c>
      <c r="D346" s="7">
        <v>0.3</v>
      </c>
      <c r="E346" s="7">
        <v>0.1</v>
      </c>
      <c r="F346" s="7">
        <v>0.05</v>
      </c>
      <c r="G346" s="10">
        <v>36</v>
      </c>
      <c r="I346" s="5" t="b">
        <v>1</v>
      </c>
      <c r="J346" s="5" t="b">
        <v>1</v>
      </c>
      <c r="K346" s="5" t="b">
        <v>1</v>
      </c>
    </row>
    <row r="347" spans="1:11">
      <c r="A347" s="5" t="s">
        <v>72</v>
      </c>
      <c r="B347" s="5" t="s">
        <v>544</v>
      </c>
      <c r="C347" s="6">
        <v>4747853.3</v>
      </c>
      <c r="D347" s="7">
        <v>0.3</v>
      </c>
      <c r="E347" s="7">
        <v>0.1</v>
      </c>
      <c r="F347" s="7">
        <v>0.05</v>
      </c>
      <c r="I347" s="5" t="b">
        <v>1</v>
      </c>
      <c r="J347" s="5" t="b">
        <v>1</v>
      </c>
      <c r="K347" s="5" t="b">
        <v>1</v>
      </c>
    </row>
    <row r="348" spans="1:11">
      <c r="A348" s="5" t="s">
        <v>73</v>
      </c>
      <c r="B348" s="5" t="s">
        <v>545</v>
      </c>
      <c r="C348" s="6">
        <v>976000</v>
      </c>
      <c r="D348" s="7">
        <v>0.25</v>
      </c>
      <c r="E348" s="7">
        <v>0</v>
      </c>
      <c r="F348" s="7">
        <v>0.05</v>
      </c>
      <c r="G348" s="5">
        <v>49</v>
      </c>
      <c r="I348" s="5" t="b">
        <v>1</v>
      </c>
      <c r="J348" s="5" t="b">
        <v>1</v>
      </c>
      <c r="K348" s="5" t="b">
        <v>1</v>
      </c>
    </row>
    <row r="349" spans="1:11">
      <c r="A349" s="5" t="s">
        <v>73</v>
      </c>
      <c r="B349" s="5" t="s">
        <v>547</v>
      </c>
      <c r="C349" s="6">
        <v>230000</v>
      </c>
      <c r="D349" s="7">
        <v>0.2</v>
      </c>
      <c r="E349" s="7">
        <v>0</v>
      </c>
      <c r="F349" s="7">
        <v>0.05</v>
      </c>
      <c r="G349" s="5">
        <v>23</v>
      </c>
      <c r="I349" s="5" t="b">
        <v>0</v>
      </c>
      <c r="J349" s="5" t="b">
        <v>1</v>
      </c>
      <c r="K349" s="5" t="b">
        <v>1</v>
      </c>
    </row>
    <row r="350" spans="1:11">
      <c r="A350" s="5" t="s">
        <v>73</v>
      </c>
      <c r="B350" s="5" t="s">
        <v>548</v>
      </c>
      <c r="C350" s="6">
        <v>800000</v>
      </c>
      <c r="D350" s="7">
        <v>0.25</v>
      </c>
      <c r="E350" s="7">
        <v>0.1</v>
      </c>
      <c r="F350" s="7">
        <v>0.05</v>
      </c>
      <c r="G350" s="5">
        <v>32</v>
      </c>
      <c r="I350" s="5" t="b">
        <v>1</v>
      </c>
      <c r="J350" s="5" t="b">
        <v>1</v>
      </c>
      <c r="K350" s="5" t="b">
        <v>1</v>
      </c>
    </row>
    <row r="351" spans="1:11">
      <c r="A351" s="5" t="s">
        <v>73</v>
      </c>
      <c r="B351" s="5" t="s">
        <v>549</v>
      </c>
      <c r="C351" s="6">
        <v>220000</v>
      </c>
      <c r="D351" s="7">
        <v>0</v>
      </c>
      <c r="E351" s="7">
        <v>1</v>
      </c>
      <c r="F351" s="7">
        <v>0</v>
      </c>
      <c r="G351" s="5">
        <v>22</v>
      </c>
      <c r="H351" s="5" t="s">
        <v>168</v>
      </c>
      <c r="I351" s="5" t="b">
        <v>1</v>
      </c>
      <c r="J351" s="5" t="b">
        <v>1</v>
      </c>
      <c r="K351" s="5" t="b">
        <v>0</v>
      </c>
    </row>
    <row r="352" spans="1:11">
      <c r="A352" s="5" t="s">
        <v>73</v>
      </c>
      <c r="B352" s="5" t="s">
        <v>550</v>
      </c>
      <c r="C352" s="6">
        <v>220000</v>
      </c>
      <c r="D352" s="7">
        <v>0.2</v>
      </c>
      <c r="E352" s="7">
        <v>0</v>
      </c>
      <c r="F352" s="7">
        <v>0.05</v>
      </c>
      <c r="G352" s="5">
        <v>22</v>
      </c>
      <c r="I352" s="5" t="b">
        <v>0</v>
      </c>
      <c r="J352" s="5" t="b">
        <v>1</v>
      </c>
      <c r="K352" s="5" t="b">
        <v>1</v>
      </c>
    </row>
    <row r="353" spans="1:11">
      <c r="A353" s="5" t="s">
        <v>73</v>
      </c>
      <c r="B353" s="5" t="s">
        <v>551</v>
      </c>
      <c r="C353" s="6">
        <v>960000</v>
      </c>
      <c r="D353" s="7">
        <v>0.25</v>
      </c>
      <c r="E353" s="7">
        <v>0.1</v>
      </c>
      <c r="F353" s="7">
        <v>0.05</v>
      </c>
      <c r="G353" s="5">
        <v>32</v>
      </c>
      <c r="I353" s="5" t="b">
        <v>1</v>
      </c>
      <c r="J353" s="5" t="b">
        <v>1</v>
      </c>
      <c r="K353" s="5" t="b">
        <v>1</v>
      </c>
    </row>
    <row r="354" spans="1:11">
      <c r="A354" s="5" t="s">
        <v>73</v>
      </c>
      <c r="B354" s="5" t="s">
        <v>552</v>
      </c>
      <c r="C354" s="6">
        <v>682000</v>
      </c>
      <c r="D354" s="7">
        <v>0.2</v>
      </c>
      <c r="E354" s="7">
        <v>0</v>
      </c>
      <c r="F354" s="7">
        <v>0.05</v>
      </c>
      <c r="G354" s="5">
        <v>34</v>
      </c>
      <c r="I354" s="5" t="b">
        <v>0</v>
      </c>
      <c r="J354" s="5" t="b">
        <v>1</v>
      </c>
      <c r="K354" s="5" t="b">
        <v>1</v>
      </c>
    </row>
    <row r="355" spans="1:11">
      <c r="A355" s="5" t="s">
        <v>114</v>
      </c>
      <c r="B355" s="5" t="s">
        <v>553</v>
      </c>
      <c r="C355" s="6">
        <v>17730000</v>
      </c>
      <c r="D355" s="7">
        <v>0.25</v>
      </c>
      <c r="E355" s="7">
        <v>0.1</v>
      </c>
      <c r="F355" s="7">
        <v>0.05</v>
      </c>
      <c r="G355" s="5">
        <v>373</v>
      </c>
      <c r="I355" s="5" t="b">
        <v>1</v>
      </c>
      <c r="J355" s="5" t="b">
        <v>1</v>
      </c>
      <c r="K355" s="5" t="b">
        <v>1</v>
      </c>
    </row>
    <row r="356" spans="1:11">
      <c r="A356" s="5" t="s">
        <v>114</v>
      </c>
      <c r="B356" s="5" t="s">
        <v>555</v>
      </c>
      <c r="C356" s="6">
        <v>4800000</v>
      </c>
      <c r="D356" s="7">
        <v>0</v>
      </c>
      <c r="E356" s="7">
        <v>0</v>
      </c>
      <c r="F356" s="7">
        <v>0</v>
      </c>
      <c r="G356" s="5">
        <v>2</v>
      </c>
      <c r="I356" s="5" t="b">
        <v>0</v>
      </c>
      <c r="J356" s="5" t="b">
        <v>1</v>
      </c>
      <c r="K356" s="5" t="b">
        <v>1</v>
      </c>
    </row>
    <row r="357" spans="1:11">
      <c r="A357" s="5" t="s">
        <v>114</v>
      </c>
      <c r="B357" s="5" t="s">
        <v>556</v>
      </c>
      <c r="C357" s="6">
        <v>5000000</v>
      </c>
      <c r="D357" s="7">
        <v>0.25</v>
      </c>
      <c r="E357" s="7">
        <v>0.1</v>
      </c>
      <c r="F357" s="7">
        <v>0.05</v>
      </c>
      <c r="G357" s="5">
        <v>55</v>
      </c>
      <c r="I357" s="5" t="b">
        <v>1</v>
      </c>
      <c r="J357" s="5" t="b">
        <v>1</v>
      </c>
      <c r="K357" s="5" t="b">
        <v>1</v>
      </c>
    </row>
    <row r="358" spans="1:11">
      <c r="A358" s="5" t="s">
        <v>114</v>
      </c>
      <c r="B358" s="5" t="s">
        <v>557</v>
      </c>
      <c r="C358" s="6">
        <v>21000000</v>
      </c>
      <c r="D358" s="7">
        <v>0.25</v>
      </c>
      <c r="E358" s="7">
        <v>0.1</v>
      </c>
      <c r="F358" s="7">
        <v>0.05</v>
      </c>
      <c r="G358" s="5">
        <v>300</v>
      </c>
      <c r="I358" s="5" t="b">
        <v>1</v>
      </c>
      <c r="J358" s="5" t="b">
        <v>1</v>
      </c>
      <c r="K358" s="5" t="b">
        <v>1</v>
      </c>
    </row>
    <row r="359" spans="1:11">
      <c r="A359" s="5" t="s">
        <v>114</v>
      </c>
      <c r="B359" s="5" t="s">
        <v>558</v>
      </c>
      <c r="C359" s="6">
        <v>21000000</v>
      </c>
      <c r="D359" s="7">
        <v>0.25</v>
      </c>
      <c r="E359" s="7">
        <v>0.1</v>
      </c>
      <c r="F359" s="7">
        <v>0.05</v>
      </c>
      <c r="G359" s="5">
        <v>92</v>
      </c>
      <c r="I359" s="5" t="b">
        <v>1</v>
      </c>
      <c r="J359" s="5" t="b">
        <v>1</v>
      </c>
      <c r="K359" s="5" t="b">
        <v>1</v>
      </c>
    </row>
    <row r="360" spans="1:11">
      <c r="A360" s="5" t="s">
        <v>114</v>
      </c>
      <c r="B360" s="5" t="s">
        <v>559</v>
      </c>
      <c r="C360" s="6">
        <v>6500000</v>
      </c>
      <c r="D360" s="7">
        <v>0.25</v>
      </c>
      <c r="E360" s="7">
        <v>0.1</v>
      </c>
      <c r="F360" s="7">
        <v>0.05</v>
      </c>
      <c r="G360" s="5">
        <v>30</v>
      </c>
      <c r="I360" s="5" t="b">
        <v>1</v>
      </c>
      <c r="J360" s="5" t="b">
        <v>1</v>
      </c>
      <c r="K360" s="5" t="b">
        <v>1</v>
      </c>
    </row>
    <row r="361" spans="1:11">
      <c r="A361" s="5" t="s">
        <v>114</v>
      </c>
      <c r="B361" s="5" t="s">
        <v>560</v>
      </c>
      <c r="C361" s="6">
        <v>11000000</v>
      </c>
      <c r="D361" s="7">
        <v>0.25</v>
      </c>
      <c r="E361" s="7">
        <v>0.1</v>
      </c>
      <c r="F361" s="7">
        <v>0.05</v>
      </c>
      <c r="G361" s="5">
        <v>200</v>
      </c>
      <c r="I361" s="5" t="b">
        <v>1</v>
      </c>
      <c r="J361" s="5" t="b">
        <v>1</v>
      </c>
      <c r="K361" s="5" t="b">
        <v>1</v>
      </c>
    </row>
    <row r="362" spans="1:11">
      <c r="A362" s="5" t="s">
        <v>74</v>
      </c>
      <c r="B362" s="5" t="s">
        <v>561</v>
      </c>
      <c r="C362" s="6">
        <v>6600000</v>
      </c>
      <c r="D362" s="7">
        <v>0.25</v>
      </c>
      <c r="E362" s="7">
        <v>0.1</v>
      </c>
      <c r="F362" s="7">
        <v>0.05</v>
      </c>
      <c r="G362" s="5">
        <v>30</v>
      </c>
      <c r="I362" s="5" t="b">
        <v>1</v>
      </c>
      <c r="J362" s="5" t="b">
        <v>1</v>
      </c>
      <c r="K362" s="5" t="b">
        <v>1</v>
      </c>
    </row>
    <row r="363" spans="1:11">
      <c r="A363" s="5" t="s">
        <v>74</v>
      </c>
      <c r="B363" s="5" t="s">
        <v>563</v>
      </c>
      <c r="C363" s="6">
        <v>25000000</v>
      </c>
      <c r="D363" s="7">
        <v>0.2</v>
      </c>
      <c r="E363" s="7">
        <v>0.1</v>
      </c>
      <c r="F363" s="7">
        <v>0.05</v>
      </c>
      <c r="G363" s="5">
        <v>162</v>
      </c>
      <c r="I363" s="5" t="b">
        <v>1</v>
      </c>
      <c r="J363" s="5" t="b">
        <v>1</v>
      </c>
      <c r="K363" s="5" t="b">
        <v>1</v>
      </c>
    </row>
    <row r="364" spans="1:11">
      <c r="A364" s="5" t="s">
        <v>74</v>
      </c>
      <c r="B364" s="5" t="s">
        <v>564</v>
      </c>
      <c r="C364" s="6">
        <v>2840000</v>
      </c>
      <c r="D364" s="7">
        <v>0.25</v>
      </c>
      <c r="E364" s="7">
        <v>0.1</v>
      </c>
      <c r="F364" s="7">
        <v>0.05</v>
      </c>
      <c r="G364" s="5">
        <v>21</v>
      </c>
      <c r="I364" s="5" t="b">
        <v>1</v>
      </c>
      <c r="J364" s="5" t="b">
        <v>1</v>
      </c>
      <c r="K364" s="5" t="b">
        <v>1</v>
      </c>
    </row>
    <row r="365" spans="1:11">
      <c r="A365" s="5" t="s">
        <v>74</v>
      </c>
      <c r="B365" s="5" t="s">
        <v>565</v>
      </c>
      <c r="C365" s="6">
        <v>600000</v>
      </c>
      <c r="D365" s="7">
        <v>0</v>
      </c>
      <c r="E365" s="7">
        <v>0</v>
      </c>
      <c r="F365" s="7">
        <v>0</v>
      </c>
      <c r="G365" s="5">
        <v>1</v>
      </c>
      <c r="I365" s="5" t="b">
        <v>1</v>
      </c>
      <c r="J365" s="5" t="b">
        <v>1</v>
      </c>
      <c r="K365" s="5" t="b">
        <v>1</v>
      </c>
    </row>
    <row r="366" spans="1:11">
      <c r="A366" s="5" t="s">
        <v>74</v>
      </c>
      <c r="B366" s="5" t="s">
        <v>566</v>
      </c>
      <c r="C366" s="6">
        <v>700000</v>
      </c>
      <c r="D366" s="7">
        <v>0.25</v>
      </c>
      <c r="E366" s="7">
        <v>0.1</v>
      </c>
      <c r="F366" s="7">
        <v>0.05</v>
      </c>
      <c r="I366" s="5" t="b">
        <v>1</v>
      </c>
      <c r="J366" s="5" t="b">
        <v>1</v>
      </c>
      <c r="K366" s="5" t="b">
        <v>1</v>
      </c>
    </row>
    <row r="367" spans="1:11">
      <c r="A367" s="5" t="s">
        <v>74</v>
      </c>
      <c r="B367" s="5" t="s">
        <v>567</v>
      </c>
      <c r="C367" s="6">
        <v>1000000</v>
      </c>
      <c r="D367" s="7">
        <v>0.25</v>
      </c>
      <c r="E367" s="7">
        <v>0.1</v>
      </c>
      <c r="F367" s="7">
        <v>0.05</v>
      </c>
      <c r="I367" s="5" t="b">
        <v>1</v>
      </c>
      <c r="J367" s="5" t="b">
        <v>1</v>
      </c>
      <c r="K367" s="5" t="b">
        <v>1</v>
      </c>
    </row>
    <row r="368" spans="1:11">
      <c r="A368" s="5" t="s">
        <v>74</v>
      </c>
      <c r="B368" s="5" t="s">
        <v>568</v>
      </c>
      <c r="C368" s="6">
        <v>425000</v>
      </c>
      <c r="D368" s="7">
        <v>0.3</v>
      </c>
      <c r="E368" s="7">
        <v>0.1</v>
      </c>
      <c r="F368" s="7">
        <v>0.1</v>
      </c>
      <c r="G368" s="5">
        <v>20</v>
      </c>
      <c r="I368" s="5" t="b">
        <v>1</v>
      </c>
      <c r="J368" s="5" t="b">
        <v>1</v>
      </c>
      <c r="K368" s="5" t="b">
        <v>1</v>
      </c>
    </row>
    <row r="369" spans="1:11">
      <c r="A369" s="11" t="s">
        <v>115</v>
      </c>
      <c r="B369" s="11" t="s">
        <v>569</v>
      </c>
      <c r="C369" s="6">
        <v>1480000</v>
      </c>
      <c r="D369" s="8">
        <v>0.25</v>
      </c>
      <c r="E369" s="8">
        <v>0.1</v>
      </c>
      <c r="F369" s="8">
        <v>0.05</v>
      </c>
      <c r="G369" s="5">
        <v>34</v>
      </c>
      <c r="I369" s="5" t="b">
        <v>1</v>
      </c>
      <c r="J369" s="5" t="b">
        <v>1</v>
      </c>
      <c r="K369" s="5" t="b">
        <v>1</v>
      </c>
    </row>
    <row r="370" spans="1:11">
      <c r="A370" s="11" t="s">
        <v>115</v>
      </c>
      <c r="B370" s="11" t="s">
        <v>571</v>
      </c>
      <c r="C370" s="6">
        <v>1240000</v>
      </c>
      <c r="D370" s="8">
        <v>0.25</v>
      </c>
      <c r="E370" s="8">
        <v>0.1</v>
      </c>
      <c r="F370" s="8">
        <v>0.05</v>
      </c>
      <c r="G370" s="5">
        <v>34</v>
      </c>
      <c r="I370" s="5" t="b">
        <v>1</v>
      </c>
      <c r="J370" s="5" t="b">
        <v>1</v>
      </c>
      <c r="K370" s="5" t="b">
        <v>1</v>
      </c>
    </row>
    <row r="371" spans="1:11">
      <c r="A371" s="11" t="s">
        <v>115</v>
      </c>
      <c r="B371" s="11" t="s">
        <v>572</v>
      </c>
      <c r="C371" s="6">
        <v>1360000</v>
      </c>
      <c r="D371" s="8">
        <v>0.25</v>
      </c>
      <c r="E371" s="8">
        <v>0.1</v>
      </c>
      <c r="F371" s="8">
        <v>0.05</v>
      </c>
      <c r="G371" s="5">
        <v>66</v>
      </c>
      <c r="I371" s="5" t="b">
        <v>1</v>
      </c>
      <c r="J371" s="5" t="b">
        <v>1</v>
      </c>
      <c r="K371" s="5" t="b">
        <v>1</v>
      </c>
    </row>
    <row r="372" spans="1:11">
      <c r="A372" s="11" t="s">
        <v>115</v>
      </c>
      <c r="B372" s="11" t="s">
        <v>573</v>
      </c>
      <c r="C372" s="6">
        <v>1800000</v>
      </c>
      <c r="D372" s="8">
        <v>0.25</v>
      </c>
      <c r="E372" s="8">
        <v>0.1</v>
      </c>
      <c r="F372" s="8">
        <v>0.05</v>
      </c>
      <c r="G372" s="5">
        <v>47</v>
      </c>
      <c r="I372" s="5" t="b">
        <v>1</v>
      </c>
      <c r="J372" s="5" t="b">
        <v>1</v>
      </c>
      <c r="K372" s="5" t="b">
        <v>1</v>
      </c>
    </row>
    <row r="373" spans="1:11">
      <c r="A373" s="11" t="s">
        <v>115</v>
      </c>
      <c r="B373" s="11" t="s">
        <v>574</v>
      </c>
      <c r="C373" s="6">
        <v>920000</v>
      </c>
      <c r="D373" s="8">
        <v>0.25</v>
      </c>
      <c r="E373" s="8">
        <v>0.1</v>
      </c>
      <c r="F373" s="8">
        <v>0.05</v>
      </c>
      <c r="G373" s="5">
        <v>38</v>
      </c>
      <c r="I373" s="5" t="b">
        <v>1</v>
      </c>
      <c r="J373" s="5" t="b">
        <v>1</v>
      </c>
      <c r="K373" s="5" t="b">
        <v>1</v>
      </c>
    </row>
    <row r="374" spans="1:11">
      <c r="A374" s="11" t="s">
        <v>115</v>
      </c>
      <c r="B374" s="11" t="s">
        <v>575</v>
      </c>
      <c r="C374" s="6">
        <v>1680000</v>
      </c>
      <c r="D374" s="8">
        <v>0.25</v>
      </c>
      <c r="E374" s="8">
        <v>0.1</v>
      </c>
      <c r="F374" s="8">
        <v>0.05</v>
      </c>
      <c r="G374" s="5">
        <v>58</v>
      </c>
      <c r="I374" s="5" t="b">
        <v>1</v>
      </c>
      <c r="J374" s="5" t="b">
        <v>1</v>
      </c>
      <c r="K374" s="5" t="b">
        <v>1</v>
      </c>
    </row>
    <row r="375" spans="1:11">
      <c r="A375" s="11" t="s">
        <v>115</v>
      </c>
      <c r="B375" s="11" t="s">
        <v>576</v>
      </c>
      <c r="C375" s="6">
        <v>1480000</v>
      </c>
      <c r="D375" s="8">
        <v>0.25</v>
      </c>
      <c r="E375" s="8">
        <v>0.1</v>
      </c>
      <c r="F375" s="8">
        <v>0.05</v>
      </c>
      <c r="G375" s="5">
        <v>62</v>
      </c>
      <c r="I375" s="5" t="b">
        <v>1</v>
      </c>
      <c r="J375" s="5" t="b">
        <v>1</v>
      </c>
      <c r="K375" s="5" t="b">
        <v>1</v>
      </c>
    </row>
    <row r="376" spans="1:11">
      <c r="A376" s="11" t="s">
        <v>115</v>
      </c>
      <c r="B376" s="11" t="s">
        <v>738</v>
      </c>
      <c r="C376" s="6">
        <v>1200000</v>
      </c>
      <c r="D376" s="8">
        <v>0.25</v>
      </c>
      <c r="E376" s="8">
        <v>0.1</v>
      </c>
      <c r="F376" s="8">
        <v>0.05</v>
      </c>
      <c r="G376" s="5">
        <v>120</v>
      </c>
      <c r="I376" s="5" t="b">
        <v>1</v>
      </c>
      <c r="J376" s="5" t="b">
        <v>1</v>
      </c>
      <c r="K376" s="5" t="b">
        <v>1</v>
      </c>
    </row>
    <row r="377" spans="1:11">
      <c r="A377" s="11" t="s">
        <v>115</v>
      </c>
      <c r="B377" s="11" t="s">
        <v>578</v>
      </c>
      <c r="C377" s="6">
        <v>1125000</v>
      </c>
      <c r="D377" s="8">
        <v>0.25</v>
      </c>
      <c r="E377" s="8">
        <v>0.1</v>
      </c>
      <c r="F377" s="8">
        <v>0.05</v>
      </c>
      <c r="G377" s="5">
        <v>89</v>
      </c>
      <c r="I377" s="5" t="b">
        <v>1</v>
      </c>
      <c r="J377" s="5" t="b">
        <v>1</v>
      </c>
      <c r="K377" s="5" t="b">
        <v>1</v>
      </c>
    </row>
    <row r="378" spans="1:11">
      <c r="A378" s="11" t="s">
        <v>115</v>
      </c>
      <c r="B378" s="11" t="s">
        <v>579</v>
      </c>
      <c r="C378" s="6">
        <v>3360000</v>
      </c>
      <c r="D378" s="8">
        <v>0.25</v>
      </c>
      <c r="E378" s="8">
        <v>0.1</v>
      </c>
      <c r="F378" s="8">
        <v>0.05</v>
      </c>
      <c r="G378" s="5">
        <v>84</v>
      </c>
      <c r="I378" s="5" t="b">
        <v>1</v>
      </c>
      <c r="J378" s="5" t="b">
        <v>1</v>
      </c>
      <c r="K378" s="5" t="b">
        <v>1</v>
      </c>
    </row>
    <row r="379" spans="1:11">
      <c r="A379" s="11" t="s">
        <v>115</v>
      </c>
      <c r="B379" s="11" t="s">
        <v>739</v>
      </c>
      <c r="C379" s="6">
        <v>920000</v>
      </c>
      <c r="D379" s="8">
        <v>0.25</v>
      </c>
      <c r="E379" s="8">
        <v>0.1</v>
      </c>
      <c r="F379" s="8">
        <v>0.05</v>
      </c>
      <c r="G379" s="5">
        <v>46</v>
      </c>
      <c r="I379" s="5" t="b">
        <v>1</v>
      </c>
      <c r="J379" s="5" t="b">
        <v>1</v>
      </c>
      <c r="K379" s="5" t="b">
        <v>1</v>
      </c>
    </row>
    <row r="380" spans="1:11">
      <c r="A380" s="11" t="s">
        <v>115</v>
      </c>
      <c r="B380" s="11" t="s">
        <v>581</v>
      </c>
      <c r="C380" s="6">
        <v>750000</v>
      </c>
      <c r="D380" s="8">
        <v>0.25</v>
      </c>
      <c r="E380" s="8">
        <v>0.1</v>
      </c>
      <c r="F380" s="8">
        <v>0.05</v>
      </c>
      <c r="G380" s="5">
        <v>110</v>
      </c>
      <c r="I380" s="5" t="b">
        <v>1</v>
      </c>
      <c r="J380" s="5" t="b">
        <v>1</v>
      </c>
      <c r="K380" s="5" t="b">
        <v>1</v>
      </c>
    </row>
    <row r="381" spans="1:11">
      <c r="A381" s="11" t="s">
        <v>115</v>
      </c>
      <c r="B381" s="11" t="s">
        <v>582</v>
      </c>
      <c r="C381" s="6">
        <v>620000</v>
      </c>
      <c r="D381" s="8">
        <v>0.25</v>
      </c>
      <c r="E381" s="8">
        <v>0.1</v>
      </c>
      <c r="F381" s="8">
        <v>0.05</v>
      </c>
      <c r="G381" s="5">
        <v>30</v>
      </c>
      <c r="I381" s="5" t="b">
        <v>1</v>
      </c>
      <c r="J381" s="5" t="b">
        <v>1</v>
      </c>
      <c r="K381" s="5" t="b">
        <v>1</v>
      </c>
    </row>
    <row r="382" spans="1:11">
      <c r="A382" s="11" t="s">
        <v>115</v>
      </c>
      <c r="B382" s="11" t="s">
        <v>740</v>
      </c>
      <c r="C382" s="6">
        <v>3660000</v>
      </c>
      <c r="D382" s="8">
        <v>0.25</v>
      </c>
      <c r="E382" s="8">
        <v>0.1</v>
      </c>
      <c r="F382" s="8">
        <v>0.05</v>
      </c>
      <c r="G382" s="5">
        <v>140</v>
      </c>
      <c r="I382" s="5" t="b">
        <v>1</v>
      </c>
      <c r="J382" s="5" t="b">
        <v>1</v>
      </c>
      <c r="K382" s="5" t="b">
        <v>1</v>
      </c>
    </row>
    <row r="383" spans="1:11">
      <c r="A383" s="11" t="s">
        <v>115</v>
      </c>
      <c r="B383" s="11" t="s">
        <v>741</v>
      </c>
      <c r="C383" s="6">
        <v>920000</v>
      </c>
      <c r="D383" s="8">
        <v>0.25</v>
      </c>
      <c r="E383" s="8">
        <v>0.1</v>
      </c>
      <c r="F383" s="8">
        <v>0.05</v>
      </c>
      <c r="G383" s="5">
        <v>30</v>
      </c>
      <c r="I383" s="5" t="b">
        <v>1</v>
      </c>
      <c r="J383" s="5" t="b">
        <v>1</v>
      </c>
      <c r="K383" s="5" t="b">
        <v>1</v>
      </c>
    </row>
    <row r="384" spans="1:11">
      <c r="A384" s="11" t="s">
        <v>115</v>
      </c>
      <c r="B384" s="11" t="s">
        <v>742</v>
      </c>
      <c r="C384" s="6">
        <v>400000</v>
      </c>
      <c r="D384" s="8">
        <v>0.25</v>
      </c>
      <c r="E384" s="8">
        <v>0.1</v>
      </c>
      <c r="F384" s="8">
        <v>0.05</v>
      </c>
      <c r="G384" s="5">
        <v>40</v>
      </c>
      <c r="I384" s="5" t="b">
        <v>1</v>
      </c>
      <c r="J384" s="5" t="b">
        <v>1</v>
      </c>
      <c r="K384" s="5" t="b">
        <v>1</v>
      </c>
    </row>
    <row r="385" spans="1:11">
      <c r="A385" s="11" t="s">
        <v>115</v>
      </c>
      <c r="B385" s="11" t="s">
        <v>586</v>
      </c>
      <c r="C385" s="6">
        <v>960000</v>
      </c>
      <c r="D385" s="8">
        <v>0.25</v>
      </c>
      <c r="E385" s="8">
        <v>0.1</v>
      </c>
      <c r="F385" s="8">
        <v>0.05</v>
      </c>
      <c r="G385" s="5">
        <v>24</v>
      </c>
      <c r="I385" s="5" t="b">
        <v>1</v>
      </c>
      <c r="J385" s="5" t="b">
        <v>1</v>
      </c>
      <c r="K385" s="5" t="b">
        <v>1</v>
      </c>
    </row>
    <row r="386" spans="1:11">
      <c r="A386" s="11" t="s">
        <v>115</v>
      </c>
      <c r="B386" s="11" t="s">
        <v>587</v>
      </c>
      <c r="C386" s="6">
        <v>1200000</v>
      </c>
      <c r="D386" s="8">
        <v>0</v>
      </c>
      <c r="E386" s="8">
        <v>0</v>
      </c>
      <c r="F386" s="8">
        <v>0.05</v>
      </c>
      <c r="G386" s="5">
        <v>40</v>
      </c>
      <c r="I386" s="5" t="b">
        <v>1</v>
      </c>
      <c r="J386" s="5" t="b">
        <v>1</v>
      </c>
      <c r="K386" s="5" t="b">
        <v>1</v>
      </c>
    </row>
    <row r="387" spans="1:11">
      <c r="A387" s="11" t="s">
        <v>115</v>
      </c>
      <c r="B387" s="11" t="s">
        <v>743</v>
      </c>
      <c r="C387" s="6">
        <v>660000</v>
      </c>
      <c r="D387" s="8">
        <v>0</v>
      </c>
      <c r="E387" s="8">
        <v>1</v>
      </c>
      <c r="F387" s="8">
        <v>0.05</v>
      </c>
      <c r="G387" s="5">
        <v>22</v>
      </c>
      <c r="H387" s="5" t="s">
        <v>168</v>
      </c>
      <c r="I387" s="5" t="b">
        <v>1</v>
      </c>
      <c r="J387" s="5" t="b">
        <v>1</v>
      </c>
      <c r="K387" s="5" t="b">
        <v>1</v>
      </c>
    </row>
    <row r="388" spans="1:11">
      <c r="A388" s="11" t="s">
        <v>115</v>
      </c>
      <c r="B388" s="11" t="s">
        <v>589</v>
      </c>
      <c r="C388" s="6">
        <v>600000</v>
      </c>
      <c r="D388" s="8">
        <v>0.5</v>
      </c>
      <c r="E388" s="8">
        <v>0</v>
      </c>
      <c r="F388" s="8">
        <v>0</v>
      </c>
      <c r="G388" s="5">
        <v>2</v>
      </c>
      <c r="I388" s="5" t="b">
        <v>1</v>
      </c>
      <c r="J388" s="5" t="b">
        <v>1</v>
      </c>
      <c r="K388" s="5" t="b">
        <v>1</v>
      </c>
    </row>
    <row r="389" spans="1:11">
      <c r="A389" s="11" t="s">
        <v>115</v>
      </c>
      <c r="B389" s="11" t="s">
        <v>590</v>
      </c>
      <c r="C389" s="6">
        <v>620000</v>
      </c>
      <c r="D389" s="8">
        <v>1</v>
      </c>
      <c r="E389" s="8">
        <v>0</v>
      </c>
      <c r="F389" s="8">
        <v>0.05</v>
      </c>
      <c r="G389" s="5">
        <v>30</v>
      </c>
      <c r="H389" s="5" t="s">
        <v>213</v>
      </c>
      <c r="I389" s="5" t="b">
        <v>1</v>
      </c>
      <c r="J389" s="5" t="b">
        <v>1</v>
      </c>
      <c r="K389" s="5" t="b">
        <v>1</v>
      </c>
    </row>
    <row r="390" spans="1:11">
      <c r="A390" s="5" t="s">
        <v>116</v>
      </c>
      <c r="B390" s="5" t="s">
        <v>591</v>
      </c>
      <c r="C390" s="6">
        <v>4100000</v>
      </c>
      <c r="D390" s="7">
        <v>0.26319999999999999</v>
      </c>
      <c r="E390" s="7">
        <v>0.1053</v>
      </c>
      <c r="F390" s="7">
        <v>5.2600000000000001E-2</v>
      </c>
      <c r="G390" s="5">
        <v>38</v>
      </c>
      <c r="I390" s="5" t="b">
        <v>1</v>
      </c>
      <c r="J390" s="5" t="b">
        <v>1</v>
      </c>
      <c r="K390" s="5" t="b">
        <v>1</v>
      </c>
    </row>
    <row r="391" spans="1:11">
      <c r="A391" s="5" t="s">
        <v>116</v>
      </c>
      <c r="B391" s="5" t="s">
        <v>744</v>
      </c>
      <c r="C391" s="6">
        <v>8000000</v>
      </c>
      <c r="D391" s="7">
        <v>0.25</v>
      </c>
      <c r="E391" s="7">
        <v>0.08</v>
      </c>
      <c r="F391" s="7">
        <v>0.04</v>
      </c>
      <c r="G391" s="5">
        <v>86</v>
      </c>
      <c r="I391" s="5" t="b">
        <v>1</v>
      </c>
      <c r="J391" s="5" t="b">
        <v>1</v>
      </c>
      <c r="K391" s="5" t="b">
        <v>0</v>
      </c>
    </row>
    <row r="392" spans="1:11">
      <c r="A392" s="5" t="s">
        <v>116</v>
      </c>
      <c r="B392" s="5" t="s">
        <v>594</v>
      </c>
      <c r="C392" s="6">
        <v>7900000</v>
      </c>
      <c r="D392" s="7">
        <v>0.26800000000000002</v>
      </c>
      <c r="E392" s="7">
        <v>0.1</v>
      </c>
      <c r="F392" s="7">
        <v>0.05</v>
      </c>
      <c r="G392" s="5">
        <v>67</v>
      </c>
      <c r="I392" s="5" t="b">
        <v>1</v>
      </c>
      <c r="J392" s="5" t="b">
        <v>1</v>
      </c>
      <c r="K392" s="5" t="b">
        <v>1</v>
      </c>
    </row>
    <row r="393" spans="1:11">
      <c r="A393" s="5" t="s">
        <v>116</v>
      </c>
      <c r="B393" s="5" t="s">
        <v>595</v>
      </c>
      <c r="C393" s="6">
        <v>4000000</v>
      </c>
      <c r="D393" s="7">
        <v>0.26600000000000001</v>
      </c>
      <c r="E393" s="7">
        <v>0.1</v>
      </c>
      <c r="F393" s="7">
        <v>3.3000000000000002E-2</v>
      </c>
      <c r="G393" s="5">
        <v>30</v>
      </c>
      <c r="I393" s="5" t="b">
        <v>1</v>
      </c>
      <c r="J393" s="5" t="b">
        <v>1</v>
      </c>
      <c r="K393" s="5" t="b">
        <v>0</v>
      </c>
    </row>
    <row r="394" spans="1:11">
      <c r="A394" s="5" t="s">
        <v>116</v>
      </c>
      <c r="B394" s="5" t="s">
        <v>596</v>
      </c>
      <c r="C394" s="6">
        <v>4000000</v>
      </c>
      <c r="D394" s="7">
        <v>0.26600000000000001</v>
      </c>
      <c r="E394" s="7">
        <v>0.1</v>
      </c>
      <c r="F394" s="7">
        <v>6.6000000000000003E-2</v>
      </c>
      <c r="G394" s="5">
        <v>30</v>
      </c>
      <c r="I394" s="5" t="b">
        <v>1</v>
      </c>
      <c r="J394" s="5" t="b">
        <v>1</v>
      </c>
      <c r="K394" s="5" t="b">
        <v>1</v>
      </c>
    </row>
    <row r="395" spans="1:11">
      <c r="A395" s="5" t="s">
        <v>116</v>
      </c>
      <c r="B395" s="5" t="s">
        <v>597</v>
      </c>
      <c r="C395" s="6">
        <v>10650000</v>
      </c>
      <c r="D395" s="7">
        <v>0.26090000000000002</v>
      </c>
      <c r="E395" s="7">
        <v>8.6999999999999994E-2</v>
      </c>
      <c r="F395" s="7">
        <v>4.3499999999999997E-2</v>
      </c>
      <c r="G395" s="5">
        <v>69</v>
      </c>
      <c r="I395" s="5" t="b">
        <v>1</v>
      </c>
      <c r="J395" s="5" t="b">
        <v>0</v>
      </c>
      <c r="K395" s="5" t="b">
        <v>0</v>
      </c>
    </row>
    <row r="396" spans="1:11">
      <c r="A396" s="5" t="s">
        <v>116</v>
      </c>
      <c r="B396" s="5" t="s">
        <v>598</v>
      </c>
      <c r="C396" s="6">
        <v>7800000</v>
      </c>
      <c r="D396" s="7">
        <v>0.26500000000000001</v>
      </c>
      <c r="E396" s="7">
        <v>0.1</v>
      </c>
      <c r="F396" s="7">
        <v>0.04</v>
      </c>
      <c r="G396" s="5">
        <v>49</v>
      </c>
      <c r="I396" s="5" t="b">
        <v>1</v>
      </c>
      <c r="J396" s="5" t="b">
        <v>1</v>
      </c>
      <c r="K396" s="5" t="b">
        <v>0</v>
      </c>
    </row>
    <row r="397" spans="1:11">
      <c r="A397" s="5" t="s">
        <v>116</v>
      </c>
      <c r="B397" s="5" t="s">
        <v>599</v>
      </c>
      <c r="C397" s="6">
        <v>9000000</v>
      </c>
      <c r="D397" s="7">
        <v>0.25</v>
      </c>
      <c r="E397" s="7">
        <v>0.1</v>
      </c>
      <c r="F397" s="7">
        <v>0.05</v>
      </c>
      <c r="G397" s="5">
        <v>63</v>
      </c>
      <c r="I397" s="5" t="b">
        <v>1</v>
      </c>
      <c r="J397" s="5" t="b">
        <v>1</v>
      </c>
      <c r="K397" s="5" t="b">
        <v>1</v>
      </c>
    </row>
    <row r="398" spans="1:11">
      <c r="A398" s="5" t="s">
        <v>117</v>
      </c>
      <c r="B398" s="5" t="s">
        <v>600</v>
      </c>
      <c r="C398" s="6">
        <v>3060000</v>
      </c>
      <c r="D398" s="7">
        <v>0.16</v>
      </c>
      <c r="E398" s="7">
        <v>0.03</v>
      </c>
      <c r="F398" s="7">
        <v>0.03</v>
      </c>
      <c r="G398" s="5">
        <v>30</v>
      </c>
      <c r="I398" s="5" t="b">
        <v>0</v>
      </c>
      <c r="J398" s="5" t="b">
        <v>0</v>
      </c>
      <c r="K398" s="5" t="b">
        <v>0</v>
      </c>
    </row>
    <row r="399" spans="1:11">
      <c r="A399" s="5" t="s">
        <v>117</v>
      </c>
      <c r="B399" s="5" t="s">
        <v>602</v>
      </c>
      <c r="C399" s="6">
        <v>1200000</v>
      </c>
      <c r="D399" s="7">
        <v>0.2</v>
      </c>
      <c r="E399" s="7">
        <v>0.05</v>
      </c>
      <c r="F399" s="7">
        <v>0.05</v>
      </c>
      <c r="G399" s="5">
        <v>40</v>
      </c>
      <c r="I399" s="5" t="b">
        <v>0</v>
      </c>
      <c r="J399" s="5" t="b">
        <v>0</v>
      </c>
      <c r="K399" s="5" t="b">
        <v>1</v>
      </c>
    </row>
    <row r="400" spans="1:11">
      <c r="A400" s="5" t="s">
        <v>117</v>
      </c>
      <c r="B400" s="5" t="s">
        <v>603</v>
      </c>
      <c r="C400" s="6">
        <v>500000</v>
      </c>
      <c r="D400" s="7">
        <v>0.26</v>
      </c>
      <c r="E400" s="7">
        <v>0.1</v>
      </c>
      <c r="F400" s="7">
        <v>0.04</v>
      </c>
      <c r="G400" s="5">
        <v>50</v>
      </c>
      <c r="I400" s="5" t="b">
        <v>1</v>
      </c>
      <c r="J400" s="5" t="b">
        <v>1</v>
      </c>
      <c r="K400" s="5" t="b">
        <v>0</v>
      </c>
    </row>
    <row r="401" spans="1:11">
      <c r="A401" s="5" t="s">
        <v>117</v>
      </c>
      <c r="B401" s="5" t="s">
        <v>604</v>
      </c>
      <c r="C401" s="6">
        <v>1100000</v>
      </c>
      <c r="D401" s="7">
        <v>0.25</v>
      </c>
      <c r="E401" s="7">
        <v>0.1</v>
      </c>
      <c r="F401" s="7">
        <v>0.05</v>
      </c>
      <c r="G401" s="5">
        <v>40</v>
      </c>
      <c r="I401" s="5" t="b">
        <v>1</v>
      </c>
      <c r="J401" s="5" t="b">
        <v>1</v>
      </c>
      <c r="K401" s="5" t="b">
        <v>1</v>
      </c>
    </row>
    <row r="402" spans="1:11">
      <c r="A402" s="5" t="s">
        <v>118</v>
      </c>
      <c r="B402" s="5" t="s">
        <v>605</v>
      </c>
      <c r="C402" s="6">
        <v>8178650</v>
      </c>
      <c r="D402" s="7">
        <v>0.25</v>
      </c>
      <c r="E402" s="7">
        <v>0.15</v>
      </c>
      <c r="F402" s="7">
        <v>0.05</v>
      </c>
      <c r="G402" s="5">
        <v>241</v>
      </c>
      <c r="I402" s="5" t="b">
        <v>1</v>
      </c>
      <c r="J402" s="5" t="b">
        <v>1</v>
      </c>
      <c r="K402" s="5" t="b">
        <v>1</v>
      </c>
    </row>
    <row r="403" spans="1:11">
      <c r="A403" s="5" t="s">
        <v>118</v>
      </c>
      <c r="B403" s="5" t="s">
        <v>607</v>
      </c>
      <c r="C403" s="6">
        <v>2782706</v>
      </c>
      <c r="D403" s="7">
        <v>0.25</v>
      </c>
      <c r="E403" s="7">
        <v>0.15</v>
      </c>
      <c r="F403" s="7">
        <v>0.05</v>
      </c>
      <c r="G403" s="10">
        <v>243</v>
      </c>
      <c r="I403" s="5" t="b">
        <v>1</v>
      </c>
      <c r="J403" s="5" t="b">
        <v>1</v>
      </c>
      <c r="K403" s="5" t="b">
        <v>1</v>
      </c>
    </row>
    <row r="404" spans="1:11">
      <c r="A404" s="5" t="s">
        <v>118</v>
      </c>
      <c r="B404" s="5" t="s">
        <v>608</v>
      </c>
      <c r="C404" s="6">
        <v>1000000</v>
      </c>
      <c r="D404" s="7">
        <v>0.25</v>
      </c>
      <c r="E404" s="7">
        <v>0.15</v>
      </c>
      <c r="F404" s="7">
        <v>0.05</v>
      </c>
      <c r="G404" s="10">
        <v>16</v>
      </c>
      <c r="I404" s="5" t="b">
        <v>1</v>
      </c>
      <c r="J404" s="5" t="b">
        <v>1</v>
      </c>
      <c r="K404" s="5" t="b">
        <v>1</v>
      </c>
    </row>
    <row r="405" spans="1:11">
      <c r="A405" s="5" t="s">
        <v>118</v>
      </c>
      <c r="B405" s="5" t="s">
        <v>609</v>
      </c>
      <c r="C405" s="6">
        <v>1444328.08</v>
      </c>
      <c r="D405" s="7">
        <v>0.25</v>
      </c>
      <c r="E405" s="7">
        <v>0.15</v>
      </c>
      <c r="F405" s="7">
        <v>0.05</v>
      </c>
      <c r="G405" s="5">
        <v>20</v>
      </c>
      <c r="I405" s="5" t="b">
        <v>1</v>
      </c>
      <c r="J405" s="5" t="b">
        <v>1</v>
      </c>
      <c r="K405" s="5" t="b">
        <v>1</v>
      </c>
    </row>
    <row r="406" spans="1:11">
      <c r="A406" s="5" t="s">
        <v>118</v>
      </c>
      <c r="B406" s="5" t="s">
        <v>610</v>
      </c>
      <c r="C406" s="6">
        <v>361082.01</v>
      </c>
      <c r="D406" s="7">
        <v>0.25</v>
      </c>
      <c r="E406" s="7">
        <v>0.15</v>
      </c>
      <c r="F406" s="7">
        <v>0.05</v>
      </c>
      <c r="G406" s="5">
        <v>1</v>
      </c>
      <c r="I406" s="5" t="b">
        <v>1</v>
      </c>
      <c r="J406" s="5" t="b">
        <v>1</v>
      </c>
      <c r="K406" s="5" t="b">
        <v>1</v>
      </c>
    </row>
    <row r="407" spans="1:11">
      <c r="A407" s="5" t="s">
        <v>75</v>
      </c>
      <c r="B407" s="5" t="s">
        <v>611</v>
      </c>
      <c r="C407" s="6">
        <v>2000000</v>
      </c>
      <c r="D407" s="7">
        <v>0.5</v>
      </c>
      <c r="E407" s="7">
        <v>0.1</v>
      </c>
      <c r="F407" s="7">
        <v>0.05</v>
      </c>
      <c r="G407" s="5">
        <v>40</v>
      </c>
      <c r="I407" s="5" t="b">
        <v>1</v>
      </c>
      <c r="J407" s="5" t="b">
        <v>1</v>
      </c>
      <c r="K407" s="5" t="b">
        <v>1</v>
      </c>
    </row>
    <row r="408" spans="1:11">
      <c r="A408" s="5" t="s">
        <v>75</v>
      </c>
      <c r="B408" s="5" t="s">
        <v>613</v>
      </c>
      <c r="C408" s="6">
        <v>400000</v>
      </c>
      <c r="D408" s="7">
        <v>0.5</v>
      </c>
      <c r="E408" s="7">
        <v>0.1</v>
      </c>
      <c r="F408" s="7">
        <v>0.05</v>
      </c>
      <c r="G408" s="5">
        <v>25</v>
      </c>
      <c r="I408" s="5" t="b">
        <v>1</v>
      </c>
      <c r="J408" s="5" t="b">
        <v>1</v>
      </c>
      <c r="K408" s="5" t="b">
        <v>1</v>
      </c>
    </row>
    <row r="409" spans="1:11">
      <c r="A409" s="5" t="s">
        <v>75</v>
      </c>
      <c r="B409" s="5" t="s">
        <v>614</v>
      </c>
      <c r="C409" s="6">
        <v>5600000</v>
      </c>
      <c r="D409" s="7">
        <v>0.5</v>
      </c>
      <c r="E409" s="7">
        <v>0.1</v>
      </c>
      <c r="F409" s="7">
        <v>0.05</v>
      </c>
      <c r="G409" s="5">
        <v>30</v>
      </c>
      <c r="I409" s="5" t="b">
        <v>1</v>
      </c>
      <c r="J409" s="5" t="b">
        <v>1</v>
      </c>
      <c r="K409" s="5" t="b">
        <v>1</v>
      </c>
    </row>
    <row r="410" spans="1:11">
      <c r="A410" s="5" t="s">
        <v>75</v>
      </c>
      <c r="B410" s="5" t="s">
        <v>615</v>
      </c>
      <c r="C410" s="6">
        <v>800000</v>
      </c>
      <c r="D410" s="7">
        <v>0.5</v>
      </c>
      <c r="E410" s="7">
        <v>0.1</v>
      </c>
      <c r="F410" s="7">
        <v>0.05</v>
      </c>
      <c r="I410" s="5" t="b">
        <v>1</v>
      </c>
      <c r="J410" s="5" t="b">
        <v>1</v>
      </c>
      <c r="K410" s="5" t="b">
        <v>1</v>
      </c>
    </row>
    <row r="411" spans="1:11">
      <c r="A411" s="5" t="s">
        <v>75</v>
      </c>
      <c r="B411" s="5" t="s">
        <v>616</v>
      </c>
      <c r="C411" s="6">
        <v>800000</v>
      </c>
      <c r="D411" s="7">
        <v>0.5</v>
      </c>
      <c r="E411" s="7">
        <v>0.1</v>
      </c>
      <c r="F411" s="7">
        <v>0.05</v>
      </c>
      <c r="G411" s="5">
        <v>60</v>
      </c>
      <c r="I411" s="5" t="b">
        <v>1</v>
      </c>
      <c r="J411" s="5" t="b">
        <v>1</v>
      </c>
      <c r="K411" s="5" t="b">
        <v>1</v>
      </c>
    </row>
    <row r="412" spans="1:11">
      <c r="A412" s="5" t="s">
        <v>75</v>
      </c>
      <c r="B412" s="5" t="s">
        <v>617</v>
      </c>
      <c r="C412" s="6">
        <v>400000</v>
      </c>
      <c r="D412" s="7">
        <v>0.5</v>
      </c>
      <c r="E412" s="7">
        <v>0.1</v>
      </c>
      <c r="F412" s="7">
        <v>0.05</v>
      </c>
      <c r="G412" s="5">
        <v>20</v>
      </c>
      <c r="I412" s="5" t="b">
        <v>1</v>
      </c>
      <c r="J412" s="5" t="b">
        <v>1</v>
      </c>
      <c r="K412" s="5" t="b">
        <v>1</v>
      </c>
    </row>
    <row r="413" spans="1:11">
      <c r="A413" s="5" t="s">
        <v>75</v>
      </c>
      <c r="B413" s="5" t="s">
        <v>618</v>
      </c>
      <c r="C413" s="6">
        <v>4260000</v>
      </c>
      <c r="D413" s="7">
        <v>0.5</v>
      </c>
      <c r="E413" s="7">
        <v>0.1</v>
      </c>
      <c r="F413" s="7">
        <v>0.05</v>
      </c>
      <c r="G413" s="5">
        <v>82</v>
      </c>
      <c r="I413" s="5" t="b">
        <v>1</v>
      </c>
      <c r="J413" s="5" t="b">
        <v>1</v>
      </c>
      <c r="K413" s="5" t="b">
        <v>1</v>
      </c>
    </row>
    <row r="414" spans="1:11">
      <c r="A414" s="5" t="s">
        <v>75</v>
      </c>
      <c r="B414" s="5" t="s">
        <v>619</v>
      </c>
      <c r="C414" s="6">
        <v>1950000</v>
      </c>
      <c r="D414" s="7">
        <v>0.5</v>
      </c>
      <c r="E414" s="7">
        <v>0.1</v>
      </c>
      <c r="F414" s="7">
        <v>0.05</v>
      </c>
      <c r="G414" s="5">
        <v>2</v>
      </c>
      <c r="I414" s="5" t="b">
        <v>1</v>
      </c>
      <c r="J414" s="5" t="b">
        <v>1</v>
      </c>
      <c r="K414" s="5" t="b">
        <v>1</v>
      </c>
    </row>
    <row r="415" spans="1:11">
      <c r="A415" s="5" t="s">
        <v>75</v>
      </c>
      <c r="B415" s="5" t="s">
        <v>620</v>
      </c>
      <c r="C415" s="6">
        <v>2000000</v>
      </c>
      <c r="D415" s="7">
        <v>0.5</v>
      </c>
      <c r="E415" s="7">
        <v>0.1</v>
      </c>
      <c r="F415" s="7">
        <v>0.05</v>
      </c>
      <c r="G415" s="5">
        <v>20</v>
      </c>
      <c r="I415" s="5" t="b">
        <v>1</v>
      </c>
      <c r="J415" s="5" t="b">
        <v>1</v>
      </c>
      <c r="K415" s="5" t="b">
        <v>1</v>
      </c>
    </row>
    <row r="416" spans="1:11">
      <c r="A416" s="5" t="s">
        <v>119</v>
      </c>
      <c r="B416" s="5" t="s">
        <v>621</v>
      </c>
      <c r="C416" s="6">
        <v>900000</v>
      </c>
      <c r="D416" s="7">
        <v>0.5</v>
      </c>
      <c r="E416" s="7">
        <v>0.5</v>
      </c>
      <c r="F416" s="7">
        <v>0.5</v>
      </c>
      <c r="G416" s="5">
        <v>3</v>
      </c>
      <c r="I416" s="5" t="b">
        <v>1</v>
      </c>
      <c r="J416" s="5" t="b">
        <v>1</v>
      </c>
      <c r="K416" s="5" t="b">
        <v>1</v>
      </c>
    </row>
    <row r="417" spans="1:11">
      <c r="A417" s="5" t="s">
        <v>119</v>
      </c>
      <c r="B417" s="5" t="s">
        <v>623</v>
      </c>
      <c r="C417" s="6">
        <v>4950000</v>
      </c>
      <c r="D417" s="7">
        <v>0.25</v>
      </c>
      <c r="E417" s="7">
        <v>0.1</v>
      </c>
      <c r="F417" s="7">
        <v>0.05</v>
      </c>
      <c r="G417" s="5">
        <v>110</v>
      </c>
      <c r="I417" s="5" t="b">
        <v>1</v>
      </c>
      <c r="J417" s="5" t="b">
        <v>1</v>
      </c>
      <c r="K417" s="5" t="b">
        <v>1</v>
      </c>
    </row>
    <row r="418" spans="1:11">
      <c r="A418" s="5" t="s">
        <v>119</v>
      </c>
      <c r="B418" s="5" t="s">
        <v>624</v>
      </c>
      <c r="C418" s="6">
        <v>22220000</v>
      </c>
      <c r="D418" s="7">
        <v>0.25650000000000001</v>
      </c>
      <c r="E418" s="7">
        <v>0.1017</v>
      </c>
      <c r="F418" s="7">
        <v>5.3100000000000008E-2</v>
      </c>
      <c r="G418" s="5">
        <v>659</v>
      </c>
      <c r="I418" s="5" t="b">
        <v>1</v>
      </c>
      <c r="J418" s="5" t="b">
        <v>1</v>
      </c>
      <c r="K418" s="5" t="b">
        <v>1</v>
      </c>
    </row>
    <row r="419" spans="1:11">
      <c r="A419" s="5" t="s">
        <v>119</v>
      </c>
      <c r="B419" s="5" t="s">
        <v>745</v>
      </c>
      <c r="C419" s="6">
        <v>3150000</v>
      </c>
      <c r="D419" s="7">
        <v>0.25</v>
      </c>
      <c r="E419" s="7">
        <v>0.1</v>
      </c>
      <c r="F419" s="7">
        <v>0.05</v>
      </c>
      <c r="G419" s="5">
        <v>140</v>
      </c>
      <c r="I419" s="5" t="b">
        <v>1</v>
      </c>
      <c r="J419" s="5" t="b">
        <v>1</v>
      </c>
      <c r="K419" s="5" t="b">
        <v>1</v>
      </c>
    </row>
    <row r="420" spans="1:11">
      <c r="A420" s="5" t="s">
        <v>119</v>
      </c>
      <c r="B420" s="5" t="s">
        <v>746</v>
      </c>
      <c r="C420" s="6">
        <v>1050000</v>
      </c>
      <c r="D420" s="7">
        <v>0.25</v>
      </c>
      <c r="E420" s="7">
        <v>0.1</v>
      </c>
      <c r="F420" s="7">
        <v>0.05</v>
      </c>
      <c r="G420" s="5">
        <v>35</v>
      </c>
      <c r="I420" s="5" t="b">
        <v>1</v>
      </c>
      <c r="J420" s="5" t="b">
        <v>1</v>
      </c>
      <c r="K420" s="5" t="b">
        <v>1</v>
      </c>
    </row>
    <row r="421" spans="1:11">
      <c r="A421" s="5" t="s">
        <v>119</v>
      </c>
      <c r="B421" s="5" t="s">
        <v>627</v>
      </c>
      <c r="C421" s="6">
        <v>9600000</v>
      </c>
      <c r="D421" s="7">
        <v>0.24</v>
      </c>
      <c r="E421" s="7">
        <v>0.09</v>
      </c>
      <c r="F421" s="7">
        <v>0.09</v>
      </c>
      <c r="G421" s="5">
        <v>96</v>
      </c>
      <c r="I421" s="5" t="b">
        <v>1</v>
      </c>
      <c r="J421" s="5" t="b">
        <v>1</v>
      </c>
      <c r="K421" s="5" t="b">
        <v>1</v>
      </c>
    </row>
    <row r="422" spans="1:11">
      <c r="A422" s="5" t="s">
        <v>76</v>
      </c>
      <c r="B422" s="5" t="s">
        <v>628</v>
      </c>
      <c r="C422" s="6">
        <v>1000000</v>
      </c>
      <c r="D422" s="7">
        <v>0.25</v>
      </c>
      <c r="E422" s="7">
        <v>0.1</v>
      </c>
      <c r="F422" s="7">
        <v>0.05</v>
      </c>
      <c r="G422" s="5">
        <v>10</v>
      </c>
      <c r="I422" s="5" t="b">
        <v>1</v>
      </c>
      <c r="J422" s="5" t="b">
        <v>1</v>
      </c>
      <c r="K422" s="5" t="b">
        <v>1</v>
      </c>
    </row>
    <row r="423" spans="1:11">
      <c r="A423" s="5" t="s">
        <v>76</v>
      </c>
      <c r="B423" s="5" t="s">
        <v>629</v>
      </c>
      <c r="C423" s="6">
        <v>500000</v>
      </c>
      <c r="D423" s="7">
        <v>0.25</v>
      </c>
      <c r="E423" s="7">
        <v>0.1</v>
      </c>
      <c r="F423" s="7">
        <v>0.05</v>
      </c>
      <c r="G423" s="5">
        <v>74</v>
      </c>
      <c r="I423" s="5" t="b">
        <v>1</v>
      </c>
      <c r="J423" s="5" t="b">
        <v>1</v>
      </c>
      <c r="K423" s="5" t="b">
        <v>1</v>
      </c>
    </row>
    <row r="424" spans="1:11">
      <c r="A424" s="5" t="s">
        <v>76</v>
      </c>
      <c r="B424" s="5" t="s">
        <v>630</v>
      </c>
      <c r="C424" s="6">
        <v>4500000</v>
      </c>
      <c r="D424" s="7">
        <v>0.25</v>
      </c>
      <c r="E424" s="7">
        <v>0.1</v>
      </c>
      <c r="F424" s="7">
        <v>0.05</v>
      </c>
      <c r="G424" s="5">
        <v>182</v>
      </c>
      <c r="I424" s="5" t="b">
        <v>1</v>
      </c>
      <c r="J424" s="5" t="b">
        <v>1</v>
      </c>
      <c r="K424" s="5" t="b">
        <v>1</v>
      </c>
    </row>
    <row r="425" spans="1:11">
      <c r="A425" s="5" t="s">
        <v>76</v>
      </c>
      <c r="B425" s="5" t="s">
        <v>631</v>
      </c>
      <c r="C425" s="6">
        <v>950500</v>
      </c>
      <c r="D425" s="7">
        <v>0.25</v>
      </c>
      <c r="E425" s="7">
        <v>0.1</v>
      </c>
      <c r="F425" s="7">
        <v>0.05</v>
      </c>
      <c r="G425" s="5">
        <v>28</v>
      </c>
      <c r="I425" s="5" t="b">
        <v>1</v>
      </c>
      <c r="J425" s="5" t="b">
        <v>1</v>
      </c>
      <c r="K425" s="5" t="b">
        <v>1</v>
      </c>
    </row>
    <row r="426" spans="1:11">
      <c r="A426" s="5" t="s">
        <v>120</v>
      </c>
      <c r="B426" s="5" t="s">
        <v>632</v>
      </c>
      <c r="C426" s="6">
        <v>20000000</v>
      </c>
      <c r="D426" s="7">
        <v>0.25</v>
      </c>
      <c r="E426" s="7">
        <v>0.1</v>
      </c>
      <c r="F426" s="7">
        <v>0.05</v>
      </c>
      <c r="G426" s="5">
        <v>40</v>
      </c>
      <c r="I426" s="5" t="b">
        <v>1</v>
      </c>
      <c r="J426" s="5" t="b">
        <v>1</v>
      </c>
      <c r="K426" s="5" t="b">
        <v>1</v>
      </c>
    </row>
    <row r="427" spans="1:11">
      <c r="A427" s="5" t="s">
        <v>120</v>
      </c>
      <c r="B427" s="5" t="s">
        <v>634</v>
      </c>
      <c r="C427" s="6">
        <v>5000000</v>
      </c>
      <c r="D427" s="7">
        <v>0.25</v>
      </c>
      <c r="E427" s="7">
        <v>0.1</v>
      </c>
      <c r="F427" s="7">
        <v>0.05</v>
      </c>
      <c r="G427" s="5">
        <v>20</v>
      </c>
      <c r="I427" s="5" t="b">
        <v>1</v>
      </c>
      <c r="J427" s="5" t="b">
        <v>1</v>
      </c>
      <c r="K427" s="5" t="b">
        <v>1</v>
      </c>
    </row>
    <row r="428" spans="1:11">
      <c r="A428" s="5" t="s">
        <v>120</v>
      </c>
      <c r="B428" s="5" t="s">
        <v>635</v>
      </c>
      <c r="C428" s="6">
        <v>15000000</v>
      </c>
      <c r="D428" s="7">
        <v>0.25</v>
      </c>
      <c r="E428" s="7">
        <v>0.1</v>
      </c>
      <c r="F428" s="7">
        <v>0.05</v>
      </c>
      <c r="G428" s="5">
        <v>40</v>
      </c>
      <c r="I428" s="5" t="b">
        <v>1</v>
      </c>
      <c r="J428" s="5" t="b">
        <v>1</v>
      </c>
      <c r="K428" s="5" t="b">
        <v>1</v>
      </c>
    </row>
    <row r="429" spans="1:11">
      <c r="A429" s="5" t="s">
        <v>120</v>
      </c>
      <c r="B429" s="5" t="s">
        <v>636</v>
      </c>
      <c r="C429" s="6">
        <v>9000000</v>
      </c>
      <c r="D429" s="7">
        <v>0.25</v>
      </c>
      <c r="E429" s="7">
        <v>0.1</v>
      </c>
      <c r="F429" s="7">
        <v>0.05</v>
      </c>
      <c r="G429" s="5">
        <v>30</v>
      </c>
      <c r="I429" s="5" t="b">
        <v>1</v>
      </c>
      <c r="J429" s="5" t="b">
        <v>1</v>
      </c>
      <c r="K429" s="5" t="b">
        <v>1</v>
      </c>
    </row>
    <row r="430" spans="1:11">
      <c r="A430" s="5" t="s">
        <v>120</v>
      </c>
      <c r="B430" s="5" t="s">
        <v>747</v>
      </c>
      <c r="C430" s="6">
        <v>3000000</v>
      </c>
      <c r="D430" s="7">
        <v>0.25</v>
      </c>
      <c r="E430" s="7">
        <v>0.1</v>
      </c>
      <c r="F430" s="7">
        <v>0.05</v>
      </c>
      <c r="G430" s="5">
        <v>20</v>
      </c>
      <c r="I430" s="5" t="b">
        <v>1</v>
      </c>
      <c r="J430" s="5" t="b">
        <v>1</v>
      </c>
      <c r="K430" s="5" t="b">
        <v>1</v>
      </c>
    </row>
    <row r="431" spans="1:11">
      <c r="A431" s="5" t="s">
        <v>120</v>
      </c>
      <c r="B431" s="5" t="s">
        <v>748</v>
      </c>
      <c r="C431" s="6">
        <v>3000000</v>
      </c>
      <c r="D431" s="7">
        <v>0.25</v>
      </c>
      <c r="E431" s="7">
        <v>0.1</v>
      </c>
      <c r="F431" s="7">
        <v>0.05</v>
      </c>
      <c r="G431" s="5">
        <v>20</v>
      </c>
      <c r="I431" s="5" t="b">
        <v>1</v>
      </c>
      <c r="J431" s="5" t="b">
        <v>1</v>
      </c>
      <c r="K431" s="5" t="b">
        <v>1</v>
      </c>
    </row>
    <row r="432" spans="1:11">
      <c r="A432" s="5" t="s">
        <v>120</v>
      </c>
      <c r="B432" s="5" t="s">
        <v>749</v>
      </c>
      <c r="C432" s="6">
        <v>3000000</v>
      </c>
      <c r="D432" s="7">
        <v>0.25</v>
      </c>
      <c r="E432" s="7">
        <v>0.1</v>
      </c>
      <c r="F432" s="7">
        <v>0.05</v>
      </c>
      <c r="G432" s="5">
        <v>20</v>
      </c>
      <c r="I432" s="5" t="b">
        <v>1</v>
      </c>
      <c r="J432" s="5" t="b">
        <v>1</v>
      </c>
      <c r="K432" s="5" t="b">
        <v>1</v>
      </c>
    </row>
    <row r="433" spans="1:11">
      <c r="A433" s="5" t="s">
        <v>120</v>
      </c>
      <c r="B433" s="5" t="s">
        <v>640</v>
      </c>
      <c r="C433" s="6">
        <v>3000000</v>
      </c>
      <c r="D433" s="7">
        <v>0.25</v>
      </c>
      <c r="E433" s="7">
        <v>0.1</v>
      </c>
      <c r="F433" s="7">
        <v>0.05</v>
      </c>
      <c r="G433" s="5">
        <v>20</v>
      </c>
      <c r="I433" s="5" t="b">
        <v>1</v>
      </c>
      <c r="J433" s="5" t="b">
        <v>1</v>
      </c>
      <c r="K433" s="5" t="b">
        <v>1</v>
      </c>
    </row>
    <row r="434" spans="1:11">
      <c r="A434" s="5" t="s">
        <v>120</v>
      </c>
      <c r="B434" s="5" t="s">
        <v>641</v>
      </c>
      <c r="C434" s="6">
        <v>22500000</v>
      </c>
      <c r="D434" s="7">
        <v>0.25</v>
      </c>
      <c r="E434" s="7">
        <v>0.1</v>
      </c>
      <c r="F434" s="7">
        <v>0.05</v>
      </c>
      <c r="G434" s="5">
        <v>30</v>
      </c>
      <c r="I434" s="5" t="b">
        <v>1</v>
      </c>
      <c r="J434" s="5" t="b">
        <v>1</v>
      </c>
      <c r="K434" s="5" t="b">
        <v>1</v>
      </c>
    </row>
    <row r="435" spans="1:11">
      <c r="A435" s="5" t="s">
        <v>120</v>
      </c>
      <c r="B435" s="5" t="s">
        <v>642</v>
      </c>
      <c r="C435" s="6">
        <v>3000000</v>
      </c>
      <c r="D435" s="7">
        <v>0.25</v>
      </c>
      <c r="E435" s="7">
        <v>0.1</v>
      </c>
      <c r="F435" s="7">
        <v>0.05</v>
      </c>
      <c r="G435" s="5">
        <v>20</v>
      </c>
      <c r="I435" s="5" t="b">
        <v>1</v>
      </c>
      <c r="J435" s="5" t="b">
        <v>1</v>
      </c>
      <c r="K435" s="5" t="b">
        <v>1</v>
      </c>
    </row>
    <row r="436" spans="1:11">
      <c r="A436" s="5" t="s">
        <v>120</v>
      </c>
      <c r="B436" s="5" t="s">
        <v>643</v>
      </c>
      <c r="C436" s="6">
        <v>33000000</v>
      </c>
      <c r="D436" s="7">
        <v>0.25</v>
      </c>
      <c r="E436" s="7">
        <v>0.1</v>
      </c>
      <c r="F436" s="7">
        <v>0.05</v>
      </c>
      <c r="G436" s="5">
        <v>22</v>
      </c>
      <c r="I436" s="5" t="b">
        <v>1</v>
      </c>
      <c r="J436" s="5" t="b">
        <v>1</v>
      </c>
      <c r="K436" s="5" t="b">
        <v>1</v>
      </c>
    </row>
    <row r="437" spans="1:11">
      <c r="A437" s="5" t="s">
        <v>120</v>
      </c>
      <c r="B437" s="5" t="s">
        <v>644</v>
      </c>
      <c r="C437" s="6">
        <v>9000000</v>
      </c>
      <c r="D437" s="7">
        <v>0.25</v>
      </c>
      <c r="E437" s="7">
        <v>0.1</v>
      </c>
      <c r="F437" s="7">
        <v>0.05</v>
      </c>
      <c r="G437" s="5">
        <v>10</v>
      </c>
      <c r="I437" s="5" t="b">
        <v>1</v>
      </c>
      <c r="J437" s="5" t="b">
        <v>1</v>
      </c>
      <c r="K437" s="5" t="b">
        <v>1</v>
      </c>
    </row>
    <row r="438" spans="1:11">
      <c r="A438" s="5" t="s">
        <v>120</v>
      </c>
      <c r="B438" s="5" t="s">
        <v>645</v>
      </c>
      <c r="C438" s="6">
        <v>3750000</v>
      </c>
      <c r="D438" s="7">
        <v>0.25</v>
      </c>
      <c r="E438" s="7">
        <v>0.1</v>
      </c>
      <c r="F438" s="7">
        <v>0.05</v>
      </c>
      <c r="G438" s="5">
        <v>10</v>
      </c>
      <c r="I438" s="5" t="b">
        <v>1</v>
      </c>
      <c r="J438" s="5" t="b">
        <v>1</v>
      </c>
      <c r="K438" s="5" t="b">
        <v>1</v>
      </c>
    </row>
    <row r="439" spans="1:11">
      <c r="A439" s="5" t="s">
        <v>120</v>
      </c>
      <c r="B439" s="5" t="s">
        <v>646</v>
      </c>
      <c r="C439" s="6">
        <v>700000</v>
      </c>
      <c r="D439" s="7">
        <v>0.25</v>
      </c>
      <c r="E439" s="7">
        <v>0.1</v>
      </c>
      <c r="F439" s="7">
        <v>0.05</v>
      </c>
      <c r="G439" s="5">
        <v>14</v>
      </c>
      <c r="I439" s="5" t="b">
        <v>1</v>
      </c>
      <c r="J439" s="5" t="b">
        <v>1</v>
      </c>
      <c r="K439" s="5" t="b">
        <v>1</v>
      </c>
    </row>
    <row r="440" spans="1:11">
      <c r="A440" s="5" t="s">
        <v>120</v>
      </c>
      <c r="B440" s="5" t="s">
        <v>647</v>
      </c>
      <c r="C440" s="6">
        <v>6600000</v>
      </c>
      <c r="D440" s="7">
        <v>0.25</v>
      </c>
      <c r="E440" s="7">
        <v>0.1</v>
      </c>
      <c r="F440" s="7">
        <v>0.05</v>
      </c>
      <c r="G440" s="5">
        <v>22</v>
      </c>
      <c r="I440" s="5" t="b">
        <v>1</v>
      </c>
      <c r="J440" s="5" t="b">
        <v>1</v>
      </c>
      <c r="K440" s="5" t="b">
        <v>1</v>
      </c>
    </row>
    <row r="441" spans="1:11">
      <c r="A441" s="5" t="s">
        <v>120</v>
      </c>
      <c r="B441" s="5" t="s">
        <v>648</v>
      </c>
      <c r="C441" s="6">
        <v>3000000</v>
      </c>
      <c r="D441" s="7">
        <v>0.25</v>
      </c>
      <c r="E441" s="7">
        <v>0.1</v>
      </c>
      <c r="F441" s="7">
        <v>0.05</v>
      </c>
      <c r="G441" s="5">
        <v>20</v>
      </c>
      <c r="I441" s="5" t="b">
        <v>1</v>
      </c>
      <c r="J441" s="5" t="b">
        <v>1</v>
      </c>
      <c r="K441" s="5" t="b">
        <v>1</v>
      </c>
    </row>
    <row r="442" spans="1:11">
      <c r="A442" s="5" t="s">
        <v>120</v>
      </c>
      <c r="B442" s="5" t="s">
        <v>649</v>
      </c>
      <c r="C442" s="6">
        <v>2000000</v>
      </c>
      <c r="D442" s="7">
        <v>0.25</v>
      </c>
      <c r="E442" s="7">
        <v>0.1</v>
      </c>
      <c r="F442" s="7">
        <v>0.05</v>
      </c>
      <c r="G442" s="5">
        <v>20</v>
      </c>
      <c r="I442" s="5" t="b">
        <v>1</v>
      </c>
      <c r="J442" s="5" t="b">
        <v>1</v>
      </c>
      <c r="K442" s="5" t="b">
        <v>1</v>
      </c>
    </row>
    <row r="443" spans="1:11">
      <c r="A443" s="5" t="s">
        <v>120</v>
      </c>
      <c r="B443" s="5" t="s">
        <v>650</v>
      </c>
      <c r="C443" s="6">
        <v>6000000</v>
      </c>
      <c r="D443" s="7">
        <v>0.25</v>
      </c>
      <c r="E443" s="7">
        <v>0.1</v>
      </c>
      <c r="F443" s="7">
        <v>0.05</v>
      </c>
      <c r="G443" s="5">
        <v>60</v>
      </c>
      <c r="I443" s="5" t="b">
        <v>1</v>
      </c>
      <c r="J443" s="5" t="b">
        <v>1</v>
      </c>
      <c r="K443" s="5" t="b">
        <v>1</v>
      </c>
    </row>
    <row r="444" spans="1:11">
      <c r="A444" s="5" t="s">
        <v>120</v>
      </c>
      <c r="B444" s="5" t="s">
        <v>651</v>
      </c>
      <c r="C444" s="6">
        <v>2000000</v>
      </c>
      <c r="D444" s="7">
        <v>0.25</v>
      </c>
      <c r="E444" s="7">
        <v>0.1</v>
      </c>
      <c r="F444" s="7">
        <v>0.05</v>
      </c>
      <c r="G444" s="5">
        <v>20</v>
      </c>
      <c r="I444" s="5" t="b">
        <v>1</v>
      </c>
      <c r="J444" s="5" t="b">
        <v>1</v>
      </c>
      <c r="K444" s="5" t="b">
        <v>1</v>
      </c>
    </row>
    <row r="445" spans="1:11">
      <c r="A445" s="5" t="s">
        <v>120</v>
      </c>
      <c r="B445" s="5" t="s">
        <v>750</v>
      </c>
      <c r="C445" s="6">
        <v>1600000</v>
      </c>
      <c r="D445" s="7">
        <v>0.25</v>
      </c>
      <c r="E445" s="7">
        <v>0.1</v>
      </c>
      <c r="F445" s="7">
        <v>0.05</v>
      </c>
      <c r="G445" s="5">
        <v>20</v>
      </c>
      <c r="I445" s="5" t="b">
        <v>1</v>
      </c>
      <c r="J445" s="5" t="b">
        <v>1</v>
      </c>
      <c r="K445" s="5" t="b">
        <v>1</v>
      </c>
    </row>
    <row r="446" spans="1:11">
      <c r="A446" s="5" t="s">
        <v>120</v>
      </c>
      <c r="B446" s="5" t="s">
        <v>653</v>
      </c>
      <c r="C446" s="6">
        <v>6000000</v>
      </c>
      <c r="D446" s="7">
        <v>0.25</v>
      </c>
      <c r="E446" s="7">
        <v>0.1</v>
      </c>
      <c r="F446" s="7">
        <v>0.05</v>
      </c>
      <c r="G446" s="5">
        <v>20</v>
      </c>
      <c r="I446" s="5" t="b">
        <v>1</v>
      </c>
      <c r="J446" s="5" t="b">
        <v>1</v>
      </c>
      <c r="K446" s="5" t="b">
        <v>1</v>
      </c>
    </row>
    <row r="447" spans="1:11">
      <c r="A447" s="5" t="s">
        <v>120</v>
      </c>
      <c r="B447" s="5" t="s">
        <v>654</v>
      </c>
      <c r="C447" s="6">
        <v>4000000</v>
      </c>
      <c r="D447" s="7">
        <v>0.25</v>
      </c>
      <c r="E447" s="7">
        <v>0.1</v>
      </c>
      <c r="F447" s="7">
        <v>0.05</v>
      </c>
      <c r="G447" s="5">
        <v>20</v>
      </c>
      <c r="I447" s="5" t="b">
        <v>1</v>
      </c>
      <c r="J447" s="5" t="b">
        <v>1</v>
      </c>
      <c r="K447" s="5" t="b">
        <v>1</v>
      </c>
    </row>
    <row r="448" spans="1:11">
      <c r="A448" s="5" t="s">
        <v>120</v>
      </c>
      <c r="B448" s="5" t="s">
        <v>655</v>
      </c>
      <c r="C448" s="6">
        <v>3000000</v>
      </c>
      <c r="D448" s="7">
        <v>0.25</v>
      </c>
      <c r="E448" s="7">
        <v>0.1</v>
      </c>
      <c r="F448" s="7">
        <v>0.05</v>
      </c>
      <c r="G448" s="5">
        <v>30</v>
      </c>
      <c r="I448" s="5" t="b">
        <v>1</v>
      </c>
      <c r="J448" s="5" t="b">
        <v>1</v>
      </c>
      <c r="K448" s="5" t="b">
        <v>1</v>
      </c>
    </row>
    <row r="449" spans="1:11">
      <c r="A449" s="5" t="s">
        <v>120</v>
      </c>
      <c r="B449" s="5" t="s">
        <v>656</v>
      </c>
      <c r="C449" s="6">
        <v>40000000</v>
      </c>
      <c r="D449" s="7">
        <v>0.25</v>
      </c>
      <c r="E449" s="7">
        <v>0.1</v>
      </c>
      <c r="F449" s="7">
        <v>0.05</v>
      </c>
      <c r="G449" s="5">
        <v>80</v>
      </c>
      <c r="I449" s="5" t="b">
        <v>1</v>
      </c>
      <c r="J449" s="5" t="b">
        <v>1</v>
      </c>
      <c r="K449" s="5" t="b">
        <v>1</v>
      </c>
    </row>
    <row r="450" spans="1:11">
      <c r="A450" s="5" t="s">
        <v>120</v>
      </c>
      <c r="B450" s="5" t="s">
        <v>657</v>
      </c>
      <c r="C450" s="6">
        <v>15000000</v>
      </c>
      <c r="D450" s="7">
        <v>0.25</v>
      </c>
      <c r="E450" s="7">
        <v>0.1</v>
      </c>
      <c r="F450" s="7">
        <v>0.05</v>
      </c>
      <c r="G450" s="5">
        <v>20</v>
      </c>
      <c r="I450" s="5" t="b">
        <v>1</v>
      </c>
      <c r="J450" s="5" t="b">
        <v>1</v>
      </c>
      <c r="K450" s="5" t="b">
        <v>1</v>
      </c>
    </row>
    <row r="451" spans="1:11">
      <c r="A451" s="5" t="s">
        <v>120</v>
      </c>
      <c r="B451" s="5" t="s">
        <v>658</v>
      </c>
      <c r="C451" s="6">
        <v>3000000</v>
      </c>
      <c r="D451" s="7">
        <v>0.25</v>
      </c>
      <c r="E451" s="7">
        <v>0.1</v>
      </c>
      <c r="F451" s="7">
        <v>0.05</v>
      </c>
      <c r="G451" s="5">
        <v>10</v>
      </c>
      <c r="I451" s="5" t="b">
        <v>1</v>
      </c>
      <c r="J451" s="5" t="b">
        <v>1</v>
      </c>
      <c r="K451" s="5" t="b">
        <v>1</v>
      </c>
    </row>
    <row r="452" spans="1:11">
      <c r="A452" s="5" t="s">
        <v>120</v>
      </c>
      <c r="B452" s="5" t="s">
        <v>659</v>
      </c>
      <c r="C452" s="6">
        <v>12000000</v>
      </c>
      <c r="D452" s="7">
        <v>0.25</v>
      </c>
      <c r="E452" s="7">
        <v>0.1</v>
      </c>
      <c r="F452" s="7">
        <v>0.05</v>
      </c>
      <c r="G452" s="5">
        <v>40</v>
      </c>
      <c r="I452" s="5" t="b">
        <v>1</v>
      </c>
      <c r="J452" s="5" t="b">
        <v>1</v>
      </c>
      <c r="K452" s="5" t="b">
        <v>1</v>
      </c>
    </row>
    <row r="453" spans="1:11">
      <c r="A453" s="5" t="s">
        <v>120</v>
      </c>
      <c r="B453" s="5" t="s">
        <v>660</v>
      </c>
      <c r="C453" s="6">
        <v>6300000</v>
      </c>
      <c r="D453" s="7">
        <v>0.25</v>
      </c>
      <c r="E453" s="7">
        <v>0.1</v>
      </c>
      <c r="F453" s="7">
        <v>0.05</v>
      </c>
      <c r="G453" s="5">
        <v>150</v>
      </c>
      <c r="I453" s="5" t="b">
        <v>1</v>
      </c>
      <c r="J453" s="5" t="b">
        <v>1</v>
      </c>
      <c r="K453" s="5" t="b">
        <v>1</v>
      </c>
    </row>
    <row r="454" spans="1:11">
      <c r="A454" s="5" t="s">
        <v>120</v>
      </c>
      <c r="B454" s="5" t="s">
        <v>661</v>
      </c>
      <c r="C454" s="6">
        <v>22100000</v>
      </c>
      <c r="D454" s="7">
        <v>0.25</v>
      </c>
      <c r="E454" s="7">
        <v>0.1</v>
      </c>
      <c r="F454" s="7">
        <v>0.05</v>
      </c>
      <c r="G454" s="5">
        <v>130</v>
      </c>
      <c r="I454" s="5" t="b">
        <v>1</v>
      </c>
      <c r="J454" s="5" t="b">
        <v>1</v>
      </c>
      <c r="K454" s="5" t="b">
        <v>1</v>
      </c>
    </row>
    <row r="455" spans="1:11">
      <c r="A455" s="5" t="s">
        <v>120</v>
      </c>
      <c r="B455" s="5" t="s">
        <v>662</v>
      </c>
      <c r="C455" s="6">
        <v>5200000</v>
      </c>
      <c r="D455" s="7">
        <v>0.25</v>
      </c>
      <c r="E455" s="7">
        <v>0.1</v>
      </c>
      <c r="F455" s="7">
        <v>0.05</v>
      </c>
      <c r="G455" s="5">
        <v>8</v>
      </c>
      <c r="I455" s="5" t="b">
        <v>1</v>
      </c>
      <c r="J455" s="5" t="b">
        <v>1</v>
      </c>
      <c r="K455" s="5" t="b">
        <v>1</v>
      </c>
    </row>
    <row r="456" spans="1:11">
      <c r="A456" s="5" t="s">
        <v>77</v>
      </c>
      <c r="B456" s="5" t="s">
        <v>663</v>
      </c>
      <c r="C456" s="6">
        <v>8000000</v>
      </c>
      <c r="D456" s="7">
        <v>0.25</v>
      </c>
      <c r="E456" s="7">
        <v>0.1</v>
      </c>
      <c r="F456" s="7">
        <v>0.05</v>
      </c>
      <c r="G456" s="5">
        <v>2</v>
      </c>
      <c r="I456" s="5" t="b">
        <v>1</v>
      </c>
      <c r="J456" s="5" t="b">
        <v>1</v>
      </c>
      <c r="K456" s="5" t="b">
        <v>1</v>
      </c>
    </row>
    <row r="457" spans="1:11">
      <c r="A457" s="5" t="s">
        <v>77</v>
      </c>
      <c r="B457" s="5" t="s">
        <v>665</v>
      </c>
      <c r="C457" s="6">
        <v>7000000</v>
      </c>
      <c r="D457" s="7">
        <v>0.25</v>
      </c>
      <c r="E457" s="7">
        <v>0.1</v>
      </c>
      <c r="F457" s="7">
        <v>0.05</v>
      </c>
      <c r="G457" s="5">
        <v>10</v>
      </c>
      <c r="I457" s="5" t="b">
        <v>1</v>
      </c>
      <c r="J457" s="5" t="b">
        <v>1</v>
      </c>
      <c r="K457" s="5" t="b">
        <v>1</v>
      </c>
    </row>
    <row r="458" spans="1:11">
      <c r="A458" s="5" t="s">
        <v>77</v>
      </c>
      <c r="B458" s="5" t="s">
        <v>666</v>
      </c>
      <c r="C458" s="6">
        <v>685200</v>
      </c>
      <c r="D458" s="7">
        <v>0.25</v>
      </c>
      <c r="E458" s="7">
        <v>0.1</v>
      </c>
      <c r="F458" s="7">
        <v>0.05</v>
      </c>
      <c r="G458" s="5">
        <v>23</v>
      </c>
      <c r="I458" s="5" t="b">
        <v>1</v>
      </c>
      <c r="J458" s="5" t="b">
        <v>1</v>
      </c>
      <c r="K458" s="5" t="b">
        <v>1</v>
      </c>
    </row>
    <row r="459" spans="1:11">
      <c r="A459" s="5" t="s">
        <v>77</v>
      </c>
      <c r="B459" s="5" t="s">
        <v>667</v>
      </c>
      <c r="C459" s="6">
        <v>400000</v>
      </c>
      <c r="D459" s="7">
        <v>0.25</v>
      </c>
      <c r="E459" s="7">
        <v>0.1</v>
      </c>
      <c r="F459" s="7">
        <v>0.05</v>
      </c>
      <c r="G459" s="5">
        <v>1</v>
      </c>
      <c r="I459" s="5" t="b">
        <v>1</v>
      </c>
      <c r="J459" s="5" t="b">
        <v>1</v>
      </c>
      <c r="K459" s="5" t="b">
        <v>1</v>
      </c>
    </row>
    <row r="460" spans="1:11">
      <c r="A460" s="5" t="s">
        <v>77</v>
      </c>
      <c r="B460" s="5" t="s">
        <v>668</v>
      </c>
      <c r="C460" s="6">
        <v>24300000</v>
      </c>
      <c r="D460" s="7">
        <v>0.25</v>
      </c>
      <c r="E460" s="7">
        <v>0.1</v>
      </c>
      <c r="F460" s="7">
        <v>0.05</v>
      </c>
      <c r="G460" s="5">
        <v>510</v>
      </c>
      <c r="I460" s="5" t="b">
        <v>1</v>
      </c>
      <c r="J460" s="5" t="b">
        <v>1</v>
      </c>
      <c r="K460" s="5" t="b">
        <v>1</v>
      </c>
    </row>
    <row r="461" spans="1:11">
      <c r="A461" s="5" t="s">
        <v>77</v>
      </c>
      <c r="B461" s="5" t="s">
        <v>669</v>
      </c>
      <c r="C461" s="6">
        <v>3000000</v>
      </c>
      <c r="D461" s="7">
        <v>0.25</v>
      </c>
      <c r="E461" s="7">
        <v>0.1</v>
      </c>
      <c r="F461" s="7">
        <v>0.05</v>
      </c>
      <c r="G461" s="10">
        <v>8</v>
      </c>
      <c r="I461" s="5" t="b">
        <v>1</v>
      </c>
      <c r="J461" s="5" t="b">
        <v>1</v>
      </c>
      <c r="K461" s="5" t="b">
        <v>1</v>
      </c>
    </row>
    <row r="462" spans="1:11">
      <c r="A462" s="5" t="s">
        <v>77</v>
      </c>
      <c r="B462" s="5" t="s">
        <v>670</v>
      </c>
      <c r="C462" s="6">
        <v>4000000</v>
      </c>
      <c r="D462" s="7">
        <v>0.25</v>
      </c>
      <c r="E462" s="7">
        <v>0.1</v>
      </c>
      <c r="F462" s="7">
        <v>0.05</v>
      </c>
      <c r="G462" s="5">
        <v>15</v>
      </c>
      <c r="I462" s="5" t="b">
        <v>1</v>
      </c>
      <c r="J462" s="5" t="b">
        <v>1</v>
      </c>
      <c r="K462" s="5" t="b">
        <v>1</v>
      </c>
    </row>
    <row r="463" spans="1:11">
      <c r="A463" s="5" t="s">
        <v>77</v>
      </c>
      <c r="B463" s="5" t="s">
        <v>671</v>
      </c>
      <c r="C463" s="6">
        <v>800000</v>
      </c>
      <c r="D463" s="7">
        <v>0.25</v>
      </c>
      <c r="E463" s="7">
        <v>0.1</v>
      </c>
      <c r="F463" s="7">
        <v>0.05</v>
      </c>
      <c r="G463" s="5">
        <v>10</v>
      </c>
      <c r="I463" s="5" t="b">
        <v>1</v>
      </c>
      <c r="J463" s="5" t="b">
        <v>1</v>
      </c>
      <c r="K463" s="5" t="b">
        <v>1</v>
      </c>
    </row>
    <row r="464" spans="1:11">
      <c r="A464" s="5" t="s">
        <v>77</v>
      </c>
      <c r="B464" s="5" t="s">
        <v>672</v>
      </c>
      <c r="C464" s="6">
        <v>800000</v>
      </c>
      <c r="D464" s="7">
        <v>0.25</v>
      </c>
      <c r="E464" s="7">
        <v>0.37</v>
      </c>
      <c r="F464" s="7">
        <v>0.06</v>
      </c>
      <c r="G464" s="5">
        <v>16</v>
      </c>
      <c r="I464" s="5" t="b">
        <v>1</v>
      </c>
      <c r="J464" s="5" t="b">
        <v>1</v>
      </c>
      <c r="K464" s="5" t="b">
        <v>1</v>
      </c>
    </row>
    <row r="465" spans="1:11">
      <c r="A465" s="5" t="s">
        <v>77</v>
      </c>
      <c r="B465" s="5" t="s">
        <v>673</v>
      </c>
      <c r="C465" s="6">
        <v>2500000</v>
      </c>
      <c r="D465" s="7">
        <v>0</v>
      </c>
      <c r="E465" s="7">
        <v>0</v>
      </c>
      <c r="F465" s="7">
        <v>0</v>
      </c>
      <c r="G465" s="5">
        <v>15</v>
      </c>
      <c r="I465" s="5" t="b">
        <v>0</v>
      </c>
      <c r="J465" s="5" t="b">
        <v>0</v>
      </c>
      <c r="K465" s="5" t="b">
        <v>0</v>
      </c>
    </row>
    <row r="466" spans="1:11">
      <c r="A466" s="5" t="s">
        <v>77</v>
      </c>
      <c r="B466" s="5" t="s">
        <v>674</v>
      </c>
      <c r="C466" s="6">
        <v>13700000</v>
      </c>
      <c r="D466" s="7">
        <v>0</v>
      </c>
      <c r="E466" s="7">
        <v>0</v>
      </c>
      <c r="F466" s="7">
        <v>0</v>
      </c>
      <c r="I466" s="5" t="b">
        <v>0</v>
      </c>
      <c r="J466" s="5" t="b">
        <v>0</v>
      </c>
      <c r="K466" s="5" t="b">
        <v>0</v>
      </c>
    </row>
    <row r="467" spans="1:11">
      <c r="A467" s="5" t="s">
        <v>121</v>
      </c>
      <c r="B467" s="5" t="s">
        <v>675</v>
      </c>
      <c r="C467" s="6">
        <v>1500000</v>
      </c>
      <c r="D467" s="7">
        <v>0.25</v>
      </c>
      <c r="E467" s="7">
        <v>0.1</v>
      </c>
      <c r="F467" s="7">
        <v>0.05</v>
      </c>
      <c r="G467" s="5">
        <v>15</v>
      </c>
      <c r="I467" s="5" t="b">
        <v>1</v>
      </c>
      <c r="J467" s="5" t="b">
        <v>1</v>
      </c>
      <c r="K467" s="5" t="b">
        <v>1</v>
      </c>
    </row>
    <row r="468" spans="1:11">
      <c r="A468" s="5" t="s">
        <v>121</v>
      </c>
      <c r="B468" s="5" t="s">
        <v>677</v>
      </c>
      <c r="C468" s="6">
        <v>600000</v>
      </c>
      <c r="D468" s="7">
        <v>0.25</v>
      </c>
      <c r="E468" s="7">
        <v>0.1</v>
      </c>
      <c r="F468" s="7">
        <v>0.05</v>
      </c>
      <c r="G468" s="5">
        <v>2</v>
      </c>
      <c r="I468" s="5" t="b">
        <v>1</v>
      </c>
      <c r="J468" s="5" t="b">
        <v>1</v>
      </c>
      <c r="K468" s="5" t="b">
        <v>1</v>
      </c>
    </row>
    <row r="469" spans="1:11">
      <c r="A469" s="5" t="s">
        <v>121</v>
      </c>
      <c r="B469" s="5" t="s">
        <v>678</v>
      </c>
      <c r="C469" s="6">
        <v>950000</v>
      </c>
      <c r="D469" s="7">
        <v>0.25</v>
      </c>
      <c r="E469" s="7">
        <v>0.1</v>
      </c>
      <c r="F469" s="7">
        <v>0.05</v>
      </c>
      <c r="G469" s="5">
        <v>80</v>
      </c>
      <c r="I469" s="5" t="b">
        <v>1</v>
      </c>
      <c r="J469" s="5" t="b">
        <v>1</v>
      </c>
      <c r="K469" s="5" t="b">
        <v>1</v>
      </c>
    </row>
    <row r="470" spans="1:11">
      <c r="A470" s="5" t="s">
        <v>121</v>
      </c>
      <c r="B470" s="5" t="s">
        <v>679</v>
      </c>
      <c r="C470" s="6">
        <v>400000</v>
      </c>
      <c r="D470" s="7">
        <v>0.25</v>
      </c>
      <c r="E470" s="7">
        <v>0.1</v>
      </c>
      <c r="F470" s="7">
        <v>0.05</v>
      </c>
      <c r="G470" s="5">
        <v>10</v>
      </c>
      <c r="I470" s="5" t="b">
        <v>1</v>
      </c>
      <c r="J470" s="5" t="b">
        <v>1</v>
      </c>
      <c r="K470" s="5" t="b">
        <v>1</v>
      </c>
    </row>
    <row r="471" spans="1:11">
      <c r="A471" s="5" t="s">
        <v>121</v>
      </c>
      <c r="B471" s="5" t="s">
        <v>680</v>
      </c>
      <c r="C471" s="6">
        <v>3000000</v>
      </c>
      <c r="D471" s="7">
        <v>0.25</v>
      </c>
      <c r="E471" s="7">
        <v>0.1</v>
      </c>
      <c r="F471" s="7">
        <v>0.05</v>
      </c>
      <c r="G471" s="5">
        <v>21</v>
      </c>
      <c r="I471" s="5" t="b">
        <v>1</v>
      </c>
      <c r="J471" s="5" t="b">
        <v>1</v>
      </c>
      <c r="K471" s="5" t="b">
        <v>1</v>
      </c>
    </row>
    <row r="472" spans="1:11">
      <c r="A472" s="5" t="s">
        <v>121</v>
      </c>
      <c r="B472" s="5" t="s">
        <v>681</v>
      </c>
      <c r="C472" s="6">
        <v>1040000</v>
      </c>
      <c r="D472" s="7">
        <v>0.25</v>
      </c>
      <c r="E472" s="7">
        <v>0.1</v>
      </c>
      <c r="F472" s="7">
        <v>0.05</v>
      </c>
      <c r="G472" s="5">
        <v>40</v>
      </c>
      <c r="I472" s="5" t="b">
        <v>1</v>
      </c>
      <c r="J472" s="5" t="b">
        <v>1</v>
      </c>
      <c r="K472" s="5" t="b">
        <v>1</v>
      </c>
    </row>
    <row r="473" spans="1:11">
      <c r="A473" s="5" t="s">
        <v>121</v>
      </c>
      <c r="B473" s="5" t="s">
        <v>682</v>
      </c>
      <c r="C473" s="6">
        <v>1440000</v>
      </c>
      <c r="D473" s="7">
        <v>0.25</v>
      </c>
      <c r="E473" s="7">
        <v>0.1</v>
      </c>
      <c r="F473" s="7">
        <v>0.05</v>
      </c>
      <c r="G473" s="5">
        <v>25</v>
      </c>
      <c r="I473" s="5" t="b">
        <v>1</v>
      </c>
      <c r="J473" s="5" t="b">
        <v>1</v>
      </c>
      <c r="K473" s="5" t="b">
        <v>1</v>
      </c>
    </row>
    <row r="474" spans="1:11">
      <c r="A474" s="5" t="s">
        <v>121</v>
      </c>
      <c r="B474" s="5" t="s">
        <v>683</v>
      </c>
      <c r="C474" s="6">
        <v>3120000</v>
      </c>
      <c r="D474" s="7">
        <v>0.25</v>
      </c>
      <c r="E474" s="7">
        <v>0.1</v>
      </c>
      <c r="F474" s="7">
        <v>0.05</v>
      </c>
      <c r="G474" s="5">
        <v>39</v>
      </c>
      <c r="I474" s="5" t="b">
        <v>1</v>
      </c>
      <c r="J474" s="5" t="b">
        <v>1</v>
      </c>
      <c r="K474" s="5" t="b">
        <v>1</v>
      </c>
    </row>
    <row r="475" spans="1:11">
      <c r="A475" s="5" t="s">
        <v>78</v>
      </c>
      <c r="B475" s="5" t="s">
        <v>684</v>
      </c>
      <c r="C475" s="6">
        <v>1000000</v>
      </c>
      <c r="D475" s="7">
        <v>0.2</v>
      </c>
      <c r="E475" s="7">
        <v>0.2</v>
      </c>
      <c r="F475" s="7">
        <v>0.2</v>
      </c>
      <c r="G475" s="5">
        <v>5</v>
      </c>
      <c r="I475" s="5" t="b">
        <v>1</v>
      </c>
      <c r="J475" s="5" t="b">
        <v>1</v>
      </c>
      <c r="K475" s="5" t="b">
        <v>1</v>
      </c>
    </row>
    <row r="476" spans="1:11">
      <c r="A476" s="5" t="s">
        <v>78</v>
      </c>
      <c r="B476" s="5" t="s">
        <v>686</v>
      </c>
      <c r="C476" s="6">
        <v>3500000</v>
      </c>
      <c r="D476" s="7">
        <v>0.25</v>
      </c>
      <c r="E476" s="7">
        <v>0.1</v>
      </c>
      <c r="F476" s="7">
        <v>0.05</v>
      </c>
      <c r="G476" s="5">
        <v>37</v>
      </c>
      <c r="I476" s="5" t="b">
        <v>1</v>
      </c>
      <c r="J476" s="5" t="b">
        <v>1</v>
      </c>
      <c r="K476" s="5" t="b">
        <v>1</v>
      </c>
    </row>
    <row r="477" spans="1:11">
      <c r="A477" s="5" t="s">
        <v>78</v>
      </c>
      <c r="B477" s="5" t="s">
        <v>687</v>
      </c>
      <c r="C477" s="6">
        <v>353008.73</v>
      </c>
      <c r="D477" s="7">
        <v>0.25</v>
      </c>
      <c r="E477" s="7">
        <v>0.1</v>
      </c>
      <c r="F477" s="7">
        <v>0.05</v>
      </c>
      <c r="G477" s="5">
        <v>71</v>
      </c>
      <c r="I477" s="5" t="b">
        <v>1</v>
      </c>
      <c r="J477" s="5" t="b">
        <v>1</v>
      </c>
      <c r="K477" s="5" t="b">
        <v>1</v>
      </c>
    </row>
    <row r="478" spans="1:11">
      <c r="A478" s="5" t="s">
        <v>78</v>
      </c>
      <c r="B478" s="5" t="s">
        <v>688</v>
      </c>
      <c r="C478" s="6">
        <v>600000</v>
      </c>
      <c r="D478" s="7">
        <v>0.25</v>
      </c>
      <c r="E478" s="7">
        <v>0.1</v>
      </c>
      <c r="F478" s="7">
        <v>0.05</v>
      </c>
      <c r="G478" s="5">
        <v>30</v>
      </c>
      <c r="I478" s="5" t="b">
        <v>1</v>
      </c>
      <c r="J478" s="5" t="b">
        <v>1</v>
      </c>
      <c r="K478" s="5" t="b">
        <v>1</v>
      </c>
    </row>
    <row r="479" spans="1:11">
      <c r="A479" s="5" t="s">
        <v>122</v>
      </c>
      <c r="B479" s="9" t="s">
        <v>689</v>
      </c>
      <c r="C479" s="6">
        <v>500000</v>
      </c>
      <c r="D479" s="7">
        <v>0.25</v>
      </c>
      <c r="E479" s="7">
        <v>0.1</v>
      </c>
      <c r="F479" s="7">
        <v>0.05</v>
      </c>
      <c r="I479" s="5" t="b">
        <v>1</v>
      </c>
      <c r="J479" s="5" t="b">
        <v>1</v>
      </c>
      <c r="K479" s="5" t="b">
        <v>1</v>
      </c>
    </row>
    <row r="480" spans="1:11">
      <c r="A480" s="5" t="s">
        <v>122</v>
      </c>
      <c r="B480" s="5" t="s">
        <v>691</v>
      </c>
      <c r="C480" s="6">
        <v>4825000</v>
      </c>
      <c r="D480" s="7">
        <v>0.25</v>
      </c>
      <c r="E480" s="7">
        <v>0.1</v>
      </c>
      <c r="F480" s="7">
        <v>0.05</v>
      </c>
      <c r="G480" s="10">
        <v>86</v>
      </c>
      <c r="I480" s="5" t="b">
        <v>1</v>
      </c>
      <c r="J480" s="5" t="b">
        <v>1</v>
      </c>
      <c r="K480" s="5" t="b">
        <v>1</v>
      </c>
    </row>
    <row r="481" spans="1:11">
      <c r="A481" s="5" t="s">
        <v>122</v>
      </c>
      <c r="B481" s="5" t="s">
        <v>692</v>
      </c>
      <c r="C481" s="6">
        <v>2360000</v>
      </c>
      <c r="D481" s="7">
        <v>0.25</v>
      </c>
      <c r="E481" s="7">
        <v>0.1</v>
      </c>
      <c r="F481" s="7">
        <v>0.05</v>
      </c>
      <c r="G481" s="5">
        <v>77</v>
      </c>
      <c r="I481" s="5" t="b">
        <v>1</v>
      </c>
      <c r="J481" s="5" t="b">
        <v>1</v>
      </c>
      <c r="K481" s="5" t="b">
        <v>1</v>
      </c>
    </row>
    <row r="482" spans="1:11">
      <c r="A482" s="5" t="s">
        <v>122</v>
      </c>
      <c r="B482" s="5" t="s">
        <v>693</v>
      </c>
      <c r="C482" s="6">
        <v>2360000</v>
      </c>
      <c r="D482" s="7">
        <v>0.25</v>
      </c>
      <c r="E482" s="7">
        <v>0.1</v>
      </c>
      <c r="F482" s="7">
        <v>0.05</v>
      </c>
      <c r="G482" s="5">
        <v>77</v>
      </c>
      <c r="I482" s="5" t="b">
        <v>1</v>
      </c>
      <c r="J482" s="5" t="b">
        <v>1</v>
      </c>
      <c r="K482" s="5" t="b">
        <v>1</v>
      </c>
    </row>
    <row r="483" spans="1:11">
      <c r="A483" s="5" t="s">
        <v>122</v>
      </c>
      <c r="B483" s="5" t="s">
        <v>694</v>
      </c>
      <c r="C483" s="6">
        <v>2360000</v>
      </c>
      <c r="D483" s="7">
        <v>0.25</v>
      </c>
      <c r="E483" s="7">
        <v>0.1</v>
      </c>
      <c r="F483" s="7">
        <v>0.05</v>
      </c>
      <c r="G483" s="5">
        <v>77</v>
      </c>
      <c r="I483" s="5" t="b">
        <v>1</v>
      </c>
      <c r="J483" s="5" t="b">
        <v>1</v>
      </c>
      <c r="K483" s="5" t="b">
        <v>1</v>
      </c>
    </row>
    <row r="484" spans="1:11">
      <c r="A484" s="5" t="s">
        <v>122</v>
      </c>
      <c r="B484" s="5" t="s">
        <v>695</v>
      </c>
      <c r="C484" s="6">
        <v>3570000</v>
      </c>
      <c r="D484" s="7">
        <v>0.25</v>
      </c>
      <c r="E484" s="7">
        <v>0.1</v>
      </c>
      <c r="F484" s="7">
        <v>0.05</v>
      </c>
      <c r="G484" s="5">
        <v>22</v>
      </c>
      <c r="I484" s="5" t="b">
        <v>1</v>
      </c>
      <c r="J484" s="5" t="b">
        <v>1</v>
      </c>
      <c r="K484" s="5" t="b">
        <v>1</v>
      </c>
    </row>
    <row r="485" spans="1:11">
      <c r="A485" s="5" t="s">
        <v>122</v>
      </c>
      <c r="B485" s="5" t="s">
        <v>751</v>
      </c>
      <c r="C485" s="6">
        <v>1125000</v>
      </c>
      <c r="D485" s="7">
        <v>0.25</v>
      </c>
      <c r="E485" s="7">
        <v>0</v>
      </c>
      <c r="F485" s="7">
        <v>0.05</v>
      </c>
      <c r="G485" s="5">
        <v>70</v>
      </c>
      <c r="I485" s="5" t="b">
        <v>1</v>
      </c>
      <c r="J485" s="5" t="b">
        <v>1</v>
      </c>
      <c r="K485" s="5" t="b">
        <v>1</v>
      </c>
    </row>
    <row r="486" spans="1:11">
      <c r="A486" s="5" t="s">
        <v>122</v>
      </c>
      <c r="B486" s="5" t="s">
        <v>697</v>
      </c>
      <c r="C486" s="12">
        <v>600000</v>
      </c>
      <c r="D486" s="7">
        <v>0</v>
      </c>
      <c r="E486" s="7">
        <v>1</v>
      </c>
      <c r="F486" s="7">
        <v>0.05</v>
      </c>
      <c r="G486" s="5">
        <v>40</v>
      </c>
      <c r="H486" s="5" t="s">
        <v>168</v>
      </c>
      <c r="I486" s="5" t="b">
        <v>1</v>
      </c>
      <c r="J486" s="5" t="b">
        <v>1</v>
      </c>
      <c r="K486" s="5" t="b">
        <v>1</v>
      </c>
    </row>
    <row r="487" spans="1:11">
      <c r="A487" s="5" t="s">
        <v>122</v>
      </c>
      <c r="B487" s="5" t="s">
        <v>698</v>
      </c>
      <c r="C487" s="6">
        <v>600000</v>
      </c>
      <c r="D487" s="7">
        <v>0</v>
      </c>
      <c r="E487" s="7">
        <v>0</v>
      </c>
      <c r="F487" s="7">
        <v>0.05</v>
      </c>
      <c r="G487" s="5">
        <v>40</v>
      </c>
      <c r="I487" s="5" t="b">
        <v>1</v>
      </c>
      <c r="J487" s="5" t="b">
        <v>1</v>
      </c>
      <c r="K487" s="5" t="b">
        <v>1</v>
      </c>
    </row>
    <row r="488" spans="1:11">
      <c r="A488" s="5" t="s">
        <v>122</v>
      </c>
      <c r="B488" s="5" t="s">
        <v>699</v>
      </c>
      <c r="C488" s="6">
        <v>4000000</v>
      </c>
      <c r="D488" s="7">
        <v>0.25</v>
      </c>
      <c r="E488" s="7">
        <v>0.1</v>
      </c>
      <c r="F488" s="7">
        <v>0.05</v>
      </c>
      <c r="G488" s="5">
        <v>50</v>
      </c>
      <c r="I488" s="5" t="b">
        <v>1</v>
      </c>
      <c r="J488" s="5" t="b">
        <v>1</v>
      </c>
      <c r="K488" s="5" t="b">
        <v>1</v>
      </c>
    </row>
    <row r="489" spans="1:11">
      <c r="A489" s="5" t="s">
        <v>122</v>
      </c>
      <c r="B489" s="5" t="s">
        <v>700</v>
      </c>
      <c r="C489" s="6">
        <v>1230000</v>
      </c>
      <c r="D489" s="7">
        <v>0.25</v>
      </c>
      <c r="E489" s="7">
        <v>0.1</v>
      </c>
      <c r="F489" s="7">
        <v>0.05</v>
      </c>
      <c r="G489" s="5">
        <v>35</v>
      </c>
      <c r="I489" s="5" t="b">
        <v>1</v>
      </c>
      <c r="J489" s="5" t="b">
        <v>1</v>
      </c>
      <c r="K489" s="5" t="b">
        <v>1</v>
      </c>
    </row>
    <row r="490" spans="1:11">
      <c r="A490" s="5" t="s">
        <v>122</v>
      </c>
      <c r="B490" s="5" t="s">
        <v>701</v>
      </c>
      <c r="C490" s="6">
        <v>780000</v>
      </c>
      <c r="D490" s="7">
        <v>0.25</v>
      </c>
      <c r="E490" s="7">
        <v>0.1</v>
      </c>
      <c r="F490" s="7">
        <v>0.05</v>
      </c>
      <c r="G490" s="5">
        <v>6</v>
      </c>
      <c r="I490" s="5" t="b">
        <v>1</v>
      </c>
      <c r="J490" s="5" t="b">
        <v>1</v>
      </c>
      <c r="K490" s="5" t="b">
        <v>1</v>
      </c>
    </row>
    <row r="491" spans="1:11">
      <c r="A491" s="5" t="s">
        <v>122</v>
      </c>
      <c r="B491" s="5" t="s">
        <v>702</v>
      </c>
      <c r="C491" s="6">
        <v>360000</v>
      </c>
      <c r="D491" s="7">
        <v>0</v>
      </c>
      <c r="E491" s="7">
        <v>0</v>
      </c>
      <c r="F491" s="7">
        <v>0</v>
      </c>
      <c r="G491" s="5">
        <v>1</v>
      </c>
      <c r="I491" s="5" t="b">
        <v>1</v>
      </c>
      <c r="J491" s="5" t="b">
        <v>1</v>
      </c>
      <c r="K491" s="5" t="b">
        <v>1</v>
      </c>
    </row>
    <row r="492" spans="1:11">
      <c r="A492" s="5" t="s">
        <v>79</v>
      </c>
      <c r="B492" s="5" t="s">
        <v>703</v>
      </c>
      <c r="C492" s="6">
        <v>600000</v>
      </c>
      <c r="D492" s="7">
        <v>0.25</v>
      </c>
      <c r="E492" s="7">
        <v>0.1</v>
      </c>
      <c r="F492" s="7">
        <v>0.05</v>
      </c>
      <c r="G492" s="5">
        <v>50</v>
      </c>
      <c r="I492" s="5" t="b">
        <v>1</v>
      </c>
      <c r="J492" s="5" t="b">
        <v>1</v>
      </c>
      <c r="K492" s="5" t="b">
        <v>1</v>
      </c>
    </row>
    <row r="493" spans="1:11">
      <c r="A493" s="5" t="s">
        <v>79</v>
      </c>
      <c r="B493" s="5" t="s">
        <v>705</v>
      </c>
      <c r="C493" s="6">
        <v>610558.69999999995</v>
      </c>
      <c r="D493" s="7">
        <v>0.25</v>
      </c>
      <c r="E493" s="7">
        <v>0.1</v>
      </c>
      <c r="F493" s="7">
        <v>0.05</v>
      </c>
      <c r="G493" s="5">
        <v>21</v>
      </c>
      <c r="I493" s="5" t="b">
        <v>1</v>
      </c>
      <c r="J493" s="5" t="b">
        <v>1</v>
      </c>
      <c r="K493" s="5" t="b">
        <v>1</v>
      </c>
    </row>
    <row r="494" spans="1:11">
      <c r="A494" s="5" t="s">
        <v>79</v>
      </c>
      <c r="B494" s="5" t="s">
        <v>706</v>
      </c>
      <c r="C494" s="6">
        <v>200000</v>
      </c>
      <c r="D494" s="7">
        <v>0.25</v>
      </c>
      <c r="E494" s="7">
        <v>0.1</v>
      </c>
      <c r="F494" s="7">
        <v>0.05</v>
      </c>
      <c r="G494" s="5">
        <v>6</v>
      </c>
      <c r="I494" s="5" t="b">
        <v>1</v>
      </c>
      <c r="J494" s="5" t="b">
        <v>1</v>
      </c>
      <c r="K494" s="5" t="b">
        <v>1</v>
      </c>
    </row>
    <row r="495" spans="1:11">
      <c r="A495" s="5" t="s">
        <v>79</v>
      </c>
      <c r="B495" s="5" t="s">
        <v>707</v>
      </c>
      <c r="C495" s="6">
        <v>210000</v>
      </c>
      <c r="D495" s="7">
        <v>0.25</v>
      </c>
      <c r="E495" s="7">
        <v>0.1</v>
      </c>
      <c r="F495" s="7">
        <v>0.05</v>
      </c>
      <c r="G495" s="5">
        <v>18</v>
      </c>
      <c r="I495" s="5" t="b">
        <v>1</v>
      </c>
      <c r="J495" s="5" t="b">
        <v>1</v>
      </c>
      <c r="K495" s="5" t="b">
        <v>1</v>
      </c>
    </row>
    <row r="496" spans="1:11">
      <c r="A496" s="5" t="s">
        <v>79</v>
      </c>
      <c r="B496" s="5" t="s">
        <v>708</v>
      </c>
      <c r="C496" s="6">
        <v>420000</v>
      </c>
      <c r="D496" s="7">
        <v>0.25</v>
      </c>
      <c r="E496" s="7">
        <v>0.1</v>
      </c>
      <c r="F496" s="7">
        <v>0</v>
      </c>
      <c r="G496" s="5">
        <v>7</v>
      </c>
      <c r="I496" s="5" t="b">
        <v>1</v>
      </c>
      <c r="J496" s="5" t="b">
        <v>1</v>
      </c>
      <c r="K496" s="5" t="b">
        <v>1</v>
      </c>
    </row>
    <row r="497" spans="1:11">
      <c r="A497" s="5" t="s">
        <v>79</v>
      </c>
      <c r="B497" s="5" t="s">
        <v>709</v>
      </c>
      <c r="C497" s="6">
        <v>300000</v>
      </c>
      <c r="D497" s="7">
        <v>0</v>
      </c>
      <c r="E497" s="7">
        <v>0</v>
      </c>
      <c r="F497" s="7">
        <v>0</v>
      </c>
      <c r="G497" s="5">
        <v>4</v>
      </c>
      <c r="I497" s="5" t="b">
        <v>0</v>
      </c>
      <c r="J497" s="5" t="b">
        <v>0</v>
      </c>
      <c r="K497" s="5" t="b">
        <v>0</v>
      </c>
    </row>
    <row r="498" spans="1:11"/>
    <row r="499" spans="1:11"/>
    <row r="500" spans="1:11"/>
    <row r="501" spans="1:11"/>
    <row r="502" spans="1:11"/>
    <row r="503" spans="1:11"/>
    <row r="504" spans="1:11"/>
    <row r="505" spans="1:11"/>
    <row r="506" spans="1:11"/>
    <row r="507" spans="1:11"/>
    <row r="508" spans="1:11"/>
    <row r="509" spans="1:11"/>
    <row r="510" spans="1:11"/>
    <row r="511" spans="1:11"/>
    <row r="512" spans="1:11"/>
    <row r="513" spans="2:8"/>
    <row r="514" spans="2:8"/>
    <row r="515" spans="2:8"/>
    <row r="516" spans="2:8"/>
    <row r="521" spans="2:8">
      <c r="B521" s="11"/>
      <c r="D521" s="8"/>
      <c r="E521" s="8"/>
      <c r="F521" s="8"/>
      <c r="H521" s="13"/>
    </row>
    <row r="522" spans="2:8">
      <c r="B522" s="11"/>
      <c r="D522" s="8"/>
      <c r="E522" s="8"/>
      <c r="F522" s="8"/>
      <c r="H522" s="13"/>
    </row>
    <row r="523" spans="2:8">
      <c r="B523" s="11"/>
      <c r="D523" s="8"/>
      <c r="E523" s="8"/>
      <c r="F523" s="8"/>
      <c r="H523" s="13"/>
    </row>
    <row r="524" spans="2:8">
      <c r="B524" s="11"/>
      <c r="D524" s="8"/>
      <c r="E524" s="8"/>
      <c r="F524" s="8"/>
      <c r="H524" s="13"/>
    </row>
  </sheetData>
  <phoneticPr fontId="4" type="noConversion"/>
  <conditionalFormatting sqref="B1:B1048576">
    <cfRule type="duplicateValues" dxfId="0" priority="1"/>
  </conditionalFormatting>
  <hyperlinks>
    <hyperlink ref="B248" r:id="rId1" display="2024-01_PARANÁ_FOMENTO.pdf" xr:uid="{0579FFF2-7DBE-4200-99D1-A8CF1E4EF7C6}"/>
    <hyperlink ref="B249" r:id="rId2" display="2025-01_PARANÁ_FOMENTO.pdf" xr:uid="{B6692043-1F07-40A6-9DFE-CD14E1F4373B}"/>
    <hyperlink ref="B260" r:id="rId3" display="2024-34_TOCANTINS_BOLSA.pdf" xr:uid="{4F34D19A-F87B-4D4D-A5AB-64D5E89B21B5}"/>
    <hyperlink ref="B479" r:id="rId4" xr:uid="{EE65B91D-4CEB-456B-9A4C-D8A9742CAA4F}"/>
    <hyperlink ref="B317" r:id="rId5" xr:uid="{4F26B324-6392-430B-AE30-22EE700A2F24}"/>
    <hyperlink ref="B319" r:id="rId6" xr:uid="{42DCC017-50EE-4EB3-8D81-BA8AD831B1DC}"/>
  </hyperlinks>
  <pageMargins left="0.75" right="0.75" top="1" bottom="1" header="0.5" footer="0.5"/>
  <legacyDrawing r:id="rId7"/>
  <tableParts count="1">
    <tablePart r:id="rId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9C8B-A410-42A4-8723-F15DC1D1305F}">
  <dimension ref="A2:J26"/>
  <sheetViews>
    <sheetView topLeftCell="A5" workbookViewId="0">
      <selection activeCell="C13" sqref="C13"/>
    </sheetView>
  </sheetViews>
  <sheetFormatPr defaultColWidth="8.81640625" defaultRowHeight="14.5"/>
  <cols>
    <col min="1" max="1" width="17.81640625" customWidth="1"/>
    <col min="2" max="2" width="18.81640625" customWidth="1"/>
    <col min="3" max="3" width="22.453125" customWidth="1"/>
    <col min="4" max="4" width="17.453125" customWidth="1"/>
    <col min="5" max="5" width="21.453125" customWidth="1"/>
    <col min="6" max="6" width="19.453125" customWidth="1"/>
    <col min="7" max="7" width="23.1796875" customWidth="1"/>
    <col min="8" max="8" width="11.453125" customWidth="1"/>
    <col min="9" max="9" width="10.453125" customWidth="1"/>
    <col min="10" max="10" width="12.453125" customWidth="1"/>
  </cols>
  <sheetData>
    <row r="2" spans="1:10">
      <c r="A2" t="s">
        <v>756</v>
      </c>
      <c r="B2" t="s">
        <v>757</v>
      </c>
      <c r="C2" t="s">
        <v>758</v>
      </c>
      <c r="D2" t="s">
        <v>759</v>
      </c>
      <c r="E2" t="s">
        <v>760</v>
      </c>
      <c r="F2" t="s">
        <v>761</v>
      </c>
      <c r="G2" t="s">
        <v>762</v>
      </c>
      <c r="H2" t="s">
        <v>763</v>
      </c>
      <c r="I2" t="s">
        <v>764</v>
      </c>
      <c r="J2" t="s">
        <v>135</v>
      </c>
    </row>
    <row r="3" spans="1:10">
      <c r="A3" t="s">
        <v>765</v>
      </c>
      <c r="B3">
        <v>349</v>
      </c>
      <c r="C3" s="20">
        <v>1353882736.3</v>
      </c>
      <c r="D3" s="21">
        <v>25973</v>
      </c>
      <c r="E3" s="20">
        <v>353801832.44</v>
      </c>
      <c r="F3" s="20">
        <v>150043152.55000001</v>
      </c>
      <c r="G3" s="20">
        <v>79943249.920000002</v>
      </c>
      <c r="H3">
        <v>6749</v>
      </c>
      <c r="I3">
        <v>3163</v>
      </c>
      <c r="J3">
        <v>1531</v>
      </c>
    </row>
    <row r="4" spans="1:10">
      <c r="A4" t="s">
        <v>766</v>
      </c>
      <c r="B4">
        <v>147</v>
      </c>
      <c r="C4" s="20">
        <v>269745442.81</v>
      </c>
      <c r="D4" s="21">
        <v>6470</v>
      </c>
      <c r="E4" s="20">
        <v>62972194.560000002</v>
      </c>
      <c r="F4" s="20">
        <v>25798306.397</v>
      </c>
      <c r="G4" s="20">
        <v>12395782.15</v>
      </c>
      <c r="H4">
        <v>1659</v>
      </c>
      <c r="I4">
        <v>701</v>
      </c>
      <c r="J4">
        <v>365</v>
      </c>
    </row>
    <row r="5" spans="1:10">
      <c r="A5" t="s">
        <v>767</v>
      </c>
      <c r="B5">
        <f>SUM(B3:B4)</f>
        <v>496</v>
      </c>
      <c r="C5" s="20">
        <f t="shared" ref="C5:J5" si="0">SUM(C3:C4)</f>
        <v>1623628179.1099999</v>
      </c>
      <c r="D5" s="21">
        <f>SUM(D3:D4)</f>
        <v>32443</v>
      </c>
      <c r="E5" s="20">
        <f t="shared" si="0"/>
        <v>416774027</v>
      </c>
      <c r="F5" s="20">
        <f t="shared" si="0"/>
        <v>175841458.94700003</v>
      </c>
      <c r="G5" s="20">
        <f t="shared" si="0"/>
        <v>92339032.070000008</v>
      </c>
      <c r="H5">
        <f t="shared" si="0"/>
        <v>8408</v>
      </c>
      <c r="I5">
        <f t="shared" si="0"/>
        <v>3864</v>
      </c>
      <c r="J5">
        <f t="shared" si="0"/>
        <v>1896</v>
      </c>
    </row>
    <row r="9" spans="1:10">
      <c r="A9" t="s">
        <v>768</v>
      </c>
      <c r="B9" t="s">
        <v>769</v>
      </c>
      <c r="C9" t="s">
        <v>770</v>
      </c>
      <c r="D9" t="s">
        <v>771</v>
      </c>
      <c r="E9" t="s">
        <v>760</v>
      </c>
      <c r="F9" t="s">
        <v>761</v>
      </c>
      <c r="G9" t="s">
        <v>762</v>
      </c>
      <c r="H9" t="s">
        <v>763</v>
      </c>
      <c r="I9" t="s">
        <v>764</v>
      </c>
      <c r="J9" t="s">
        <v>135</v>
      </c>
    </row>
    <row r="10" spans="1:10">
      <c r="A10" t="s">
        <v>765</v>
      </c>
      <c r="B10">
        <v>3</v>
      </c>
      <c r="C10">
        <v>5</v>
      </c>
      <c r="D10">
        <v>1</v>
      </c>
      <c r="E10" s="20">
        <v>3033000</v>
      </c>
      <c r="F10" s="20">
        <v>4673000</v>
      </c>
      <c r="G10" s="20">
        <v>100000</v>
      </c>
      <c r="H10">
        <v>104</v>
      </c>
      <c r="I10">
        <v>237</v>
      </c>
      <c r="J10">
        <v>20</v>
      </c>
    </row>
    <row r="11" spans="1:10">
      <c r="A11" t="s">
        <v>766</v>
      </c>
      <c r="B11">
        <v>1</v>
      </c>
      <c r="C11">
        <v>1</v>
      </c>
      <c r="D11">
        <v>1</v>
      </c>
      <c r="E11" s="20">
        <v>240000</v>
      </c>
      <c r="F11" s="20">
        <v>220000</v>
      </c>
      <c r="G11" s="20">
        <v>350272</v>
      </c>
      <c r="H11">
        <v>100</v>
      </c>
      <c r="I11">
        <v>22</v>
      </c>
      <c r="J11">
        <v>26</v>
      </c>
    </row>
    <row r="12" spans="1:10">
      <c r="A12" t="s">
        <v>767</v>
      </c>
      <c r="B12">
        <f t="shared" ref="B12:J12" si="1">SUM(B10:B11)</f>
        <v>4</v>
      </c>
      <c r="C12">
        <f t="shared" si="1"/>
        <v>6</v>
      </c>
      <c r="D12">
        <f t="shared" si="1"/>
        <v>2</v>
      </c>
      <c r="E12" s="20">
        <f t="shared" si="1"/>
        <v>3273000</v>
      </c>
      <c r="F12" s="20">
        <f t="shared" si="1"/>
        <v>4893000</v>
      </c>
      <c r="G12" s="20">
        <f t="shared" si="1"/>
        <v>450272</v>
      </c>
      <c r="H12">
        <f t="shared" si="1"/>
        <v>204</v>
      </c>
      <c r="I12">
        <f t="shared" si="1"/>
        <v>259</v>
      </c>
      <c r="J12">
        <f t="shared" si="1"/>
        <v>46</v>
      </c>
    </row>
    <row r="16" spans="1:10">
      <c r="A16" t="s">
        <v>772</v>
      </c>
      <c r="B16" t="s">
        <v>773</v>
      </c>
      <c r="C16" t="s">
        <v>774</v>
      </c>
      <c r="D16" t="s">
        <v>775</v>
      </c>
      <c r="E16" t="s">
        <v>776</v>
      </c>
      <c r="F16" t="s">
        <v>777</v>
      </c>
      <c r="G16" t="s">
        <v>778</v>
      </c>
    </row>
    <row r="17" spans="1:9">
      <c r="A17" t="s">
        <v>765</v>
      </c>
      <c r="C17">
        <v>13</v>
      </c>
      <c r="E17">
        <v>8</v>
      </c>
      <c r="G17">
        <v>12</v>
      </c>
    </row>
    <row r="18" spans="1:9">
      <c r="A18" t="s">
        <v>766</v>
      </c>
      <c r="C18">
        <v>4</v>
      </c>
      <c r="E18">
        <v>3</v>
      </c>
      <c r="G18">
        <v>5</v>
      </c>
    </row>
    <row r="19" spans="1:9">
      <c r="A19" t="s">
        <v>767</v>
      </c>
      <c r="C19">
        <f>SUM(C17:C18)</f>
        <v>17</v>
      </c>
      <c r="E19">
        <f>SUM(E17:E18)</f>
        <v>11</v>
      </c>
      <c r="G19">
        <f>SUM(G17:G18)</f>
        <v>17</v>
      </c>
    </row>
    <row r="21" spans="1:9">
      <c r="A21" t="s">
        <v>779</v>
      </c>
      <c r="B21" t="s">
        <v>780</v>
      </c>
      <c r="C21" t="s">
        <v>781</v>
      </c>
      <c r="D21" t="s">
        <v>782</v>
      </c>
      <c r="E21" t="s">
        <v>783</v>
      </c>
      <c r="F21" t="s">
        <v>784</v>
      </c>
      <c r="G21" t="s">
        <v>785</v>
      </c>
      <c r="I21" s="22" t="s">
        <v>786</v>
      </c>
    </row>
    <row r="22" spans="1:9">
      <c r="A22" t="s">
        <v>765</v>
      </c>
      <c r="B22">
        <v>65</v>
      </c>
      <c r="C22">
        <v>9</v>
      </c>
      <c r="D22">
        <v>2</v>
      </c>
      <c r="E22">
        <v>10</v>
      </c>
      <c r="F22">
        <v>14</v>
      </c>
      <c r="G22" t="e">
        <f>SUM(#REF!)</f>
        <v>#REF!</v>
      </c>
    </row>
    <row r="23" spans="1:9">
      <c r="A23" t="s">
        <v>766</v>
      </c>
      <c r="B23">
        <v>59</v>
      </c>
      <c r="C23">
        <v>6</v>
      </c>
      <c r="D23">
        <v>1</v>
      </c>
      <c r="E23">
        <v>3</v>
      </c>
      <c r="F23">
        <v>31</v>
      </c>
    </row>
    <row r="26" spans="1:9">
      <c r="A26" t="s">
        <v>787</v>
      </c>
      <c r="B26" t="s">
        <v>788</v>
      </c>
      <c r="C26" t="s">
        <v>789</v>
      </c>
      <c r="D26" t="s">
        <v>790</v>
      </c>
      <c r="E26" t="s">
        <v>791</v>
      </c>
    </row>
  </sheetData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2f7edf-a669-4f2d-9905-ee978296cb5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3F5B12A541C04CA7F7F81C07B79015" ma:contentTypeVersion="11" ma:contentTypeDescription="Crie um novo documento." ma:contentTypeScope="" ma:versionID="534365c2984f76f6908128122d422a31">
  <xsd:schema xmlns:xsd="http://www.w3.org/2001/XMLSchema" xmlns:xs="http://www.w3.org/2001/XMLSchema" xmlns:p="http://schemas.microsoft.com/office/2006/metadata/properties" xmlns:ns3="c22f7edf-a669-4f2d-9905-ee978296cb58" targetNamespace="http://schemas.microsoft.com/office/2006/metadata/properties" ma:root="true" ma:fieldsID="a2664fb2948ecca941466c81d9fee729" ns3:_="">
    <xsd:import namespace="c22f7edf-a669-4f2d-9905-ee978296cb5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2f7edf-a669-4f2d-9905-ee978296cb5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D91F6B-B47D-4FEA-8A8E-CF48DA6B15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6F245E-9D45-474D-9056-B5BABE909C9F}">
  <ds:schemaRefs>
    <ds:schemaRef ds:uri="http://schemas.microsoft.com/office/2006/metadata/properties"/>
    <ds:schemaRef ds:uri="http://schemas.microsoft.com/office/infopath/2007/PartnerControls"/>
    <ds:schemaRef ds:uri="c22f7edf-a669-4f2d-9905-ee978296cb58"/>
  </ds:schemaRefs>
</ds:datastoreItem>
</file>

<file path=customXml/itemProps3.xml><?xml version="1.0" encoding="utf-8"?>
<ds:datastoreItem xmlns:ds="http://schemas.openxmlformats.org/officeDocument/2006/customXml" ds:itemID="{9344FD2E-253D-4DD2-8D07-31EC26A9E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2f7edf-a669-4f2d-9905-ee978296c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td_específicos</vt:lpstr>
      <vt:lpstr>td_editais</vt:lpstr>
      <vt:lpstr>td_editais_capitais</vt:lpstr>
      <vt:lpstr>td_editais_estados</vt:lpstr>
      <vt:lpstr>agg_cotas_geral</vt:lpstr>
      <vt:lpstr>agg_capitais</vt:lpstr>
      <vt:lpstr>agg_capitais_negras</vt:lpstr>
      <vt:lpstr>agg_capitais_indígenas</vt:lpstr>
      <vt:lpstr>agg_capitais_PCD</vt:lpstr>
      <vt:lpstr>agg_estados</vt:lpstr>
      <vt:lpstr>agg_estados_negras</vt:lpstr>
      <vt:lpstr>agg_estados_indígena</vt:lpstr>
      <vt:lpstr>agg_estados_pcd</vt:lpstr>
      <vt:lpstr>base_dados_09_01_26_completa</vt:lpstr>
      <vt:lpstr>base_dados_09-01-26 - resumida</vt:lpstr>
      <vt:lpstr>CONFERÊNCIA DE CONFORMIDADE</vt:lpstr>
      <vt:lpstr>Tabelas_12_01_2026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Juliana</cp:lastModifiedBy>
  <cp:revision/>
  <dcterms:created xsi:type="dcterms:W3CDTF">2026-01-08T21:51:08Z</dcterms:created>
  <dcterms:modified xsi:type="dcterms:W3CDTF">2026-02-03T19:17:51Z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0x010100CB3F5B12A541C04CA7F7F81C07B79015</vt:lpwstr>
  </property>
</Properties>
</file>