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processed\"/>
    </mc:Choice>
  </mc:AlternateContent>
  <xr:revisionPtr revIDLastSave="0" documentId="13_ncr:1_{28CDD01D-36F5-41EB-9EF9-A5A2B879DD7A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QUADRO GERAL " sheetId="3" r:id="rId1"/>
    <sheet name="PARECER" sheetId="6" r:id="rId2"/>
    <sheet name="Resultado Final" sheetId="5" r:id="rId3"/>
  </sheets>
  <definedNames>
    <definedName name="_xlnm._FilterDatabase" localSheetId="1" hidden="1">PARECER!$A$1:$A$68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6" l="1"/>
  <c r="N52" i="6"/>
  <c r="M52" i="6"/>
  <c r="K52" i="6"/>
  <c r="J52" i="6"/>
  <c r="I52" i="6"/>
  <c r="B29" i="3"/>
  <c r="B22" i="3"/>
  <c r="B16" i="3"/>
  <c r="B9" i="3"/>
</calcChain>
</file>

<file path=xl/sharedStrings.xml><?xml version="1.0" encoding="utf-8"?>
<sst xmlns="http://schemas.openxmlformats.org/spreadsheetml/2006/main" count="2421" uniqueCount="800">
  <si>
    <t>QUADRO GERAL -  ESTADOS/DF (27 ENTES) - POR TIPO DE COTA</t>
  </si>
  <si>
    <t>NÚMERO DE DESCUMPRIMENTOS</t>
  </si>
  <si>
    <t>% DE DESCUMPRIMENTO</t>
  </si>
  <si>
    <t>COTA PESSOAS NEGRAS</t>
  </si>
  <si>
    <t>COTA PESSOAS INDÍGENAS</t>
  </si>
  <si>
    <t>COTA PESSOAS COM DEFICIÊNCIA</t>
  </si>
  <si>
    <t>TOTAL</t>
  </si>
  <si>
    <t>QUADRO GERAL - CAPITAIS (26 ENTES) - POR TIPO DE COTA</t>
  </si>
  <si>
    <t>QUADRO GERAL - TOTAL ESTADOS/DF/CAPITAIS - POR TIPO DE COTA</t>
  </si>
  <si>
    <t>TOTAL GERAL</t>
  </si>
  <si>
    <t>QUADRO GERAL - EDITAIS</t>
  </si>
  <si>
    <t>EDITAIS ESTADOS</t>
  </si>
  <si>
    <t>EDITAIS CAPITAIS</t>
  </si>
  <si>
    <t>Amostra: 498 editais</t>
  </si>
  <si>
    <t>DÉFICIT (VAGAS)</t>
  </si>
  <si>
    <t>DÉFICIT (VALOR)</t>
  </si>
  <si>
    <t>Nº PARECER</t>
  </si>
  <si>
    <t>ENTE EM DESCUMPRIMENTO</t>
  </si>
  <si>
    <t>EDITAL DE REFERÊNCIA</t>
  </si>
  <si>
    <t>COTA EM DESCUMPRIMENTO</t>
  </si>
  <si>
    <t>PORCENTAGEM APLICADA</t>
  </si>
  <si>
    <t>PARECER</t>
  </si>
  <si>
    <t>DEMAIS VAGAS</t>
  </si>
  <si>
    <t>OUTRAS OBSERVAÇÕES</t>
  </si>
  <si>
    <t>PESSOAS NEGRAS</t>
  </si>
  <si>
    <t>PESSOAS INDÍGENAS</t>
  </si>
  <si>
    <t>PESSOAS COM DEFICIÊNCIA</t>
  </si>
  <si>
    <t>1.2</t>
  </si>
  <si>
    <t>ALAGOAS</t>
  </si>
  <si>
    <t>2024-07_ALAGOAS_FOMENTO.pdf</t>
  </si>
  <si>
    <t>PESSOAS INDÍGENAS (REF. 10%)</t>
  </si>
  <si>
    <t xml:space="preserve">De um total de 39 vagas, o item 2.2 informa a reserva de 03 vagas (08%) para o segmento. Observa-se, portanto, um possível déficit de 01 vaga (3%), o que no valor ofertado por vaga, tomando por base a categoria de menor valor, configura no mínimo menos R$10.000,00 em recursos que poderiam ser destinados ao segmento. </t>
  </si>
  <si>
    <t xml:space="preserve">Cotas para pessoas negras e para pessoas com deficiência em acordo, respectivamente: 10 vagas, 25%; 02 vagas, 05%. Ampla concorrência: 24 vagas, 62%. </t>
  </si>
  <si>
    <t>1.3</t>
  </si>
  <si>
    <t>2024-21_ALAGOAS_FOMENTO.pdf</t>
  </si>
  <si>
    <t>PESSOAS NEGRAS (REF. 25%)</t>
  </si>
  <si>
    <t xml:space="preserve">De um total de 83 vagas, o item 2.2 informa a reserva de apenas 20 vagas (24%) para o segmento. Observa-se, portanto, um possível déficit de 01 vaga (1%), o que no valor ofertado por vaga, tomando por base a categoria de menor valor, configura no mínimo menos R$7.500,00 em recursos que poderiam ser destinados ao segmento. </t>
  </si>
  <si>
    <t>Cotas para pessoas indígenas e pessoas com deficiência  acima (09 vagas, 11%), cotas pessoas com deficiência (08 vagas, 10%) e ampla (46 vagas, 57%)</t>
  </si>
  <si>
    <t>1.4</t>
  </si>
  <si>
    <t>2024-24_ALAGOAS_FOMENTO.pdf</t>
  </si>
  <si>
    <t xml:space="preserve"> PESSOAS COM DEFICIÊNCIA (REF. 05%)</t>
  </si>
  <si>
    <t xml:space="preserve">De um total de 165 vagas, o item 2.4  informa a reserva de apenas 07 vagas (4%) para o segmento. Observa-se, portanto, um possível déficit de 01 vaga (1%), o que no valor ofertado por vaga, tomando por base a categoria de menor valor, configura no mínimo menos R$5.000,00 em recursos que poderiam ser destinados ao segmento. </t>
  </si>
  <si>
    <t>Cotas para pessoas negras (41 vagas, 25%), cotas pessoas indígenas (16 vagas, 10%) e ampla (101 vagas, 61%)</t>
  </si>
  <si>
    <t>1.5</t>
  </si>
  <si>
    <t>AMAZONAS</t>
  </si>
  <si>
    <t>2024-05_AMAZONAS_FOMENTO.pdf</t>
  </si>
  <si>
    <t xml:space="preserve">De um total de 42 vagas, o capítulo IV  "Das Cotas" informa incorretamente como 25% a representação de cotas para pessoas negras, pois o edital oferece apenas 08 vagas (19%) para o segmento. Observa-se, portanto, um possível déficit de 02 vagas (5%), o que no valor ofertado por vaga, tomando por base a categoria de menor valor, configura no mínimo menos R$50.000,00 em recursos que poderiam ser destinados ao segmento. </t>
  </si>
  <si>
    <t>As demais categorias obrigatórias de cotas para pessoas indígenas e pessoas com deficiência estão acima do exigido, 19% e 17% respectivamente. Há ainda uma quarta modalidade de cota para Interior (09 vagas; 21%), além da ampla concorrência (10 vagas, 24%)</t>
  </si>
  <si>
    <t>1.1</t>
  </si>
  <si>
    <t>ACRE</t>
  </si>
  <si>
    <t>2024-12_ACRE_CULTURAVIVA.pdf</t>
  </si>
  <si>
    <t xml:space="preserve">De um total de 30 vagas, o item "07. Cotas" informa incorretamente como 25% a representação de cotas para pessoas negras, pois o edital oferece 05 vagas (17%) para o segmento. Observa-se, portanto, um possível déficit de 03 vagas (10%), o que no valor ofertado por vaga configura menos R$167.227,62 em recursos que poderiam ser destinados ao segmento. </t>
  </si>
  <si>
    <t xml:space="preserve">O edital oferece igualmente 05 vagas (17%) em quatro modalidades: ampla; pessoas negras; pessoas indígenas e pessoas com deficiência,  portanto acima do exigido nos dois últimos casos. Há ainda uma outra modalidade de cota "entidades voltadas a cultura popular e tradicional" (10 vagas, 33%) </t>
  </si>
  <si>
    <t>--</t>
  </si>
  <si>
    <t>1.6</t>
  </si>
  <si>
    <t>CEARÁ</t>
  </si>
  <si>
    <t>SN_CEARÁ_PRÊMIO_12.pdf</t>
  </si>
  <si>
    <t xml:space="preserve">De um total de 98 vagas, o item 5.2 não informa qualquer reserva de vagas para o segmento. Observa-se, portanto, um possível déficit de 05 vagas (05%), o que no valor ofertado por vaga, tomando por base a categoria de menor valor,  configura no mínimo menos R$138.888,90 em recursos que poderiam ser destinados ao segmento. </t>
  </si>
  <si>
    <t xml:space="preserve">Edital específico Expressões Culturais Afro-Brasileiras, Cultura Indígena e Cultura Camponesa, dispensada cotas para pessoas negras e indígenas. </t>
  </si>
  <si>
    <t>1.7</t>
  </si>
  <si>
    <t>SN_CEARÁ_QUALIFICAÇÃO_14.pdf</t>
  </si>
  <si>
    <t>De um total de 40 vagas, o edital não informa a reserva de quaisquer vagas para o segmento. Observa-se, portanto, um possível déficit de 10 vagas (25%). Edital de qualificação para curso em consultoria, sem transferência de recursos aos selecionados.</t>
  </si>
  <si>
    <t>-</t>
  </si>
  <si>
    <t>1.8</t>
  </si>
  <si>
    <t>De um total de 40 vagas, o edital não informa a reserva de quaisquer vagas para o segmento. Observa-se, portanto, um possível déficit de 04 vagas (10%). Edital de qualificação para curso em consultoria, sem transferência de recursos aos selecionados.</t>
  </si>
  <si>
    <t>1.9</t>
  </si>
  <si>
    <t>De um total de 40 vagas, o edital não informa a reserva de quaisquer vagas para o segmento. Observa-se, portanto, um possível déficit de 02 vagas (25%). Edital de qualificação para curso em consultoria, sem transferência de recursos aos selecionados.</t>
  </si>
  <si>
    <t>1.10</t>
  </si>
  <si>
    <t>SN_CEARÁ_QUALIFICAÇÃO_15.pdf</t>
  </si>
  <si>
    <t>De um total de 184 vagas, o edital não informa a reserva de quaisquer vagas para o segmento. Observa-se, portanto, um possível déficit de 46 vagas (25%). Edital de qualificação para curso em patrimônio cultural, sem transferência de recursos aos selecionados.</t>
  </si>
  <si>
    <t>1.11</t>
  </si>
  <si>
    <t>De um total de 184 vagas, o edital não informa a reserva de quaisquer vagas para o segmento. Observa-se, portanto, um possível déficit de 17 vagas (10%). Edital de qualificação para curso em patrimônio cultural, sem transferência de recursos aos selecionados.</t>
  </si>
  <si>
    <t>1.12</t>
  </si>
  <si>
    <t>De um total de 184 vagas, o edital não informa a reserva de quaisquer vagas para o segmento. Observa-se, portanto, um possível déficit de 09 vagas (05%). Edital de qualificação para curso em patrimônio cultural, sem transferência de recursos aos selecionados.</t>
  </si>
  <si>
    <t>1.13</t>
  </si>
  <si>
    <t xml:space="preserve">ESPÍRITO SANTO
</t>
  </si>
  <si>
    <t>2024-07_ES_PRÊMIO.pdf</t>
  </si>
  <si>
    <t xml:space="preserve">De um total de 10 vagas, o edital não informa quaisquer vagas para o segmento. Observa-se, portanto, um possível déficit de 01 vaga (5%), o que no valor ofertado por vaga, tomando por base a categoria de menor valor, configura no mínimo menos R$80.000,00 em recursos que poderiam ser destinados ao segmento. </t>
  </si>
  <si>
    <t xml:space="preserve">Edital específico Circo Tradicional, dispensada cotas para pessoas negras e indígenas. </t>
  </si>
  <si>
    <t>1.14</t>
  </si>
  <si>
    <t>ESPÍRITO SANTO</t>
  </si>
  <si>
    <t>2024-17_ES_FOMENTO.pdf</t>
  </si>
  <si>
    <t xml:space="preserve">De um total de 10 vagas, o edital não informa quaisquer vagas para o segmento. Observa-se, portanto, um possível déficit de 03 vagas (25%), o que no valor ofertado por vaga, tomando por base a categoria de menor valor, configura no mínimo menos R$300.000,00 em recursos que poderiam ser destinados ao segmento. </t>
  </si>
  <si>
    <t xml:space="preserve">O edital tem característica singular,  destinando-se à seleção de projetos de restauração de sítios históricos pré-determinados pelo edital, uma possível justificativa para a escolha de não inclusão das cotas, embora segundo a avaliação da pesquisa não se trate de edital específico, quando cotas para pessoas negras e pessoas indígenas podem ser dispensadas. </t>
  </si>
  <si>
    <t>1.15</t>
  </si>
  <si>
    <t xml:space="preserve">De um total de 10 vagas, o edital não informa quaisquer vagas para o segmento. Observa-se, portanto, um possível déficit de 01 vaga (10%), o que no valor ofertado por vaga, tomando por base a categoria de menor valor, configura no mínimo menos R$100.000,00 em recursos que poderiam ser destinados ao segmento. </t>
  </si>
  <si>
    <t>1.16</t>
  </si>
  <si>
    <t>1.17</t>
  </si>
  <si>
    <t>2024-16_ES_PRÊMIO.pdf</t>
  </si>
  <si>
    <t xml:space="preserve">De um total de 20 vagas, o edital não informa quaisquer reserva de vagas para o segmento. Observa-se, portanto, um possível déficit de 01 vagas (05%), o que no valor ofertado por vaga, tomando por base a categoria de menor valor, configura no mínimo menos R$20.000,00 em recursos que poderiam ser destinados ao segmento. </t>
  </si>
  <si>
    <t xml:space="preserve">Edital específico para Mestres e Mestras da Cultura (Práticas Tradicionais), dispensada cotas para pessoas negras e indígenas. </t>
  </si>
  <si>
    <t>1.19</t>
  </si>
  <si>
    <t>MARANHÃO</t>
  </si>
  <si>
    <t>2025-01_MARANHÃO_FOMENTO.pdf</t>
  </si>
  <si>
    <t xml:space="preserve">De um total de 192 vagas, o item 5.3 informa a reserva de apenas 39 vagas (20%) para o segmento. Observa-se, portanto, um possível déficit de 09 vagas (5%), o que no valor ofertado por vaga, tomando por base a categoria de menor valor, configura no mínimo menos R$135.000,00 em recursos que poderiam ser destinados ao segmento. </t>
  </si>
  <si>
    <t xml:space="preserve">O edital indica bônus de pontuação para determinados grupos, inlcuindo pessoas com deficiência, povos e comunidades tradicionais, mulheres, dentre outros. </t>
  </si>
  <si>
    <t>1.20</t>
  </si>
  <si>
    <t xml:space="preserve">De um total de 192 vagas, no item 5.3, não há qualquer indicação de reserva para pessoas com deficiência. Observa-se, portanto, um possível déficit de 09 vagas (5%), o que no valor ofertado por vaga, tomando por base a categoria de menor valor, configura no mínimo menos R$135.000,00 em recursos que poderiam ser destinados ao segmento. </t>
  </si>
  <si>
    <t>1.21</t>
  </si>
  <si>
    <t>MINAS GERAIS</t>
  </si>
  <si>
    <t>2024-07_MG_FOMENTO.pdf</t>
  </si>
  <si>
    <t xml:space="preserve">De um total de 215 vagas, o Anexo I informa a reserva de 49 vagas (23%) para o segmento. Observa-se, portanto, um possível déficit de 04 vagas (2%), o que no valor ofertado por vaga, tomando por base a categoria de menor valor, configura no mínimo menos R$50.000,00 em recursos que poderiam ser destinados ao segmento. </t>
  </si>
  <si>
    <t>Cotas para pessoas indígenas acima: 24 vagas, 11%. Ampla concorrência: 133 vagas, 62%.</t>
  </si>
  <si>
    <t>1.18</t>
  </si>
  <si>
    <t>GOIÁS</t>
  </si>
  <si>
    <t>2024-15_GO_SUBSÍDIO.pdf</t>
  </si>
  <si>
    <t xml:space="preserve">De um total de 38 vagas, o Anexo I  informa a reserva de apenas 03 vagas (8%) para o segmento. Observa-se, portanto, um possível déficit de 01 vaga (3%), o que no valor ofertado por vaga, tomando por base a categoria de menor valor, configura no mínimo menos R$50.000,00 em recursos que poderiam ser destinados ao segmento. </t>
  </si>
  <si>
    <t>Cotas para pessoas negras em acordo (09 vagas. 24%  'correto por arredondamento'), cotas pessoas com deficiência acima (03 vagas, 8%) e ampla (23 vagas, 60%)</t>
  </si>
  <si>
    <t>1.22</t>
  </si>
  <si>
    <t xml:space="preserve">De um total de 215 vagas, o Anexo I informa a reserva de 09 vagas (4%) para o segmento. Observa-se, portanto, um possível déficit de 02 vagas (1%), o que no valor ofertado por vaga, tomando por base a categoria de menor valor, configura no mínimo menos R$25.000,00 em recursos que poderiam ser destinados ao segmento. </t>
  </si>
  <si>
    <t>1.23</t>
  </si>
  <si>
    <t>2024-08_MG_FOMENTO.pdf</t>
  </si>
  <si>
    <t xml:space="preserve">De um total de 347 vagas, o Anexo I informa a reserva de 84 vagas (24%) para o segmento. Observa-se, portanto, um possível déficit de 03 vagas (01%), o que no valor ofertado por vaga, tomando por base a categoria de menor valor, configura no mínimo menos R$30.000,00 em recursos que poderiam ser destinados ao segmento. </t>
  </si>
  <si>
    <t xml:space="preserve">Cota para pessoas com deficiência em acordo: 18 vagas, 5%. Ampla Concorrência: 199 vagas, 57%. </t>
  </si>
  <si>
    <t>1.24</t>
  </si>
  <si>
    <t xml:space="preserve">De um total de 347 vagas, o Anexo I informa a reserva de 33 vagas (09%) para o segmento. Observa-se, portanto, um possível déficit de 02 vagas (01%), o que no valor ofertado por vaga, tomando por base a categoria de menor valor, configura no mínimo menos R$20.000,00 em recursos que poderiam ser destinados ao segmento. </t>
  </si>
  <si>
    <t>1.25</t>
  </si>
  <si>
    <t>2024-09_MG_SUBSÍDIO.pdf</t>
  </si>
  <si>
    <t xml:space="preserve">De um total de 163 vagas, o Anexo I informa a reserva de 07 vagas (04%) para o segmento. Observa-se, portanto, um possível déficit de 01 vaga (01%), o que no valor ofertado por vaga, tomando por base a categoria de menor valor, configura no mínimo menos R$50.000,00 em recursos que poderiam ser destinados ao segmento. </t>
  </si>
  <si>
    <t xml:space="preserve">Cotas para pessoas negras e para pessoas indígenas acima: respectivamente 42 vagas, 26%; 18 vagas, 11%. Ampla concorrência: 96 vagas, 59%. </t>
  </si>
  <si>
    <t>1.26</t>
  </si>
  <si>
    <t>2024-10_MG_FOMENTO.pdf</t>
  </si>
  <si>
    <t xml:space="preserve">De um total de 201 vagas, o Anexo I informa a reserva de 09 vagas (04%) para o segmento. Observa-se, portanto, um possível déficit de 01 vaga (01%), o que no valor ofertado por vaga, tomando por base a categoria de menor valor, configura no mínimo menos R$30.000,00 em recursos que poderiam ser destinados ao segmento. </t>
  </si>
  <si>
    <t xml:space="preserve">Cotas para pessoas negras e para pessoas indígenas acima: respectivamente 52 vagas; 26%; 22 vagas, 11%. Ampla concorrência: 118 vagas, 59%. </t>
  </si>
  <si>
    <t>1.27</t>
  </si>
  <si>
    <t>MATO GROSSO DO SUL</t>
  </si>
  <si>
    <t>2025-05_MS_FOMENTO.pdf</t>
  </si>
  <si>
    <t xml:space="preserve">O edital não define o número total de vagas, no entanto indica expressamente, no item 07 - Das Ações Afirmativas,  como 20%  a reserva para o segmento. Observa-se, portanto, um possível déficit  5% na reserva sobre as vagas, o que no valor ofertado por vaga, tomando por base a categoria de menor valor, configura no mínimo menos R$49.000,00 em recursos que poderiam ser destinados ao segmento. </t>
  </si>
  <si>
    <t xml:space="preserve">As demais categorias obrigatórias de cotas para pessoas indígenas e pessoas com deficiência estão indicadas conforme o percentual obrigatório. </t>
  </si>
  <si>
    <t>valor mínimo bolsa individual de R$7.000 (cálculo hipotético 1.000.000/7000 = 143 &gt; 5% de 143 = 7 &gt; 7 vagas x R$7.000 = R$49.000</t>
  </si>
  <si>
    <t>1.28</t>
  </si>
  <si>
    <t>2024-15_MS_FOMENTO.pdf</t>
  </si>
  <si>
    <t xml:space="preserve">De um total de 30 vagas, o item 5.2 informa a reserva de apenas 06 vagas (20%) para o segmento. Observa-se, portanto, um possível déficit de 01 vaga (3%), o que no valor ofertado por vaga, tomando por base a categoria de menor valor, configura no mínimo menos R$10.000,00 em recursos que poderiam ser destinados ao segmento. </t>
  </si>
  <si>
    <t>A categoria de cota para pessoas indígenas está conforme o percentual obrigatório e a cota para pessoa com deficiência acima (02 vagas, 7%)</t>
  </si>
  <si>
    <t>1.29</t>
  </si>
  <si>
    <t>2024-19_MS_FOMENTO.pdf</t>
  </si>
  <si>
    <t xml:space="preserve">De um total de 30 vagas, o Anexo I informa a reserva de apenas 06 vagas (20%) para o segmento. Observa-se, portanto, um possível déficit de 01 vaga (5%), o que no valor ofertado por vaga, tomando por base a categoria de menor valor, configura no mínimo menos R$30.000,00 em recursos que poderiam ser destinados ao segmento. </t>
  </si>
  <si>
    <t>As demais categorias obrigatórias de cotas para pessoas indígenas e pessoas com deficiência estão acima do exigido, 20% e 17% respectivamente, além  da ampla concorrência (13 vagas, 43%)</t>
  </si>
  <si>
    <t>1.30</t>
  </si>
  <si>
    <t>RIO GRANDE DO SUL</t>
  </si>
  <si>
    <t>2024-31_RS_FOMENTO.pdf</t>
  </si>
  <si>
    <t xml:space="preserve">De um total de 69 vagas, no item 4. CATEGORIAS, VALORES E RESERVA DE VAGAS, informa a reserva de 06 vagas (09%) para o segmento. Observa-se, portanto, um possível déficit de 01 vaga (1%), o que no valor ofertado por vaga, tomando por base a categoria de menor valor, configura no mínimo menos R$80.000,00 em recursos que poderiam ser destinados ao segmento. </t>
  </si>
  <si>
    <t>Cota para pessoas negras acima: 18 vagas, 26%. Cota para pessoa com deficiência em acordo 03 vagas, 4%. Ampla concorrência: 42 vagas, 61%.</t>
  </si>
  <si>
    <t>1.31</t>
  </si>
  <si>
    <t>RONDÔNIA</t>
  </si>
  <si>
    <t>2025-03_RO_CULTURAVIVA.pdf</t>
  </si>
  <si>
    <t xml:space="preserve">De um total de 30 vagas, o Anexo I informa a reserva de apenas 06 vagas* (20%) para o segmento. Observa-se, portanto, um possível déficit de 01 vaga (5%), o que no valor ofertado por vaga, tomando por base a categoria de menor valor, configura no mínimo menos R$80.000,00 em recursos que poderiam ser destinados ao segmento. </t>
  </si>
  <si>
    <t>A cota para pessoas com deficiência está em acordo, há ainda a inclusão de cota para quilombolas (02 vagas*, 07%), além da ampla concorrência (12 vagas, 40%). Considerar que das 06 vagas computadas para pessoas negras, 02 vagas para pessoas indígenas e 02 vagas para quilombolas, apenas 05 (17%) são exclusivas para pessoas negras, 01 (3%) exclusiva para pessoas indígenas e 01 (3%) exclusiva para quilombola, pois a vaga adicional é um agrupamento entre as três cotas obrigatórias + quimbola.</t>
  </si>
  <si>
    <t>1.32</t>
  </si>
  <si>
    <t>De um total de 30 vagas, o Anexo I informa a reserva de apenas 02 vagas* (07%) para o segmento. Observa-se, portanto, um possível déficit de 01 vaga (03%), o que no valor ofertado por vaga, tomando por base a categoria de menor valor, configura no mínimo menos R$80.000,00 em recursos que poderiam ser destinados ao segmento.</t>
  </si>
  <si>
    <t>1.33</t>
  </si>
  <si>
    <t>2025-04_RO_CULTURAVIVA.pdf</t>
  </si>
  <si>
    <t xml:space="preserve">De um total de 40 vagas, o Anexo I informa a reserva de apenas 09 vagas (22%) para o segmento. Observa-se, portanto, um possível déficit de 01 vaga (2%), o que no valor ofertado por vaga, tomando por base a categoria de menor valor, configura no mínimo menos R$20.000,00 em recursos que poderiam ser destinados ao segmento. </t>
  </si>
  <si>
    <t>A cota para pessoas com deficiência está em acordo, há ainda a inclusão de cotas às culturas populares e tradicionais (12 vagas, 30%) e para quilombolas (03 vagas*, 07%), além da ampla concorrência (13 vagas, 43%). Considerar que das 09 vagas computadas para pessoas negras, 03 vagas para pessoas indígenas e 03 vagas para quilombolas, apenas 08 (20%) são exclusivas para pessoas negras, 02 (5%) exclusiva para pessoas indígenas e 02 (5%) exclusiva para quilombola, pois a vaga adicional é um agrupamento entre as três cotas obrigatórias + quimbola.</t>
  </si>
  <si>
    <t>1.34</t>
  </si>
  <si>
    <t xml:space="preserve">De um total de 40 vagas, o Anexo I informa a reserva de apenas 03 vagas (7%) para o segmento. Observa-se, portanto, um possível déficit de 01 vaga (2%), o que no valor ofertado por vaga, tomando por base a categoria de menor valor, configura no mínimo menos R$20.000,00 em recursos que poderiam ser destinados ao segmento. </t>
  </si>
  <si>
    <t>ex 35</t>
  </si>
  <si>
    <t>1.35</t>
  </si>
  <si>
    <t>FORTALEZA</t>
  </si>
  <si>
    <t>2025-07_FORTALEZA_PRÊMIO.pdf</t>
  </si>
  <si>
    <t xml:space="preserve">De um total de 48 vagas, o Edital não informa quaisquer reserva de vagas para o segmento. Observa-se, portanto, um possível déficit de 02 vagas (5%), o que no valor ofertado por vaga, tomando por base a categoria de menor valor, configura no mínimo menos R$67.592.84 em recursos que poderiam ser destinados ao segmento. </t>
  </si>
  <si>
    <t xml:space="preserve">Edital específico para povos e comunidades tradicionais, dispensada cotas para pessoas negras e indígenas. </t>
  </si>
  <si>
    <t>1.36</t>
  </si>
  <si>
    <t>2024-30_FORTALEZA_FOMENTO.pdf</t>
  </si>
  <si>
    <t xml:space="preserve">De um total de 12 vagas, o Edital não informa quaisquer reserva de vagas para o segmento. Observa-se, portanto, um possível déficit de 01 vaga (5%), o que no valor ofertado por vaga, tomando por base a categoria de menor valor, configura no mínimo menos R$43.592,04 em recursos que poderiam ser destinados ao segmento. </t>
  </si>
  <si>
    <t>1.37</t>
  </si>
  <si>
    <t>JOÃO PESSOA</t>
  </si>
  <si>
    <t>2024-10_JOAOPESSOA_FOMENTO.pdf</t>
  </si>
  <si>
    <t xml:space="preserve">De um total de 75 vagas,  no item 3. DISTRIBUIÇÃO DE VAGAS E VALORES, informa a reserva de 18 vagas (24%) para o segmento. Observa-se, portanto, um possível déficit de 01 vaga (01%), o que no valor ofertado por vaga, tomando por base a categoria de menor valor, configura no mínimo menos R$5.000,00 em recursos que poderiam ser destinados ao segmento. </t>
  </si>
  <si>
    <t xml:space="preserve">Cotas para pessoas indígenas e para pessoas com deficiência em acordo, respectivamente 07 vagas, 09% (correto por arredondamento); 04 vagas, 10%. Ampla concorrência: 30 vagas, 40%. </t>
  </si>
  <si>
    <t>1.38</t>
  </si>
  <si>
    <t>MACEIÓ</t>
  </si>
  <si>
    <t>2024-04_MACEIÓ_FOMENTO.pdf</t>
  </si>
  <si>
    <t xml:space="preserve">De um total de 58 vagas, no item 3. DISTRIBUIÇÃO DE VAGAS E VALORES, informa a reserva de 05 vagas (09%) para o segmento. Observa-se, portanto, um possível déficit de 01 vaga (1%), o que no valor ofertado por vaga, tomando por base a categoria de menor valor, configura no mínimo menos R$5.000,00 em recursos que poderiam ser destinados ao segmento. </t>
  </si>
  <si>
    <t xml:space="preserve">Cotas para pessoas negras em acordo: 15 vagas, 25%. Cota para pessoas com deficiência acima: 04 vagas, 7%. Ampla concorrência: 34 vagas, 59%. </t>
  </si>
  <si>
    <t>1.39</t>
  </si>
  <si>
    <t>MANAUS</t>
  </si>
  <si>
    <t>2024-02_MANAUS_FOMENTO.pdf</t>
  </si>
  <si>
    <t xml:space="preserve">De um total de 188 vagas, o Anexo I informa a reserva de apenas 37 vagas (20%) para o segmento. Observa-se, portanto, um possível déficit de 10 vagas (5%), o que no valor ofertado por vaga, tomando por base a categoria de menor valor, configura no mínimo menos R$40.000,00 em recursos que poderiam ser destinados ao segmento. </t>
  </si>
  <si>
    <t xml:space="preserve">Cotas para pessoas indígenas e para pessas com deficiência acima, respectivamente 37 vagas, 20%; e, 17 vagas, 9%; além da ampla concorrência 97 vagas, 52%. </t>
  </si>
  <si>
    <t>1.40</t>
  </si>
  <si>
    <t>PORTO VELHO</t>
  </si>
  <si>
    <t>2025-06_PORTOVELHO_SUBSÍDIO.pdf</t>
  </si>
  <si>
    <t xml:space="preserve">De um total de 21 vagas, o Anexo I informa a reserva de apenas 04 vagas (19%) para o segmento. Observa-se, portanto, um possível déficit de 01 vaga (5%), o que no valor ofertado por vaga, tomando por base a categoria de menor valor, configura no mínimo menos R$10.000,00 em recursos que poderiam ser destinados ao segmento. </t>
  </si>
  <si>
    <t xml:space="preserve">Cotas para pessoas indígenas acima (04 vagas, 19%); cota para pessoas com deficiência em acordo (01 vaga, 5%); além da ampla concorrência (12 vagas, 57%). </t>
  </si>
  <si>
    <t>1.41</t>
  </si>
  <si>
    <t>RIO BRANCO</t>
  </si>
  <si>
    <t>2024-07_RIOBRANCO_FOMENTO.pdf</t>
  </si>
  <si>
    <t xml:space="preserve">De um total de 34 vagas, o Anexo V não informa qualquer reserva para o segmento. Observa-se, portanto, um possível déficit de 03 vagas (10%), o que no valor ofertado por vaga, tomando por base a categoria de menor valor, configura no mínimo menos R$54.000,00 em recursos que poderiam ser destinados ao segmento. </t>
  </si>
  <si>
    <t xml:space="preserve">Cotas para pessoas negras e para pessoas com deficiência em acordo, respectivamente 09 vagas, 26% e  02 vagas, 06%, além de ampla concorrência com 19 vagas,  56%. Incluídas cotas para mulheres 03 vagas, 09% e LGBTQUIA+ 01 vaga, 3%. </t>
  </si>
  <si>
    <t>Justificativa do ente: Não haverá Cotas destinadas aos Indígenas, considerando que já estão sendo contemplados  com edital específico, conforme previsto parágrafo 5º do artigo 14 da Instrução Normativa  nº 10/2023 do Ministério da Cultura: Nos casos de editais específicos, o estabelecimento de  cotas para pessoas negras e indígenas pode ser dispensado, caso o edital seja integralmente  direcionado a proponentes de grupos étnico-raciais público-alvo de ações afirmativas.</t>
  </si>
  <si>
    <t>1.42</t>
  </si>
  <si>
    <t>2024-09_RIOBRANCO_PRÊMIO.pdf</t>
  </si>
  <si>
    <t xml:space="preserve">De um total de 22 vagas, o Edital não informa quaisquer reserva de vagas para o segmento. Observa-se, portanto, um possível déficit de 01 vaga (5%), o que no valor ofertado por vaga, tomando por base a categoria de menor valor, configura no mínimo menos R$10.000,00 em recursos que poderiam ser destinados ao segmento. </t>
  </si>
  <si>
    <t xml:space="preserve">Edital específico para indígenas, dispensada cotas para pessoas negras e indígenas. </t>
  </si>
  <si>
    <t>1.43</t>
  </si>
  <si>
    <t>SÃO PAULO</t>
  </si>
  <si>
    <t>2024-22_SAOPAULO_FOMENTO.pdf</t>
  </si>
  <si>
    <t xml:space="preserve">De um total de 15 vagas (vagas mínimo), o item 2.2 não informa a reserva de vagas para o segmento. Observa-se, portanto, um possível déficit de 01 vaga (5%), o que no valor ofertado por vaga, tomando por base a categoria de menor valor, configura no mínimo menos R$50.000,00 em recursos que poderiam ser destinados ao segmento. </t>
  </si>
  <si>
    <t xml:space="preserve">Edital específico para capoeira, dispensada cotas para pessoas negras e indígenas. </t>
  </si>
  <si>
    <t>1.44</t>
  </si>
  <si>
    <t>2024-27_SAOPAULO_FOMENTO.pdf</t>
  </si>
  <si>
    <t xml:space="preserve">O edital não estabelece quantidade de vagas, também não informa quaisquer reserva de vagas para o segmento. Observa-se, portanto, um possível déficit de 5%. Tomando como base o valor total do edital, estima-se menos R$125.000,00 em recursos que poderiam ser destinados ao segmento. </t>
  </si>
  <si>
    <t xml:space="preserve">Edital específico para periferias, dispensada cotas para pessoas negras e indígenas. </t>
  </si>
  <si>
    <t>1.45</t>
  </si>
  <si>
    <t>TERESINA</t>
  </si>
  <si>
    <t>2024-09_TERESINA_CULTURAVIVA.pdf</t>
  </si>
  <si>
    <t>25%*</t>
  </si>
  <si>
    <t>De um total de 05  vagas, o Anexo I informa a reserva de 01 vaga (*25%) de forma agrupada para pessoas negras, pessoas indígenas e pessoas com deficiência. Pelas regras de arredondamento, pessoas negras deveriam ter no mínimo 01 vaga exclusiva reservada. Cada categoria individual do edital tem o valor de R$200.000,00.</t>
  </si>
  <si>
    <t xml:space="preserve">Cotas para pessoas indígenas e para pessoas com deficiência não atingem cálculo suficiente para a reserva de vaga segundo as regras da IN, mas aparecem agrupadas junto às pessoas negras em 01 vaga. Incluída cota para culturas populares e tradicionais (02 vagas, 40%). Ampla concorrência: 2 vagas, 40%). </t>
  </si>
  <si>
    <t>apenas p/ registro, não contabilizar como desconformidade já que saiu antes da IN</t>
  </si>
  <si>
    <t>RIO DE JANEIRO</t>
  </si>
  <si>
    <t>2023-07_RIODEJANEIRO_FOMENTO.pdf</t>
  </si>
  <si>
    <t xml:space="preserve">De um total de 162 vagas, no item 4. Das Categorias, além de expressamente informado no item 10.3, o edital reserva 33 vagas (20%) para o segmento. Observa-se, portanto, um possível déficit de 07 vagas (4%), o que no valor ofertado por vaga, tomando por base a categoria de menor valor, configura no mínimo menos R$350.000,00 em recursos que poderiam ser destinados ao segmento. </t>
  </si>
  <si>
    <t xml:space="preserve">Cotas para pessoas indígenas em acordo: 16 vagas, 10%. Cota para pessoa com deficiência  para pessoas com deficiência acima: 11 vagas, 07%. Ampla concorrência: 102 vagas,  63%. </t>
  </si>
  <si>
    <t xml:space="preserve">A IN nº 10 MINC é de de 28/12/2023. O EDITAL É DE 14/12/2023, PORTANTO ANTERIOR. </t>
  </si>
  <si>
    <t>apenas p/ registro, não contabilizar como desconformidade, pois inconclusivo</t>
  </si>
  <si>
    <t>ARACAJU</t>
  </si>
  <si>
    <t>2024-09_ARACAJU_BOLSA.pdf</t>
  </si>
  <si>
    <t>?</t>
  </si>
  <si>
    <t xml:space="preserve">Não está claro se houve reserva para o segmento, visto que o edital informa no item 4. COTAS, que as cotas serão garantidas "caso surjam novas vagas que impactem no quantitativo mínimo (&gt;0,5), o que já é o caso para o segmento de pessoas negras com as cinco vagas iniciais do edital. </t>
  </si>
  <si>
    <t>ente_federativo</t>
  </si>
  <si>
    <t>nome_pdf_pk</t>
  </si>
  <si>
    <t>Conferência/Parecer</t>
  </si>
  <si>
    <t>perc_cotas_negras</t>
  </si>
  <si>
    <t>perc_cotas_indigenas</t>
  </si>
  <si>
    <t>perc_cotas_pcd</t>
  </si>
  <si>
    <t>vagas_totais</t>
  </si>
  <si>
    <t>valor_total</t>
  </si>
  <si>
    <t>is_novo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</si>
  <si>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</si>
  <si>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</si>
  <si>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</si>
  <si>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</si>
  <si>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</si>
  <si>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</si>
  <si>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</si>
  <si>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</si>
  <si>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flag_cotas_negras</t>
  </si>
  <si>
    <t>flag_cotas_indigenas</t>
  </si>
  <si>
    <t>flag_cotas_pcd</t>
  </si>
  <si>
    <t>tipo_edital</t>
  </si>
  <si>
    <t>2025-05_AMAZONAS_CULTURAVIVA.pdf</t>
  </si>
  <si>
    <t>vagas insuficientes para a reserva</t>
  </si>
  <si>
    <t>ESTADO</t>
  </si>
  <si>
    <t>CULTURA VIVA</t>
  </si>
  <si>
    <t>MS_FOMENTO_202024.pdf</t>
  </si>
  <si>
    <t>não há descumprimento,porcentagens corrigidas.</t>
  </si>
  <si>
    <t>FOMENTO</t>
  </si>
  <si>
    <t>MS_FOMENTO_232024.pdf</t>
  </si>
  <si>
    <t>não há descumprimento, apesar da porcentagem aparecer menor, pelas regras de arredondamento, tudo certo</t>
  </si>
  <si>
    <t>MS_PRÊMIO_112025.pdf</t>
  </si>
  <si>
    <t>específico LGBTQIAPN+</t>
  </si>
  <si>
    <t>PRÊMIO</t>
  </si>
  <si>
    <t>feito</t>
  </si>
  <si>
    <t>ACRE_CULTURAVIVA_122024.pdf</t>
  </si>
  <si>
    <t>CAPITAL</t>
  </si>
  <si>
    <t>SUBSÍDIO</t>
  </si>
  <si>
    <t>AMAZONAS_FOMENTO_052024.pdf</t>
  </si>
  <si>
    <t>ACRE_PRÊMIO_142024.pdf</t>
  </si>
  <si>
    <t>específico mestres e mestras</t>
  </si>
  <si>
    <t>MS_FOMENTO_052025.pdf</t>
  </si>
  <si>
    <t>MS_FOMENTO_152024.pdf</t>
  </si>
  <si>
    <t>MS_FOMENTO_192024.pdf</t>
  </si>
  <si>
    <t>MS_PRÊMIO_112024.pdf</t>
  </si>
  <si>
    <t>FLORIANÓPOLIS</t>
  </si>
  <si>
    <t>2024-44_FLORIPA_FOMENTO.pdf</t>
  </si>
  <si>
    <t>2024-10_RIOBRANCO_PRÊMIO.pdf</t>
  </si>
  <si>
    <t>2024-08_RIOBRANCO_FOMENTO.pdf</t>
  </si>
  <si>
    <t>feito, porcentagem corrigida em pcd</t>
  </si>
  <si>
    <t>MA_FOMENTO_012025.pdf</t>
  </si>
  <si>
    <t>2025-06_MARANHÃO_PRÊMIO.pdf</t>
  </si>
  <si>
    <t>edital incluído manualmente na planilha</t>
  </si>
  <si>
    <t>MATO GROSSO</t>
  </si>
  <si>
    <t>MT_FOMENTO_182024.pdf</t>
  </si>
  <si>
    <t>não há descumprimento, porcentagens corrigidas</t>
  </si>
  <si>
    <t>ALAGOAS_FOMENTO_112024.pdf</t>
  </si>
  <si>
    <t>feito (e) porcentagens corrigidas</t>
  </si>
  <si>
    <t>JOÃO PESSOA</t>
  </si>
  <si>
    <t>2024-12_JOAOPESSOA_FOMENTO.pdf</t>
  </si>
  <si>
    <t>2024-09_JOAOPESSOA_SUBSÍDIO.pdf</t>
  </si>
  <si>
    <t>ALAGOAS_FOMENTO_262024.pdf</t>
  </si>
  <si>
    <t>GO_SUBSÍDIO_152024.pdf</t>
  </si>
  <si>
    <t>SANTA CATARINA</t>
  </si>
  <si>
    <t>2024-55_SC_FOMENTO.pdf</t>
  </si>
  <si>
    <t>2025-02_AMAZONAS_SUBSÍDIO.pdf</t>
  </si>
  <si>
    <t>2024-46_FLORIPA_PRÊMIO.pdf</t>
  </si>
  <si>
    <t>2024-41_FLORIPA_FOMENTO.pdf.pdf</t>
  </si>
  <si>
    <t>2024-10_JOAOPESSOA_FOMENTO.pdf.pdf</t>
  </si>
  <si>
    <t>ALAGOAS_FOMENTO_232024.pdf</t>
  </si>
  <si>
    <t>ALAGOAS_FOMENTO_172024.pdf</t>
  </si>
  <si>
    <t>específico cultura popular</t>
  </si>
  <si>
    <t>ALAGOAS_FOMENTO_212024.pdf</t>
  </si>
  <si>
    <t>DISTRITO FEDERAL</t>
  </si>
  <si>
    <t>DF_FOMENTO_512024.pdf</t>
  </si>
  <si>
    <t>ALAGOAS_FOMENTO_242024.pdf</t>
  </si>
  <si>
    <t>ACRE_FOMENTO_062024.pdf</t>
  </si>
  <si>
    <t>ALAGOAS_CULTURAVIVA_012025.pdf</t>
  </si>
  <si>
    <t>ALAGOAS_FOMENTO_082024.pdf</t>
  </si>
  <si>
    <t>ALAGOAS_FOMENTO_132024.pdf</t>
  </si>
  <si>
    <t>ALAGOAS_PRÊMIO_162024.pdf</t>
  </si>
  <si>
    <t>ALAGOAS_SUBSÍDIO_302024.pdf</t>
  </si>
  <si>
    <t>AMAPÁ</t>
  </si>
  <si>
    <t>AMAPÁ_CULTURAVIVA_062024.pdf</t>
  </si>
  <si>
    <t>AMAPÁ_FOMENTO_022024.pdf</t>
  </si>
  <si>
    <t>AMAPÁ_FOMENTO_032024.pdf</t>
  </si>
  <si>
    <t>AMAPÁ_FOMENTO_042024.pdf</t>
  </si>
  <si>
    <t>AMAPÁ_SUBSÍDIO_052024.pdf</t>
  </si>
  <si>
    <t>AMAZONAS_FOMENTO_022024.pdf</t>
  </si>
  <si>
    <t>AMAZONAS_FOMENTO_032024.pdf</t>
  </si>
  <si>
    <t>AMAZONAS_FOMENTO_042024.pdf</t>
  </si>
  <si>
    <t>AMAZONAS_FOMENTO_062024.pdf</t>
  </si>
  <si>
    <t>AMAZONAS_FOMENTO_072024.pdf</t>
  </si>
  <si>
    <t>AMAZONAS_FOMENTO_082024.pdf</t>
  </si>
  <si>
    <t>AMAZONAS_FOMENTO_092024.pdf</t>
  </si>
  <si>
    <t>AMAZONAS_FOMENTO_122024.pdf</t>
  </si>
  <si>
    <t>AMAZONAS_FOMENTO_132024.pdf</t>
  </si>
  <si>
    <t>CEARÁ_CULTURAVIVA_07.pdf</t>
  </si>
  <si>
    <t>CEARÁ_CULTURAVIVA_09.pdf</t>
  </si>
  <si>
    <t>CEARÁ_CULTURAVIVA_10.pdf</t>
  </si>
  <si>
    <t>CEARÁ_CULTURAVIVA_11.pdf</t>
  </si>
  <si>
    <t>CEARÁ_FOMENTO_01.pdf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</si>
  <si>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</si>
  <si>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</si>
  <si>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</si>
  <si>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</si>
  <si>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</si>
  <si>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</si>
  <si>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</si>
  <si>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</si>
  <si>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</si>
  <si>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</si>
  <si>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DF_CULTURAVIVA_462024.pdf</t>
  </si>
  <si>
    <t>DF_CULTURAVIVA_482024.pdf</t>
  </si>
  <si>
    <t>ES_CULTURAVIVA_052024.pdf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</si>
  <si>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</si>
  <si>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</si>
  <si>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</si>
  <si>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</si>
  <si>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</si>
  <si>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</si>
  <si>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</si>
  <si>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</si>
  <si>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</si>
  <si>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</si>
  <si>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</si>
  <si>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</si>
  <si>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</si>
  <si>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</si>
  <si>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</si>
  <si>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</si>
  <si>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ES_FOMENTO_182024.pdf</t>
  </si>
  <si>
    <t>ES_FOMENTO_192024.pdf</t>
  </si>
  <si>
    <t>ES_SUBSÍDIO_032025.pdf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</si>
  <si>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</si>
  <si>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</si>
  <si>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</si>
  <si>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</si>
  <si>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</si>
  <si>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</si>
  <si>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</si>
  <si>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</si>
  <si>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</si>
  <si>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</si>
  <si>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</si>
  <si>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</si>
  <si>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</si>
  <si>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</si>
  <si>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</si>
  <si>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</si>
  <si>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</si>
  <si>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</si>
  <si>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MA_CULTURAVIVA_022025.pdf</t>
  </si>
  <si>
    <t>MA_FOMENTO_042025.pdf</t>
  </si>
  <si>
    <t>MA_FOMENTO_052025.pdf</t>
  </si>
  <si>
    <t>MA_PRÊMIO_032025.pdf</t>
  </si>
  <si>
    <t>MT_CULTURAVIVA_242024.pdf</t>
  </si>
  <si>
    <t>MT_FOMENTO_132024.pdf</t>
  </si>
  <si>
    <t>MT_FOMENTO_152024.pdf</t>
  </si>
  <si>
    <t>MT_FOMENTO_172024.pdf</t>
  </si>
  <si>
    <t>MT_FOMENTO_232024.pdf</t>
  </si>
  <si>
    <t>MT_PRÊMIO_162024.pdf</t>
  </si>
  <si>
    <t>MS_BOLSA_042025.pdf</t>
  </si>
  <si>
    <t>BOLSA</t>
  </si>
  <si>
    <t>MS_CULTURAVIVA_162024.pdf</t>
  </si>
  <si>
    <t>MS_CULTURAVIVA_172024.pdf</t>
  </si>
  <si>
    <t>MS_FOMENTO_012025.pdf</t>
  </si>
  <si>
    <t>MS_FOMENTO_062025.pdf</t>
  </si>
  <si>
    <t>MS_FOMENTO_072025.pdf</t>
  </si>
  <si>
    <t>MS_FOMENTO_082025.pdf</t>
  </si>
  <si>
    <t>MS_FOMENTO_092025.pdf</t>
  </si>
  <si>
    <t>MS_FOMENTO_102025.pdf</t>
  </si>
  <si>
    <t>porcentagens revisadas</t>
  </si>
  <si>
    <t>MS_FOMENTO_132024.pdf</t>
  </si>
  <si>
    <t>MS_FOMENTO_142024.pdf</t>
  </si>
  <si>
    <t>MS_FOMENTO_182024.pdf</t>
  </si>
  <si>
    <t>MS_FOMENTO_222024.pdf</t>
  </si>
  <si>
    <t>MS_FOMENTO_242024.pdf</t>
  </si>
  <si>
    <t>MS_FOMENTO_252024.pdf</t>
  </si>
  <si>
    <t>MS_FOMENTO_262024.pdf</t>
  </si>
  <si>
    <t>MS_FOMENTO_272024.pdf</t>
  </si>
  <si>
    <t>MS_PRÊMIO_022025.pdf</t>
  </si>
  <si>
    <t>MG_CULTURAVIVA_032024.pdf</t>
  </si>
  <si>
    <t>MG_CULTURAVIVA_042024.pdf</t>
  </si>
  <si>
    <t>MG_PRÊMIO_022024.pdf</t>
  </si>
  <si>
    <t>PARANÁ</t>
  </si>
  <si>
    <t>PARANÁ_CULTURA_VIVA_002.pdf</t>
  </si>
  <si>
    <t>PARANÁ_CULTURA_VIVA_004.pdf</t>
  </si>
  <si>
    <t>PARANÁ_CULTURA_VIVA_006.pdf</t>
  </si>
  <si>
    <t>PARANÁ_FOMENTO_001.pdf</t>
  </si>
  <si>
    <t>PARANÁ_FOMENTO_0022.pdf</t>
  </si>
  <si>
    <t>PARANÁ_FOMENTO_1233.pdf</t>
  </si>
  <si>
    <t>PARANÁ_PREMIO_02.pdf</t>
  </si>
  <si>
    <t>PARANÁ_SUBISIDIO_008.pdf</t>
  </si>
  <si>
    <t>PARAÍBA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</si>
  <si>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</si>
  <si>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</si>
  <si>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</si>
  <si>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</si>
  <si>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</si>
  <si>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</si>
  <si>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PARAÍBA_Edital_de_Premiação_8.pdf</t>
  </si>
  <si>
    <t>PARAÍBA_FOMENTO_ 0013.pdf</t>
  </si>
  <si>
    <t>PARAÍBA_FOMENTO_014.pdf</t>
  </si>
  <si>
    <t>PARAÍBA_PREMIAÇÃO CULTURAL_009.pdf</t>
  </si>
  <si>
    <t>PARAÍBA_PREMIAÇÃO_0018.pdf</t>
  </si>
  <si>
    <t>PARAÍBA_PREMIAÇÃO_011.pdf</t>
  </si>
  <si>
    <t>PARAÍBA_PREMIAÇÃO_10.pdf</t>
  </si>
  <si>
    <t>PARÁ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</si>
  <si>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</si>
  <si>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</si>
  <si>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</si>
  <si>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</si>
  <si>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</si>
  <si>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PARÁ_PREMIAÇÃO_008_2025.pdf</t>
  </si>
  <si>
    <t>PARÁ_SUBSÍDIO_007.pdf</t>
  </si>
  <si>
    <t>PERNAMBUCO</t>
  </si>
  <si>
    <t>PERNAMBUCO_Edital_de_Bolsas_1.pdf</t>
  </si>
  <si>
    <t>PERNAMBUCO_Edital_de_Fomento_1.pdf</t>
  </si>
  <si>
    <t>PERNAMBUCO_Edital_de_Premiação_1.pdf</t>
  </si>
  <si>
    <t>PERNAMBUCO_Edital_de_Premiação_5.pdf</t>
  </si>
  <si>
    <t>PERNAMBUCO_Edital_TCC_-_Pontos_PNCV_1.pdf</t>
  </si>
  <si>
    <t>PERNAMBUCO_Edital_TCC_-_Pontões_PNCV_1.pdf</t>
  </si>
  <si>
    <t>PIAUÍ</t>
  </si>
  <si>
    <t>PIAUÍ_Edital_de_Fomento_1.pdf</t>
  </si>
  <si>
    <t>PIAUÍ_Edital_de_Fomento_2.pdf</t>
  </si>
  <si>
    <t>PIAUÍ_Edital_de_Premiação_1.pdf</t>
  </si>
  <si>
    <t>PIAUÍ_Edital_TCC_-_Pontos_PNCV_1.pdf</t>
  </si>
  <si>
    <t>PIAUÍ_Edital_TCC_-_Pontões_PNCV_1.pdf</t>
  </si>
  <si>
    <t>RIO DE JANEIRO_CULTURA VIVA_2.pdf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</si>
  <si>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</si>
  <si>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</si>
  <si>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</si>
  <si>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</si>
  <si>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</si>
  <si>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RIO GRANDE DO NORTE</t>
  </si>
  <si>
    <t>RIO GRANDE DO NORTE_Edital_de_Fomento_1.pdf</t>
  </si>
  <si>
    <t>RIO GRANDE DO NORTE_Edital_de_Fomento_2.pdf</t>
  </si>
  <si>
    <t>RIO GRANDE DO NORTE_Edital_de_Fomento_3.pdf</t>
  </si>
  <si>
    <t>RIO GRANDE DO NORTE_Edital_de_Fomento_4.pdf</t>
  </si>
  <si>
    <t>RIO GRANDE DO NORTE_Edital_de_Fomento_5.pdf</t>
  </si>
  <si>
    <t>RIO GRANDE DO NORTE_Edital_de_Fomento_6.pdf</t>
  </si>
  <si>
    <t>RIO GRANDE DO NORTE_Edital_de_Fomento_7.pdf</t>
  </si>
  <si>
    <t>RIO GRANDE DO NORTE_Edital_de_Premiação_3.pdf</t>
  </si>
  <si>
    <t>RIO GRANDE DO NORTE_Edital_de_Premiação_4.pdf</t>
  </si>
  <si>
    <t>RIO GRANDE DO NORTE_Edital_Premiação_-_Pontos_e_Pontões_PNCV_1.pdf</t>
  </si>
  <si>
    <t>RIO GRANDE DO NORTE_FOMENTO_0044.pdf</t>
  </si>
  <si>
    <t>RIO GRANDE DO NORTE_FOMENTO_01.pdf</t>
  </si>
  <si>
    <t>RIO GRANDE DO NORTE_FOMENTO_2.pdf</t>
  </si>
  <si>
    <t>RIO GRANDE DO NORTE_FOMENTO_22.pdf</t>
  </si>
  <si>
    <t>RIO GRANDE DO NORTE_FOMENTO_99.pdf</t>
  </si>
  <si>
    <t>RIO GRANDE DO NORTE_PREMIAÇÃO_003.pdf</t>
  </si>
  <si>
    <t>RIO GRANDE DO NORTE_SUBSÍDIO_24.pdf</t>
  </si>
  <si>
    <t>RIO GRANDE DO SUL_Edital_de_Fomento_4.pdf</t>
  </si>
  <si>
    <t>RIO GRANDE DO SUL_Edital_TCC_-_Pontos_e_Pontões_PNCV_1.pdf</t>
  </si>
  <si>
    <t>RORAIMA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</si>
  <si>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</si>
  <si>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</si>
  <si>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</si>
  <si>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</si>
  <si>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</si>
  <si>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SANTA CATARINA_CULTURA_VIVA_02.pdf</t>
  </si>
  <si>
    <t>SANTA CATARINA_PREMIAÇÃO.pdf</t>
  </si>
  <si>
    <t>SANTA CATARINA_PREMIAÇÃO_X.pdf</t>
  </si>
  <si>
    <t>SERGIPE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</si>
  <si>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</si>
  <si>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</si>
  <si>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</si>
  <si>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</si>
  <si>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</si>
  <si>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</si>
  <si>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</si>
  <si>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</si>
  <si>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SÃO PAULO_Edital_de_Fomento_1.pdf</t>
  </si>
  <si>
    <t>SÃO PAULO_Edital_de_Fomento_10.pdf</t>
  </si>
  <si>
    <t>SÃO PAULO_Edital_de_Fomento_12.pdf</t>
  </si>
  <si>
    <t>SÃO PAULO_Edital_de_Fomento_13.pdf</t>
  </si>
  <si>
    <t>SÃO PAULO_Edital_de_Fomento_15.pdf</t>
  </si>
  <si>
    <t>SÃO PAULO_Edital_de_Fomento_16.pdf</t>
  </si>
  <si>
    <t>SÃO PAULO_Edital_de_Fomento_17.pdf</t>
  </si>
  <si>
    <t>SÃO PAULO_Edital_de_Fomento_18.pdf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</si>
  <si>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</si>
  <si>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</si>
  <si>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</si>
  <si>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</si>
  <si>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</si>
  <si>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</si>
  <si>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</si>
  <si>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</si>
  <si>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</si>
  <si>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</si>
  <si>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</si>
  <si>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</si>
  <si>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SÃO PAULO_Edital_de_Premiação_2.pdf</t>
  </si>
  <si>
    <t>SÃO PAULO_Edital_de_Subsídio_1.pdf</t>
  </si>
  <si>
    <t>SÃO PAULO_Edital_de_Subsídio_2.pdf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</si>
  <si>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</si>
  <si>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</si>
  <si>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</si>
  <si>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</si>
  <si>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</si>
  <si>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</si>
  <si>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</si>
  <si>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TOCANTINS</t>
  </si>
  <si>
    <t>TOCANTINS_Edital_de_Bolsa_1.pdf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</si>
  <si>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</si>
  <si>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</si>
  <si>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</si>
  <si>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</si>
  <si>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</si>
  <si>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TOCANTINS_Edital_de_Subsídio_a_Espaços_Culturais_1.pdf</t>
  </si>
  <si>
    <t>TOCANTINS_Edital_Premiação_-_Pontos_e_Pontões_PNCV_1.pdf</t>
  </si>
  <si>
    <t>TOCANTINS_Edital_TCC_-_Pontos_PNCV_1.pdf</t>
  </si>
  <si>
    <t>TOCATINS_FOMENTO_33.pdf</t>
  </si>
  <si>
    <t>2025-01_AMAZONAS_FOMENTO.pdf</t>
  </si>
  <si>
    <t>2025-03_AMAZONAS_CULTURAVIVA.pdf</t>
  </si>
  <si>
    <t>porcentagem pcd abaixo, mas tudo certo por arrendondamento</t>
  </si>
  <si>
    <t>2025-06_AMAZONAS_FOMENTO.pdf</t>
  </si>
  <si>
    <t>2025-08_RO_PRÊMIO.pdf</t>
  </si>
  <si>
    <t>2024-12_ARACAJU_CULTURAVIVA.pdf.pdf</t>
  </si>
  <si>
    <t>2024-11_ARACAJU_CULTURAVIVA.pdf.pdf</t>
  </si>
  <si>
    <t>2025-06_ARACAJU_FOMENTO.pdf</t>
  </si>
  <si>
    <t>BELÉM</t>
  </si>
  <si>
    <t>2024-04_BELÉM_FOMENTO.pdf.pdf</t>
  </si>
  <si>
    <t>BELO HORIZONTE</t>
  </si>
  <si>
    <t>2024-01_BH_CULTURAVIVA.pdf</t>
  </si>
  <si>
    <t>2024-02_BH_PRÊMIO.pdf</t>
  </si>
  <si>
    <t>2024-03_BH_FOMENTO.pdf</t>
  </si>
  <si>
    <t>BOA VISTA</t>
  </si>
  <si>
    <t>2025-05_BOAVISTA_CULTURAVIVA.pdf</t>
  </si>
  <si>
    <t>2025-04_BOAVISTA_FOMENTO.pdf</t>
  </si>
  <si>
    <t>CAMPO GRANDE</t>
  </si>
  <si>
    <t>2025-13_CAMPOGRANDE_FOMENTO.pdf</t>
  </si>
  <si>
    <t>2024-12_CAMPOGRANDE_SUBSÍDIO.pdf</t>
  </si>
  <si>
    <t>2024-13_CAMPOGRANDE_FOMENTO.pdf</t>
  </si>
  <si>
    <t>CUIABÁ</t>
  </si>
  <si>
    <t>2024-02_CUIABÁ_SUBSÍDIO.pdf</t>
  </si>
  <si>
    <t>2024-03_CUIABÁ_CULTURAVIVA.pdf</t>
  </si>
  <si>
    <t>2024-01_CUIABÁ_FOMENTO.pdf</t>
  </si>
  <si>
    <t>CURITIBA</t>
  </si>
  <si>
    <t>2025-10_CURITIBA_CULTURAVIVA.pdf.pdf</t>
  </si>
  <si>
    <t>2024-31_CURITIBA_CULTURAVIVA.pdf.pdf</t>
  </si>
  <si>
    <t>2024-32_CURITIBA_FOMENTO.pdf</t>
  </si>
  <si>
    <t>2024-45_FLORIPA_FOMENTO.pdf.pdf</t>
  </si>
  <si>
    <t>alterada porcentagem pessoa indígena</t>
  </si>
  <si>
    <t>2024-47_FLORIPA_CULTURAVIVA.pdf</t>
  </si>
  <si>
    <t>2025-09_FORTALEZA_PRÊMIO.pdf</t>
  </si>
  <si>
    <t>2025-01_FORTALEZA_PRÊMIO.pdf</t>
  </si>
  <si>
    <t>2024-26_FORTALEZA_FOMENTO.pdf</t>
  </si>
  <si>
    <t>2024-23_FORTALEZA_FOMENTO.pdf</t>
  </si>
  <si>
    <t>2024-22_FORTALEZA_FOMENTO.pdf</t>
  </si>
  <si>
    <t>2024-21_FORTALEZA_FOMENTO.pdf</t>
  </si>
  <si>
    <t>2024-19_FORTALEZA_FOMENTO.pdf</t>
  </si>
  <si>
    <t>2024-18_FORTALEZA_FOMENTO.pdf</t>
  </si>
  <si>
    <t>GOIÂNIA</t>
  </si>
  <si>
    <t>2024-10_GOIÂNIA_FOMENTO.pdf</t>
  </si>
  <si>
    <t>2024-09_GOIÂNIA_FOMENTO.pdf</t>
  </si>
  <si>
    <t>2024-12_GOIÂNIA_SUBSÍDIO.pdf</t>
  </si>
  <si>
    <t>2024-11_GOIÂNIA_FOMENTO.pdf</t>
  </si>
  <si>
    <t>2024-13_GOIÂNIA_CULTURAVIVA.pdf</t>
  </si>
  <si>
    <t>2024-08_GOIÂNIA_FOMENTO.pdf</t>
  </si>
  <si>
    <t>2024-05_JOAOPESSOA_CULTURAVIVA.pdf.pdf</t>
  </si>
  <si>
    <t>2024-07_JOAOPESSOA_SUBSÍDIO.pdf</t>
  </si>
  <si>
    <t>2024-11_JOAOPESSOA_CULTURAVIVA.pdf.pdf</t>
  </si>
  <si>
    <t>MACAPÁ</t>
  </si>
  <si>
    <t>2024-03_MACAPÁ_PRÊMIO.pdf</t>
  </si>
  <si>
    <t>2024-05_MACAPÁ_CULTURAVIVA.pdf.pdf</t>
  </si>
  <si>
    <t>2024-04_MACAPÁ_FOMENTO.pdf</t>
  </si>
  <si>
    <t>MACEIÓ</t>
  </si>
  <si>
    <t>2024-09_MACEIÓ_CULTURAVIVA.pdf</t>
  </si>
  <si>
    <t>2024-08_MACEIÓ_PRÊMIO.pdf</t>
  </si>
  <si>
    <t>2024-03_MACEIÓ_FOMENTO.pdf</t>
  </si>
  <si>
    <t>2024-04_MACEIÓ_FOMENTO.pdf</t>
  </si>
  <si>
    <t>2024-10_MACEIÓ_CULTURAVIVA.pdf</t>
  </si>
  <si>
    <t>2024-10_MANAUS_PRÊMIO.pdf</t>
  </si>
  <si>
    <t>2024-03_MANAUS_FOMENTO.pdf</t>
  </si>
  <si>
    <t>2024-04_MANAUS_FOMENTO.pdf</t>
  </si>
  <si>
    <t>2024-09_MANAUS_FOMENTO.pdf</t>
  </si>
  <si>
    <t>2024-05_MANAUS_CULTURAVIVA.pdf</t>
  </si>
  <si>
    <t>2024-08_MANAUS_FOMENTO.pdf</t>
  </si>
  <si>
    <t>2024-07_MANAUS_SUBSÍDIO.pdf</t>
  </si>
  <si>
    <t>2024-06_MANAUS_CULTURAVIVA.pdf</t>
  </si>
  <si>
    <t>NATAL</t>
  </si>
  <si>
    <t>2024-11_NATAL_PRÊMIO.pdf</t>
  </si>
  <si>
    <t>2024-09_NATAL_BOLSA.pdf</t>
  </si>
  <si>
    <t>2024-10_NATAL_SUBSÍDIO.pdf.pdf</t>
  </si>
  <si>
    <t>2024-08_NATAL_FOMENTO.pdf</t>
  </si>
  <si>
    <t>2024-16_NATAL_CULTURAVIVA.pdf</t>
  </si>
  <si>
    <t>2024-15_NATAL_CULTURAVIVA.pdf</t>
  </si>
  <si>
    <t>2024-12_NATAL_FOMENTO.pdf.pdf</t>
  </si>
  <si>
    <t>PALMAS</t>
  </si>
  <si>
    <t>2024-18_PALMAS_CULTURAVIVA.pdf</t>
  </si>
  <si>
    <t>2024-19_PALMAS_SUBSÍDIO.pdf</t>
  </si>
  <si>
    <t>2024-15_PALMAS_FOMENTO.pdf</t>
  </si>
  <si>
    <t>2024-17_PALMAS_CULTURAVIVA.pdf</t>
  </si>
  <si>
    <t>2024-16_PALMAS_FOMENTO.pdf</t>
  </si>
  <si>
    <t>PORTO ALEGRE</t>
  </si>
  <si>
    <t>2024-02_PORTOALEGRE_PRÊMIO.pdf</t>
  </si>
  <si>
    <t>2024-04_PORTOALEGRE_PRÊMIO.pdf.pdf</t>
  </si>
  <si>
    <t>2024-03_PORTOALEGRE_CULTURAVIVA.pdf</t>
  </si>
  <si>
    <t>2024-05_PORTOALEGRE_PRÊMIO.pdf</t>
  </si>
  <si>
    <t>2025-07_PORTOVELHO_CULTURAVIVA.pdf</t>
  </si>
  <si>
    <t>2025-05_PORTOVELHO_CULTURAVIVA.pdf</t>
  </si>
  <si>
    <t>2025-08_PORTOVELHO_FOMENTO.pdf</t>
  </si>
  <si>
    <t>2024-11_RIOBRANCO_CULTURAVIVA.pdf</t>
  </si>
  <si>
    <t>2025-01_RIOBRANCO_CULTURAVIVA.pdf</t>
  </si>
  <si>
    <t>2024-06_RIOBRANCO_BOLSA.pdf</t>
  </si>
  <si>
    <t>2024-12_RIODEJANEIRO_FOMENTO.pdf</t>
  </si>
  <si>
    <t>2024-13_RIODEJANEIRO_FOMENTO.pdf</t>
  </si>
  <si>
    <t>2024-06_RIODEJANEIRO_CULTURAVIVA.pdf</t>
  </si>
  <si>
    <t>2024-07_RIODEJANEIRO_CULTURAVIVA.pdf</t>
  </si>
  <si>
    <t>SÃO LUIS</t>
  </si>
  <si>
    <t>2025-08_SAOLUIS_PRÊMIO.pdf</t>
  </si>
  <si>
    <t>2025-07_SAOLUIS_CULTURAVIVA.pdf</t>
  </si>
  <si>
    <t>2025-05_SAOLUIS_CULTURAVIVA.pdf</t>
  </si>
  <si>
    <t>2025-06_SAOLUIS_FOMENTO.pdf</t>
  </si>
  <si>
    <t>SÃO PAULO</t>
  </si>
  <si>
    <t>2025-06_SAOPAULO_FOMENTO.pdf</t>
  </si>
  <si>
    <t>2025-03_SAOPAULO_FOMENTO.pdf</t>
  </si>
  <si>
    <t>2025-05_SAOPAULO_FOMENTO.pdf</t>
  </si>
  <si>
    <t>2025-04_SAOPAULO_FOMENTO.pdf</t>
  </si>
  <si>
    <t>2025-08_SAOPAULO_FOMENTO.pdf</t>
  </si>
  <si>
    <t>2025-01_SAOPAULO_FOMENTO.pdf</t>
  </si>
  <si>
    <t>2025-09_SAOPAULO_FOMENTO.pdf</t>
  </si>
  <si>
    <t>2025-02_SAOPAULO_FOMENTO.pdf.pdf</t>
  </si>
  <si>
    <t>2024-36_SAOPAULO_CULTURAVIVA.pdf</t>
  </si>
  <si>
    <t>2024-08_TERESINA_PRÊMIO.pdf</t>
  </si>
  <si>
    <t>2024-10_TERESINA_CULTURAVIVA.pdf</t>
  </si>
  <si>
    <t>2024-07_TERESINA_FOMENTO.pdf</t>
  </si>
  <si>
    <t>VITÓRIA</t>
  </si>
  <si>
    <t>2024-06_VITÓRIA_FOMENTO.pdf</t>
  </si>
  <si>
    <t>2024-05_VITÓRIA_SUBSÍDIO.pdf</t>
  </si>
  <si>
    <t>2024-07_VITÓRIA_FOMENTO.pdf</t>
  </si>
  <si>
    <t>2024-04_VITÓRIA_FOMENTO.pdf</t>
  </si>
  <si>
    <t>2024-02_VITÓRIA_CULTURAVIVA.pdf</t>
  </si>
  <si>
    <t>2024-16_FORTALEZA_FOMENTO.pdf</t>
  </si>
  <si>
    <t>MG_FOMENTO_112024.pdf</t>
  </si>
  <si>
    <t>MG_FOMENTO_052024.pdf</t>
  </si>
  <si>
    <t>ALAGOAS_FOMENTO_192024.pdf</t>
  </si>
  <si>
    <t>retirado da contabilização de específicos, porque tem cotas para todos os segmentos e ampla concorrência</t>
  </si>
  <si>
    <t>ALAGOAS_FOMENTO_272024.pdf</t>
  </si>
  <si>
    <t>ALAGOAS_FOMENTO_252024.pdf</t>
  </si>
  <si>
    <t>porcentagem indígena abaixo, tudo certo por arrendondamento</t>
  </si>
  <si>
    <t>ALAGOAS_FOMENTO_102024.pdf</t>
  </si>
  <si>
    <t>ALAGOAS_FOMENTO_072024.pdf</t>
  </si>
  <si>
    <t>ALAGOAS_FOMENTO_122024.pdf</t>
  </si>
  <si>
    <t>MG_BOLSA_122024.pdf</t>
  </si>
  <si>
    <t>SANTA CATARINA_FOMENTO_435.pdf</t>
  </si>
  <si>
    <t>ALAGOAS_FOMENTO_182024.pdf</t>
  </si>
  <si>
    <t>AMAPÁ_FOMENTO_012024.pdf</t>
  </si>
  <si>
    <t>ACRE_BOLSA_112024.pdf</t>
  </si>
  <si>
    <t>ALAGOAS_PRÊMIO_062024.pdf</t>
  </si>
  <si>
    <t>2025-05_RO_PRÊMIO.pdf</t>
  </si>
  <si>
    <t>2024-14_CAMPOGRANDE_FOMENTO.pdf</t>
  </si>
  <si>
    <t>2024-08_JOAOPESSOA_BOLSA.pdf</t>
  </si>
  <si>
    <t>2024-06_JOAOPESSOA_PRÊMIO.pdf.pdf</t>
  </si>
  <si>
    <t>2024-07_MACEIÓ_FOMENTO.pdf</t>
  </si>
  <si>
    <t>ACRE_SUBSÍDIO_102024.pdf</t>
  </si>
  <si>
    <t>ALAGOAS_FOMENTO_092024.pdf</t>
  </si>
  <si>
    <t>RIO GRANDE DO SUL_Edital_de_Fomento_2.pdf</t>
  </si>
  <si>
    <t>ALAGOAS_FOMENTO_202024.pdf</t>
  </si>
  <si>
    <t>DF_CULTURAVIVA_492024.pdf</t>
  </si>
  <si>
    <t>ACRE_FOMENTO_072024.pdf</t>
  </si>
  <si>
    <t>ALAGOAS_FOMENTO_152024.pdf</t>
  </si>
  <si>
    <t>2025-04_AMAZONAS_CULTURAVIVA.pdf</t>
  </si>
  <si>
    <t>2024-06_MACEIÓ_FOMENTO.pdf</t>
  </si>
  <si>
    <t>ACRE_CULTURAVIVA_012025.pdf</t>
  </si>
  <si>
    <t>GO_CULTURAVIVA_012025.pdf</t>
  </si>
  <si>
    <t>2024-05_MACEIÓ_FOMENTO.pdf</t>
  </si>
  <si>
    <t>RECIFE</t>
  </si>
  <si>
    <t>2024-01_RECIFE_FOMENTO.pdf</t>
  </si>
  <si>
    <t>2024-02_RECIFE_FOMENTO.pdf.pdf</t>
  </si>
  <si>
    <t>2025-01_RECIFE_CULTURAVIVA.pdf.pdf</t>
  </si>
  <si>
    <t>2024-03_RECIFE_FOMENTO.pdf.pdf</t>
  </si>
  <si>
    <t>2025-03_RIODEJANEIRO_FOMENTO.pdf</t>
  </si>
  <si>
    <t>ACRE_FOMENTO_092024.pdf</t>
  </si>
  <si>
    <t>ALAGOAS_PRÊMIO_222024.pdf</t>
  </si>
  <si>
    <t>PARANÁ_SUBSÍDIO_X.pdf</t>
  </si>
  <si>
    <t>ACRE_FOMENTO_082024.pdf</t>
  </si>
  <si>
    <t>BAHIA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</si>
  <si>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</si>
  <si>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</si>
  <si>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</si>
  <si>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</si>
  <si>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</si>
  <si>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</si>
  <si>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</si>
  <si>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</si>
  <si>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</si>
  <si>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</si>
  <si>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</si>
  <si>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</si>
  <si>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</si>
  <si>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</si>
  <si>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</si>
  <si>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</si>
  <si>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</si>
  <si>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</si>
  <si>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</si>
  <si>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</si>
  <si>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</si>
  <si>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</si>
  <si>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</si>
  <si>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</si>
  <si>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</si>
  <si>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</si>
  <si>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</si>
  <si>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SANTA CATARINA_Cultura Viva.pdf</t>
  </si>
  <si>
    <t>SALVADOR</t>
  </si>
  <si>
    <t>2025-01_SALVADOR_FOMENTO.pdf</t>
  </si>
  <si>
    <t>2024-08_SALVADOR_SUBSÍDIO.pdf</t>
  </si>
  <si>
    <t>2024-04_SALVADOR_BOLSA.pdf</t>
  </si>
  <si>
    <t>2024-07_SALVADOR_FOMENTO.pdf</t>
  </si>
  <si>
    <t>2024-10_SALVADOR_FOMENTO.pdf</t>
  </si>
  <si>
    <t>2024-09_SALVADOR_FOMENTO.pdf</t>
  </si>
  <si>
    <t>2024-05_SALVADOR_FOMENTO.pdf</t>
  </si>
  <si>
    <t>2025-02_SALVADOR_CULTURAVIVA.pdf</t>
  </si>
  <si>
    <t>2024-03_SALVADOR_FOMENTO.pdf</t>
  </si>
  <si>
    <t>2024-13_JOAOPESSOA_PRÊMIO.pdf</t>
  </si>
  <si>
    <t xml:space="preserve">específico negro com cotas para indígenas e ampla concorrência?? corrigida quantidade total de vagas e percentual de pessoas negras. </t>
  </si>
  <si>
    <t>ACRE_CULTURAVIVA_132024.pdf</t>
  </si>
  <si>
    <t>vagas insuficientes para reserva</t>
  </si>
  <si>
    <t>ACRE_PRÊMIO_152024.pdf</t>
  </si>
  <si>
    <t>específico indígena</t>
  </si>
  <si>
    <t>ALAGOAS_CULTURAVIVA_022025.pdf</t>
  </si>
  <si>
    <t>AMAZONAS_FOMENTO_102024.pdf</t>
  </si>
  <si>
    <t>específico negro</t>
  </si>
  <si>
    <t>AMAZONAS_FOMENTO_112024.pdf</t>
  </si>
  <si>
    <t>BAHIA_SUBSÍDIO_222024.pdf</t>
  </si>
  <si>
    <t>específico espaços de culturas periféricas, afro-brasileiras, indígenas, quilombos</t>
  </si>
  <si>
    <t>BAHIA_SUBSÍDIO_232024.pdf</t>
  </si>
  <si>
    <t>específico entidades carnavalescas de matriz africana e congêneres</t>
  </si>
  <si>
    <t>ES_FOMENTO_172024.pdf</t>
  </si>
  <si>
    <t>ES_PRÊMIO_072024.pdf</t>
  </si>
  <si>
    <t>ES_PRÊMIO_162024.pdf</t>
  </si>
  <si>
    <t>MT_CULTURAVIVA_252024.pdf</t>
  </si>
  <si>
    <t>MS_PRÊMIO_102024.pdf</t>
  </si>
  <si>
    <t>específico para indígenas e quilombolas</t>
  </si>
  <si>
    <t>MG_BOLSA_132024.pdf</t>
  </si>
  <si>
    <t>não há descumprimento, percentuais incluídos</t>
  </si>
  <si>
    <t>MG_FOMENTO_062024.pdf</t>
  </si>
  <si>
    <t>MG_FOMENTO_072024.pdf</t>
  </si>
  <si>
    <t>feito, percentuais incluídos</t>
  </si>
  <si>
    <t>MG_FOMENTO_082024.pdf</t>
  </si>
  <si>
    <t>MG_FOMENTO_102024.pdf</t>
  </si>
  <si>
    <t>MG_SUBSÍDIO_092024.pdf</t>
  </si>
  <si>
    <t>2024-12_PARAÍBA_PRÊMIO.pdf</t>
  </si>
  <si>
    <t>2024-13_PARAÍBA_PRÊMIO.pdf</t>
  </si>
  <si>
    <t>específico quilombola</t>
  </si>
  <si>
    <t>PARAÍBA_Edital_de_Premiação_7.pdf</t>
  </si>
  <si>
    <t>específico cigano</t>
  </si>
  <si>
    <t>PERNAMBUCO_Edital_de_Premiação_3.pdf</t>
  </si>
  <si>
    <t>específico mulheres negras, com reserva para "mulheres negras indígenas"?</t>
  </si>
  <si>
    <t>RIO DE JANEIRO_CULTURA_VIVA.pdf</t>
  </si>
  <si>
    <t>2024-05_RN_PRÊMIO.pdf</t>
  </si>
  <si>
    <t>RIO GRANDE DO NORTE_Edital_de_Premiação_2.pdf</t>
  </si>
  <si>
    <t>RIO GRANDE DO NORTE_Edital_TCC_-_Pontos_e_Pontões_PNCV_1.pdf</t>
  </si>
  <si>
    <t>2024-18_RN_FOMENTO.pdf</t>
  </si>
  <si>
    <t>2024-26_RS_FOMENTO.pdf</t>
  </si>
  <si>
    <t>não há descumprimento. percentuais incluídos.</t>
  </si>
  <si>
    <t>2024-28_RS_FOMENTO.pdf</t>
  </si>
  <si>
    <t>não há descumprimento, apesar da porcentagem aparecer menor em pcd, pelas regras de arredondamento, tudo certo. Percentuais incluídos.</t>
  </si>
  <si>
    <t>2024-30_RS_FOMENTO.pdf</t>
  </si>
  <si>
    <t>2024-32_RS_FOMENTO.pdf</t>
  </si>
  <si>
    <t>2024-31_TOCANTINS_BOLSA.pdf</t>
  </si>
  <si>
    <t>específico indígena, corrigida quantidade de vagas</t>
  </si>
  <si>
    <t>2024-32_TOCANTINS_BOLSA.pdf</t>
  </si>
  <si>
    <t>específico quilombola, corrigida quantidade de vagas</t>
  </si>
  <si>
    <t>TOCANTINS_Edital_TCC_-_Pontões_PNCV_1.pdf</t>
  </si>
  <si>
    <t>2024-09_ARACAJU_BOLSA.pdf.pdf</t>
  </si>
  <si>
    <t>inconclusivo</t>
  </si>
  <si>
    <t>2025-06_BOAVISTA_FOMENTO.pdf</t>
  </si>
  <si>
    <t>2025-10_FORTALEZA_FOMENTO.pdf</t>
  </si>
  <si>
    <t>específico pessoa com deficiência</t>
  </si>
  <si>
    <t>2025-07_FORTALEZA_PRÊMIO.pdf</t>
  </si>
  <si>
    <t>2024-25_FORTALEZA_FOMENTO.pdf</t>
  </si>
  <si>
    <t>2025-01_PORTOALEGRE_CULTURAVIVA.pdf</t>
  </si>
  <si>
    <t>2024-09_RIOBRANCO_PRÊMIO.pdf</t>
  </si>
  <si>
    <t>2024-11_RIODEJANEIRO_CULTURAVIVA.pdf</t>
  </si>
  <si>
    <t>2024-03_VITÓRIA_FOMENTO.pdf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</si>
</sst>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u/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rgb="FF242424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8">
    <xf numFmtId="0" fontId="0" fillId="0" borderId="0" xfId="0"/>
    <xf numFmtId="9" fontId="0" fillId="0" borderId="0" xfId="0" applyNumberFormat="1"/>
    <xf numFmtId="0" fontId="5" fillId="5" borderId="1" xfId="0" applyFont="1" applyFill="1" applyBorder="1"/>
    <xf numFmtId="0" fontId="4" fillId="5" borderId="1" xfId="0" applyFont="1" applyFill="1" applyBorder="1"/>
    <xf numFmtId="9" fontId="4" fillId="5" borderId="1" xfId="0" applyNumberFormat="1" applyFont="1" applyFill="1" applyBorder="1"/>
    <xf numFmtId="0" fontId="5" fillId="7" borderId="1" xfId="0" applyFont="1" applyFill="1" applyBorder="1"/>
    <xf numFmtId="0" fontId="4" fillId="7" borderId="1" xfId="0" applyFont="1" applyFill="1" applyBorder="1"/>
    <xf numFmtId="9" fontId="4" fillId="7" borderId="1" xfId="0" applyNumberFormat="1" applyFont="1" applyFill="1" applyBorder="1"/>
    <xf numFmtId="0" fontId="4" fillId="9" borderId="1" xfId="0" applyFont="1" applyFill="1" applyBorder="1"/>
    <xf numFmtId="0" fontId="5" fillId="9" borderId="1" xfId="0" applyFont="1" applyFill="1" applyBorder="1"/>
    <xf numFmtId="0" fontId="3" fillId="0" borderId="0" xfId="0" applyFont="1"/>
    <xf numFmtId="0" fontId="0" fillId="0" borderId="1" xfId="0" applyBorder="1"/>
    <xf numFmtId="0" fontId="5" fillId="0" borderId="1" xfId="0" applyFont="1" applyBorder="1"/>
    <xf numFmtId="0" fontId="7" fillId="10" borderId="0" xfId="0" applyFont="1" applyFill="1" applyAlignment="1">
      <alignment horizontal="center" vertical="center"/>
    </xf>
    <xf numFmtId="49" fontId="0" fillId="4" borderId="0" xfId="0" applyNumberFormat="1" applyFill="1"/>
    <xf numFmtId="0" fontId="0" fillId="11" borderId="0" xfId="0" applyFill="1"/>
    <xf numFmtId="0" fontId="0" fillId="9" borderId="0" xfId="0" applyFill="1"/>
    <xf numFmtId="0" fontId="0" fillId="12" borderId="0" xfId="0" applyFill="1"/>
    <xf numFmtId="0" fontId="0" fillId="4" borderId="0" xfId="0" applyFill="1"/>
    <xf numFmtId="49" fontId="0" fillId="8" borderId="0" xfId="0" applyNumberFormat="1" applyFill="1"/>
    <xf numFmtId="49" fontId="0" fillId="13" borderId="0" xfId="0" applyNumberFormat="1" applyFill="1"/>
    <xf numFmtId="0" fontId="8" fillId="4" borderId="0" xfId="0" applyFont="1" applyFill="1" applyAlignment="1">
      <alignment horizontal="center" vertical="center"/>
    </xf>
    <xf numFmtId="49" fontId="9" fillId="4" borderId="0" xfId="0" applyNumberFormat="1" applyFont="1" applyFill="1"/>
    <xf numFmtId="0" fontId="9" fillId="4" borderId="0" xfId="0" applyFont="1" applyFill="1"/>
    <xf numFmtId="9" fontId="2" fillId="0" borderId="0" xfId="0" applyNumberFormat="1" applyFont="1"/>
    <xf numFmtId="49" fontId="9" fillId="13" borderId="0" xfId="0" applyNumberFormat="1" applyFont="1" applyFill="1"/>
    <xf numFmtId="0" fontId="0" fillId="13" borderId="0" xfId="0" applyFill="1"/>
    <xf numFmtId="0" fontId="11" fillId="8" borderId="1" xfId="1" applyFont="1" applyFill="1" applyBorder="1"/>
    <xf numFmtId="0" fontId="11" fillId="13" borderId="1" xfId="1" applyFont="1" applyFill="1" applyBorder="1"/>
    <xf numFmtId="0" fontId="10" fillId="4" borderId="0" xfId="0" applyFont="1" applyFill="1"/>
    <xf numFmtId="49" fontId="0" fillId="2" borderId="0" xfId="0" applyNumberFormat="1" applyFill="1"/>
    <xf numFmtId="0" fontId="0" fillId="2" borderId="0" xfId="0" applyFill="1"/>
    <xf numFmtId="164" fontId="0" fillId="0" borderId="0" xfId="0" applyNumberFormat="1"/>
    <xf numFmtId="164" fontId="2" fillId="0" borderId="0" xfId="0" applyNumberFormat="1" applyFont="1"/>
    <xf numFmtId="0" fontId="0" fillId="8" borderId="0" xfId="0" applyFill="1"/>
    <xf numFmtId="49" fontId="0" fillId="15" borderId="0" xfId="0" applyNumberFormat="1" applyFill="1"/>
    <xf numFmtId="0" fontId="0" fillId="15" borderId="0" xfId="0" applyFill="1"/>
    <xf numFmtId="0" fontId="12" fillId="8" borderId="0" xfId="1" applyFont="1" applyFill="1" applyBorder="1"/>
    <xf numFmtId="0" fontId="12" fillId="8" borderId="1" xfId="1" applyFont="1" applyFill="1" applyBorder="1"/>
    <xf numFmtId="0" fontId="12" fillId="13" borderId="1" xfId="1" applyFont="1" applyFill="1" applyBorder="1"/>
    <xf numFmtId="49" fontId="9" fillId="15" borderId="0" xfId="0" applyNumberFormat="1" applyFont="1" applyFill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164" fontId="0" fillId="0" borderId="1" xfId="0" applyNumberFormat="1" applyBorder="1"/>
    <xf numFmtId="164" fontId="2" fillId="0" borderId="1" xfId="0" applyNumberFormat="1" applyFont="1" applyBorder="1"/>
    <xf numFmtId="9" fontId="4" fillId="0" borderId="1" xfId="0" applyNumberFormat="1" applyFont="1" applyBorder="1" applyAlignment="1">
      <alignment horizontal="center" wrapText="1"/>
    </xf>
    <xf numFmtId="9" fontId="4" fillId="0" borderId="1" xfId="0" applyNumberFormat="1" applyFont="1" applyBorder="1" applyAlignment="1">
      <alignment horizontal="center"/>
    </xf>
    <xf numFmtId="9" fontId="5" fillId="4" borderId="1" xfId="0" applyNumberFormat="1" applyFont="1" applyFill="1" applyBorder="1"/>
    <xf numFmtId="9" fontId="5" fillId="0" borderId="1" xfId="0" applyNumberFormat="1" applyFont="1" applyBorder="1"/>
    <xf numFmtId="0" fontId="5" fillId="4" borderId="1" xfId="0" applyFont="1" applyFill="1" applyBorder="1" applyAlignment="1">
      <alignment wrapText="1"/>
    </xf>
    <xf numFmtId="0" fontId="5" fillId="0" borderId="3" xfId="0" applyFont="1" applyBorder="1"/>
    <xf numFmtId="0" fontId="5" fillId="4" borderId="3" xfId="0" applyFont="1" applyFill="1" applyBorder="1" applyAlignment="1">
      <alignment wrapText="1"/>
    </xf>
    <xf numFmtId="0" fontId="0" fillId="16" borderId="1" xfId="0" applyFill="1" applyBorder="1"/>
    <xf numFmtId="0" fontId="0" fillId="16" borderId="0" xfId="0" applyFill="1"/>
    <xf numFmtId="0" fontId="3" fillId="4" borderId="0" xfId="0" applyFont="1" applyFill="1"/>
    <xf numFmtId="0" fontId="1" fillId="4" borderId="1" xfId="1" applyFill="1" applyBorder="1" applyAlignment="1"/>
    <xf numFmtId="0" fontId="0" fillId="4" borderId="1" xfId="0" applyFill="1" applyBorder="1"/>
    <xf numFmtId="0" fontId="2" fillId="4" borderId="1" xfId="0" applyFont="1" applyFill="1" applyBorder="1"/>
    <xf numFmtId="0" fontId="3" fillId="0" borderId="2" xfId="0" applyFont="1" applyBorder="1"/>
    <xf numFmtId="9" fontId="0" fillId="4" borderId="1" xfId="0" applyNumberFormat="1" applyFill="1" applyBorder="1"/>
    <xf numFmtId="0" fontId="5" fillId="4" borderId="1" xfId="0" applyFont="1" applyFill="1" applyBorder="1"/>
    <xf numFmtId="9" fontId="0" fillId="4" borderId="0" xfId="0" applyNumberFormat="1" applyFill="1"/>
    <xf numFmtId="1" fontId="0" fillId="4" borderId="0" xfId="0" applyNumberFormat="1" applyFill="1"/>
    <xf numFmtId="10" fontId="5" fillId="5" borderId="1" xfId="0" applyNumberFormat="1" applyFont="1" applyFill="1" applyBorder="1"/>
    <xf numFmtId="10" fontId="4" fillId="5" borderId="1" xfId="0" applyNumberFormat="1" applyFont="1" applyFill="1" applyBorder="1" applyAlignment="1">
      <alignment horizontal="right"/>
    </xf>
    <xf numFmtId="10" fontId="5" fillId="7" borderId="1" xfId="0" applyNumberFormat="1" applyFont="1" applyFill="1" applyBorder="1"/>
    <xf numFmtId="10" fontId="4" fillId="7" borderId="1" xfId="0" applyNumberFormat="1" applyFont="1" applyFill="1" applyBorder="1"/>
    <xf numFmtId="10" fontId="5" fillId="9" borderId="1" xfId="0" applyNumberFormat="1" applyFont="1" applyFill="1" applyBorder="1"/>
    <xf numFmtId="10" fontId="4" fillId="9" borderId="1" xfId="0" applyNumberFormat="1" applyFont="1" applyFill="1" applyBorder="1"/>
    <xf numFmtId="9" fontId="4" fillId="9" borderId="1" xfId="0" applyNumberFormat="1" applyFont="1" applyFill="1" applyBorder="1" applyAlignment="1">
      <alignment horizontal="center"/>
    </xf>
    <xf numFmtId="9" fontId="4" fillId="9" borderId="1" xfId="0" applyNumberFormat="1" applyFont="1" applyFill="1" applyBorder="1"/>
    <xf numFmtId="0" fontId="2" fillId="16" borderId="1" xfId="0" applyFont="1" applyFill="1" applyBorder="1" applyAlignment="1">
      <alignment horizontal="center"/>
    </xf>
    <xf numFmtId="0" fontId="4" fillId="17" borderId="1" xfId="0" applyFont="1" applyFill="1" applyBorder="1"/>
    <xf numFmtId="0" fontId="5" fillId="17" borderId="1" xfId="0" applyFont="1" applyFill="1" applyBorder="1"/>
    <xf numFmtId="9" fontId="5" fillId="17" borderId="1" xfId="0" applyNumberFormat="1" applyFont="1" applyFill="1" applyBorder="1"/>
    <xf numFmtId="0" fontId="5" fillId="17" borderId="1" xfId="0" applyFont="1" applyFill="1" applyBorder="1" applyAlignment="1">
      <alignment wrapText="1"/>
    </xf>
    <xf numFmtId="0" fontId="0" fillId="17" borderId="1" xfId="0" applyFill="1" applyBorder="1"/>
    <xf numFmtId="164" fontId="0" fillId="17" borderId="1" xfId="0" applyNumberFormat="1" applyFill="1" applyBorder="1"/>
    <xf numFmtId="164" fontId="2" fillId="17" borderId="1" xfId="0" applyNumberFormat="1" applyFont="1" applyFill="1" applyBorder="1"/>
    <xf numFmtId="0" fontId="0" fillId="17" borderId="0" xfId="0" applyFill="1"/>
    <xf numFmtId="0" fontId="2" fillId="14" borderId="0" xfId="0" applyFont="1" applyFill="1" applyAlignment="1">
      <alignment horizontal="center"/>
    </xf>
    <xf numFmtId="0" fontId="1" fillId="2" borderId="1" xfId="1" applyFill="1" applyBorder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1" fillId="4" borderId="4" xfId="1" applyFill="1" applyBorder="1" applyAlignment="1"/>
    <xf numFmtId="0" fontId="5" fillId="17" borderId="4" xfId="0" applyFont="1" applyFill="1" applyBorder="1"/>
    <xf numFmtId="0" fontId="11" fillId="13" borderId="0" xfId="1" applyFont="1" applyFill="1" applyBorder="1"/>
    <xf numFmtId="49" fontId="9" fillId="13" borderId="1" xfId="0" applyNumberFormat="1" applyFont="1" applyFill="1" applyBorder="1"/>
    <xf numFmtId="0" fontId="11" fillId="13" borderId="0" xfId="1" applyFont="1" applyFill="1" applyBorder="1" applyAlignment="1"/>
    <xf numFmtId="0" fontId="2" fillId="3" borderId="8" xfId="0" applyFont="1" applyFill="1" applyBorder="1"/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left"/>
    </xf>
    <xf numFmtId="164" fontId="0" fillId="4" borderId="1" xfId="0" applyNumberFormat="1" applyFill="1" applyBorder="1"/>
    <xf numFmtId="164" fontId="2" fillId="4" borderId="1" xfId="0" applyNumberFormat="1" applyFont="1" applyFill="1" applyBorder="1"/>
    <xf numFmtId="0" fontId="5" fillId="4" borderId="4" xfId="0" applyFont="1" applyFill="1" applyBorder="1" applyAlignment="1">
      <alignment wrapText="1"/>
    </xf>
    <xf numFmtId="0" fontId="5" fillId="4" borderId="3" xfId="0" applyFont="1" applyFill="1" applyBorder="1"/>
    <xf numFmtId="9" fontId="5" fillId="4" borderId="3" xfId="0" applyNumberFormat="1" applyFont="1" applyFill="1" applyBorder="1"/>
    <xf numFmtId="0" fontId="5" fillId="4" borderId="1" xfId="0" applyFont="1" applyFill="1" applyBorder="1" applyAlignment="1">
      <alignment horizontal="center" wrapText="1"/>
    </xf>
    <xf numFmtId="9" fontId="5" fillId="4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/>
    <xf numFmtId="0" fontId="6" fillId="2" borderId="4" xfId="1" applyFont="1" applyFill="1" applyBorder="1" applyAlignment="1"/>
    <xf numFmtId="9" fontId="5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0" fontId="0" fillId="2" borderId="1" xfId="0" applyFill="1" applyBorder="1"/>
    <xf numFmtId="164" fontId="0" fillId="2" borderId="1" xfId="0" applyNumberFormat="1" applyFill="1" applyBorder="1"/>
    <xf numFmtId="164" fontId="2" fillId="2" borderId="1" xfId="0" applyNumberFormat="1" applyFont="1" applyFill="1" applyBorder="1"/>
    <xf numFmtId="0" fontId="1" fillId="2" borderId="4" xfId="1" applyFill="1" applyBorder="1" applyAlignment="1"/>
    <xf numFmtId="0" fontId="0" fillId="4" borderId="0" xfId="0" applyFill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18" borderId="1" xfId="0" applyFont="1" applyFill="1" applyBorder="1"/>
    <xf numFmtId="0" fontId="1" fillId="18" borderId="4" xfId="1" applyFill="1" applyBorder="1" applyAlignment="1"/>
    <xf numFmtId="9" fontId="5" fillId="18" borderId="1" xfId="0" applyNumberFormat="1" applyFont="1" applyFill="1" applyBorder="1"/>
    <xf numFmtId="0" fontId="5" fillId="18" borderId="1" xfId="0" applyFont="1" applyFill="1" applyBorder="1" applyAlignment="1">
      <alignment wrapText="1"/>
    </xf>
    <xf numFmtId="0" fontId="4" fillId="18" borderId="1" xfId="0" applyFont="1" applyFill="1" applyBorder="1" applyAlignment="1">
      <alignment wrapText="1"/>
    </xf>
    <xf numFmtId="0" fontId="0" fillId="18" borderId="1" xfId="0" applyFill="1" applyBorder="1"/>
    <xf numFmtId="164" fontId="0" fillId="18" borderId="1" xfId="0" applyNumberFormat="1" applyFill="1" applyBorder="1"/>
    <xf numFmtId="164" fontId="2" fillId="18" borderId="1" xfId="0" applyNumberFormat="1" applyFont="1" applyFill="1" applyBorder="1"/>
    <xf numFmtId="0" fontId="0" fillId="18" borderId="0" xfId="0" applyFill="1"/>
    <xf numFmtId="0" fontId="0" fillId="18" borderId="1" xfId="0" applyFill="1" applyBorder="1" applyAlignment="1">
      <alignment horizontal="left" wrapText="1"/>
    </xf>
    <xf numFmtId="0" fontId="0" fillId="18" borderId="1" xfId="0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" fillId="2" borderId="6" xfId="1" applyFill="1" applyBorder="1" applyAlignment="1"/>
    <xf numFmtId="0" fontId="5" fillId="2" borderId="2" xfId="0" applyFont="1" applyFill="1" applyBorder="1"/>
    <xf numFmtId="9" fontId="5" fillId="2" borderId="2" xfId="0" applyNumberFormat="1" applyFont="1" applyFill="1" applyBorder="1"/>
    <xf numFmtId="0" fontId="5" fillId="2" borderId="2" xfId="0" applyFont="1" applyFill="1" applyBorder="1" applyAlignment="1">
      <alignment wrapText="1"/>
    </xf>
    <xf numFmtId="9" fontId="0" fillId="2" borderId="1" xfId="0" applyNumberFormat="1" applyFill="1" applyBorder="1"/>
    <xf numFmtId="0" fontId="4" fillId="2" borderId="1" xfId="0" applyFont="1" applyFill="1" applyBorder="1" applyAlignment="1">
      <alignment wrapText="1"/>
    </xf>
    <xf numFmtId="9" fontId="4" fillId="3" borderId="1" xfId="0" applyNumberFormat="1" applyFont="1" applyFill="1" applyBorder="1" applyAlignment="1">
      <alignment horizontal="center"/>
    </xf>
    <xf numFmtId="9" fontId="4" fillId="6" borderId="1" xfId="0" applyNumberFormat="1" applyFont="1" applyFill="1" applyBorder="1" applyAlignment="1">
      <alignment horizontal="center"/>
    </xf>
    <xf numFmtId="9" fontId="4" fillId="8" borderId="1" xfId="0" applyNumberFormat="1" applyFont="1" applyFill="1" applyBorder="1" applyAlignment="1">
      <alignment horizontal="center"/>
    </xf>
    <xf numFmtId="0" fontId="1" fillId="4" borderId="4" xfId="1" applyFill="1" applyBorder="1" applyAlignment="1"/>
    <xf numFmtId="0" fontId="5" fillId="4" borderId="1" xfId="0" applyFont="1" applyFill="1" applyBorder="1"/>
    <xf numFmtId="0" fontId="1" fillId="4" borderId="7" xfId="1" applyFill="1" applyBorder="1" applyAlignment="1"/>
    <xf numFmtId="0" fontId="1" fillId="4" borderId="6" xfId="1" applyFill="1" applyBorder="1" applyAlignment="1"/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6" fillId="4" borderId="4" xfId="1" applyFont="1" applyFill="1" applyBorder="1" applyAlignment="1"/>
    <xf numFmtId="0" fontId="6" fillId="4" borderId="6" xfId="1" applyFont="1" applyFill="1" applyBorder="1" applyAlignment="1"/>
    <xf numFmtId="0" fontId="6" fillId="4" borderId="7" xfId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45"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color rgb="FF000000"/>
      </font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6E796-5BF5-4C96-9ABC-7BD6A1A2E9DD}" name="Table1" displayName="Table1" ref="A1:U499" totalsRowShown="0" headerRowDxfId="44" dataDxfId="43" tableBorderDxfId="42">
  <autoFilter ref="A1:U499" xr:uid="{7616E796-5BF5-4C96-9ABC-7BD6A1A2E9DD}"/>
  <sortState xmlns:xlrd2="http://schemas.microsoft.com/office/spreadsheetml/2017/richdata2" ref="A2:U499">
    <sortCondition ref="D1:D499"/>
  </sortState>
  <tableColumns count="21">
    <tableColumn id="1" xr3:uid="{53879E5A-244C-4677-8CC0-AF7064B35A0A}" name="ente_federativo" dataDxfId="41" totalsRowDxfId="40"/>
    <tableColumn id="2" xr3:uid="{97CA96B7-F0A8-4AD1-82C6-C006B17EBC29}" name="nome_pdf_pk" dataDxfId="39" totalsRowDxfId="38"/>
    <tableColumn id="21" xr3:uid="{2E5218E3-5D91-4B7E-88AD-99F2D2B2FF79}" name="Conferência/Parecer" dataDxfId="37" totalsRowDxfId="36"/>
    <tableColumn id="3" xr3:uid="{62769DD3-714C-470C-AB06-4F78D81D5E3F}" name="perc_cotas_negras" dataDxfId="35" totalsRowDxfId="34"/>
    <tableColumn id="4" xr3:uid="{800905D2-1AE9-404F-AA12-5F5928AC268F}" name="perc_cotas_indigenas" dataDxfId="33" totalsRowDxfId="32"/>
    <tableColumn id="5" xr3:uid="{D4C0F54C-7320-4796-81ED-F9AD9BD71372}" name="perc_cotas_pcd" dataDxfId="31" totalsRowDxfId="30"/>
    <tableColumn id="6" xr3:uid="{D4ABFC98-BE66-4B4F-9B12-CB5BF91897A2}" name="vagas_totais" dataDxfId="29" totalsRowDxfId="28"/>
    <tableColumn id="7" xr3:uid="{98C3430E-B49A-449F-89E0-D140645FDA33}" name="valor_total" dataDxfId="27" totalsRowDxfId="26"/>
    <tableColumn id="8" xr3:uid="{9D8BD504-BFD0-4A48-B203-7353D1F6A869}" name="is_novo" dataDxfId="25" totalsRowDxfId="24"/>
    <tableColumn id="9" xr3:uid="{ABB601B0-6DAD-4D67-825F-47A4ABBEDC89}" name="tipo_ente" dataDxfId="23" totalsRowDxfId="22"/>
    <tableColumn id="10" xr3:uid="{F8CB9C08-F811-43DD-861B-65A5D4FFC1DE}" name="vagas_cotas_negras" dataDxfId="21" totalsRowDxfId="20"/>
    <tableColumn id="11" xr3:uid="{8018D80D-0D31-4FDA-AB3D-2F674A70FCC4}" name="vagas_cotas_indigenas" dataDxfId="19" totalsRowDxfId="18"/>
    <tableColumn id="12" xr3:uid="{C3821F45-254F-4408-96AE-7C0CE3CE08BC}" name="vagas_cotas_pcd" dataDxfId="17" totalsRowDxfId="16"/>
    <tableColumn id="13" xr3:uid="{3B1E3C19-A5B8-4D12-B6AF-0A9DCC5265C1}" name="valor_por_vaga" dataDxfId="15" totalsRowDxfId="14"/>
    <tableColumn id="14" xr3:uid="{FF038051-DE0F-4D99-A093-9A27CADCCFBC}" name="valor_cotas_negras" dataDxfId="13" totalsRowDxfId="12"/>
    <tableColumn id="15" xr3:uid="{EB5B05FE-F7A3-49CD-B9F5-13B56A44A52F}" name="valor_cotas_indigenas" dataDxfId="11" totalsRowDxfId="10"/>
    <tableColumn id="16" xr3:uid="{4E3EA1F3-A10E-4279-9094-AC6812926A21}" name="valor_cotas_pcd" dataDxfId="9" totalsRowDxfId="8"/>
    <tableColumn id="17" xr3:uid="{D5D3A284-E0B9-4082-9BE1-1E764758CD36}" name="flag_cotas_negras" dataDxfId="7" totalsRowDxfId="6"/>
    <tableColumn id="18" xr3:uid="{F45CD8EC-7DEB-46CF-A1C1-FE0AF797D1C4}" name="flag_cotas_indigenas" dataDxfId="5" totalsRowDxfId="4"/>
    <tableColumn id="19" xr3:uid="{716C9285-C7DA-42E4-895C-431FF16A6ED4}" name="flag_cotas_pcd" dataDxfId="3" totalsRowDxfId="2"/>
    <tableColumn id="20" xr3:uid="{C632CB59-093A-4118-A620-0CECB545CE10}" name="tipo_edital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ulturagov-my.sharepoint.com/:b:/g/personal/sniic_cultura_gov_br/IQAqOZGigv92RKQBp2IiEc66AXfhDaH8-E4HuLMG9BpysUY?e=RgloOk" TargetMode="External"/><Relationship Id="rId18" Type="http://schemas.openxmlformats.org/officeDocument/2006/relationships/hyperlink" Target="https://culturagov-my.sharepoint.com/:b:/g/personal/sniic_cultura_gov_br/IQCDfhmuf6_vSqQjTaT0kFVEAYDyXja8lD469XaVK9bBKic?e=JyZjr7" TargetMode="External"/><Relationship Id="rId26" Type="http://schemas.openxmlformats.org/officeDocument/2006/relationships/hyperlink" Target="https://culturagov-my.sharepoint.com/:b:/g/personal/sniic_cultura_gov_br/IQDr3oxXjj-ERKzAz9HvCKDCAevtcmli5VG7qa-7pkFpqXo?e=UF2D81" TargetMode="External"/><Relationship Id="rId3" Type="http://schemas.openxmlformats.org/officeDocument/2006/relationships/hyperlink" Target="https://culturagov-my.sharepoint.com/:b:/g/personal/sniic_cultura_gov_br/IQDkiF5-_jnjQa4or0Cj2lj-ATsmACihfxFm__JkwD_Yydo?e=2NHffk" TargetMode="External"/><Relationship Id="rId21" Type="http://schemas.openxmlformats.org/officeDocument/2006/relationships/hyperlink" Target="https://culturagov-my.sharepoint.com/:b:/g/personal/sniic_cultura_gov_br/IQABGVPhldMHTr8Q296UjfvRAW2AOSrZTz8JE8ioRF3ABy4?e=faa60X" TargetMode="External"/><Relationship Id="rId34" Type="http://schemas.openxmlformats.org/officeDocument/2006/relationships/hyperlink" Target="https://culturagov-my.sharepoint.com/:b:/g/personal/sniic_cultura_gov_br/IQCibOIRk9_jRacQOqKKOZBHAec20pZzkPlg4XZXgWKSZ4Y?e=xB49qo" TargetMode="External"/><Relationship Id="rId7" Type="http://schemas.openxmlformats.org/officeDocument/2006/relationships/hyperlink" Target="https://culturagov-my.sharepoint.com/:b:/g/personal/sniic_cultura_gov_br/IQB8Abovja6gT596Uf3f140kAQi6pHygg8T-fWwvrvxu8Zs?e=TpatHR" TargetMode="External"/><Relationship Id="rId12" Type="http://schemas.openxmlformats.org/officeDocument/2006/relationships/hyperlink" Target="https://culturagov-my.sharepoint.com/:b:/g/personal/sniic_cultura_gov_br/IQCibOIRk9_jRacQOqKKOZBHAec20pZzkPlg4XZXgWKSZ4Y?e=xB49qo" TargetMode="External"/><Relationship Id="rId17" Type="http://schemas.openxmlformats.org/officeDocument/2006/relationships/hyperlink" Target="https://culturagov-my.sharepoint.com/:b:/g/personal/sniic_cultura_gov_br/IQCwi58uF7v7R44NpnzABMTzAW0-mdp4n1365KtA-7oYZ_4?e=ranVAy" TargetMode="External"/><Relationship Id="rId25" Type="http://schemas.openxmlformats.org/officeDocument/2006/relationships/hyperlink" Target="https://culturagov-my.sharepoint.com/:b:/g/personal/sniic_cultura_gov_br/IQCW31khR3GxQrxXcTDBcMZDAcA-luWaCAWH_QUi7QSWiR0?e=ISCnSx" TargetMode="External"/><Relationship Id="rId33" Type="http://schemas.openxmlformats.org/officeDocument/2006/relationships/hyperlink" Target="https://culturagov-my.sharepoint.com/personal/sniic_cultura_gov_br/_layouts/15/onedrive.aspx?id=%2Fpersonal%2Fsniic%5Fcultura%5Fgov%5Fbr%2FDocuments%2FReposit%C3%B3rio%20de%20Editais%20PNAB%20%2D%20Ciclo%20I%2FEstados%2FMinas%20Gerais%2F2024%2D08%5FMG%5FFOMENTO%2Epdf&amp;parent=%2Fpersonal%2Fsniic%5Fcultura%5Fgov%5Fbr%2FDocuments%2FReposit%C3%B3rio%20de%20Editais%20PNAB%20%2D%20Ciclo%20I%2FEstados%2FMinas%20Gerais&amp;ga=1" TargetMode="External"/><Relationship Id="rId2" Type="http://schemas.openxmlformats.org/officeDocument/2006/relationships/hyperlink" Target="https://culturagov-my.sharepoint.com/:b:/g/personal/sniic_cultura_gov_br/IQCvhKlXYodSRagFOHE3ciCCAX7LctvMUoBERE0f53EIC7Y?e=meJugG" TargetMode="External"/><Relationship Id="rId16" Type="http://schemas.openxmlformats.org/officeDocument/2006/relationships/hyperlink" Target="https://culturagov-my.sharepoint.com/:b:/g/personal/sniic_cultura_gov_br/IQCNDGzRSw73QY48G3k6swC_AS2knHBfVmezQwCYbpVsAeU?e=kj3qyu" TargetMode="External"/><Relationship Id="rId20" Type="http://schemas.openxmlformats.org/officeDocument/2006/relationships/hyperlink" Target="https://culturagov-my.sharepoint.com/:b:/g/personal/sniic_cultura_gov_br/IQBtY-0nlcbXRLCZDsd3SkEaAQRm1qx4Supx5Y0drA2XxKU?e=KdjIc6" TargetMode="External"/><Relationship Id="rId29" Type="http://schemas.openxmlformats.org/officeDocument/2006/relationships/hyperlink" Target="https://culturagov-my.sharepoint.com/:b:/g/personal/sniic_cultura_gov_br/IQB_fOmhd2YaR4I42uBpjmKAAT51rkXGb8K4go8nh1YWa8g?e=CjQhvs" TargetMode="External"/><Relationship Id="rId1" Type="http://schemas.openxmlformats.org/officeDocument/2006/relationships/hyperlink" Target="https://culturagov-my.sharepoint.com/:b:/g/personal/sniic_cultura_gov_br/IQB94wengB4jSr8f2DU6lTDHAYZDNe80Q_sCA7GgSLj7Xdc?e=dFrMTU" TargetMode="External"/><Relationship Id="rId6" Type="http://schemas.openxmlformats.org/officeDocument/2006/relationships/hyperlink" Target="https://culturagov-my.sharepoint.com/:b:/g/personal/sniic_cultura_gov_br/IQCbPfXnAUcORqYvbEVHmy9LAQhxAUvp5Z_rjYPbkxZXy0g?e=w0is4l" TargetMode="External"/><Relationship Id="rId11" Type="http://schemas.openxmlformats.org/officeDocument/2006/relationships/hyperlink" Target="https://culturagov-my.sharepoint.com/:b:/g/personal/sniic_cultura_gov_br/IQDI1WtJdU5JS58XnwlJH_0OAabfI3PC4aCi1ZJrXFUZ0Zw?e=vDIo6g" TargetMode="External"/><Relationship Id="rId24" Type="http://schemas.openxmlformats.org/officeDocument/2006/relationships/hyperlink" Target="https://culturagov-my.sharepoint.com/:b:/g/personal/sniic_cultura_gov_br/IQBkf7V5-TRvSrdSlxghMiT9AV37rbkesb9igMgcTyAzoFM?e=f5km7r" TargetMode="External"/><Relationship Id="rId32" Type="http://schemas.openxmlformats.org/officeDocument/2006/relationships/hyperlink" Target="https://culturagov-my.sharepoint.com/:b:/g/personal/sniic_cultura_gov_br/IQAJoRlytFN9Qp54RbPwEJm8ARoWxbAkaXyOBvhrZTJ0zYs?e=vxQVTa" TargetMode="External"/><Relationship Id="rId5" Type="http://schemas.openxmlformats.org/officeDocument/2006/relationships/hyperlink" Target="https://culturagov-my.sharepoint.com/:b:/g/personal/sniic_cultura_gov_br/IQAPQ5xsVynQTZH4QsKbZGIOAWTuciY-6Wu22QQWNag7O40?e=ASDdHN" TargetMode="External"/><Relationship Id="rId15" Type="http://schemas.openxmlformats.org/officeDocument/2006/relationships/hyperlink" Target="https://culturagov-my.sharepoint.com/:b:/g/personal/sniic_cultura_gov_br/IQAM9WpzsdQJTYc4JxnWBeTwAfZMhFRUx2j3l8teIHv0W3c?e=vm2TsP" TargetMode="External"/><Relationship Id="rId23" Type="http://schemas.openxmlformats.org/officeDocument/2006/relationships/hyperlink" Target="https://culturagov-my.sharepoint.com/:b:/g/personal/sniic_cultura_gov_br/IQBN4CfOnTETSIkWPB3IR1wfAczaYYfpt3qF7E4XP2L-WBE?e=d7n3fi" TargetMode="External"/><Relationship Id="rId28" Type="http://schemas.openxmlformats.org/officeDocument/2006/relationships/hyperlink" Target="https://culturagov-my.sharepoint.com/:b:/g/personal/sniic_cultura_gov_br/IQB_xcgHFWnlTqNRe2MqzhexAejEUawExoNU5unMvGjIv88?e=L9LpYg" TargetMode="External"/><Relationship Id="rId36" Type="http://schemas.openxmlformats.org/officeDocument/2006/relationships/hyperlink" Target="https://culturagov-my.sharepoint.com/:b:/g/personal/sniic_cultura_gov_br/IQBiqIdm6dkaTaJR2Uu1wBqHAXGKZuHNS_I0SOC71wuo6JU?e=eNfqkq" TargetMode="External"/><Relationship Id="rId10" Type="http://schemas.openxmlformats.org/officeDocument/2006/relationships/hyperlink" Target="https://culturagov-my.sharepoint.com/:b:/g/personal/sniic_cultura_gov_br/IQDfPAht17V8T6xQ7FU4FO2WAcLO_MX6hfQ4xZxfdeZeS0A?e=pUPtSj" TargetMode="External"/><Relationship Id="rId19" Type="http://schemas.openxmlformats.org/officeDocument/2006/relationships/hyperlink" Target="https://culturagov-my.sharepoint.com/:b:/g/personal/sniic_cultura_gov_br/IQDZzCxTK-CuQZV5mp11jRYiAR5N6Wp4ta11146m07Rf-9o?e=kkuFua" TargetMode="External"/><Relationship Id="rId31" Type="http://schemas.openxmlformats.org/officeDocument/2006/relationships/hyperlink" Target="https://culturagov-my.sharepoint.com/:b:/g/personal/sniic_cultura_gov_br/IQD5RIhVzijDSa3EN6Kvv6X3ASn-RiZ25SOh53FSDy1dltg?e=ahmzgA" TargetMode="External"/><Relationship Id="rId4" Type="http://schemas.openxmlformats.org/officeDocument/2006/relationships/hyperlink" Target="https://culturagov-my.sharepoint.com/:b:/g/personal/sniic_cultura_gov_br/IQA4Ku0XS9rdSrgKsSMOpPCyARu7PpfQ5-1dMKe0QQiLUHI?e=eAit7E" TargetMode="External"/><Relationship Id="rId9" Type="http://schemas.openxmlformats.org/officeDocument/2006/relationships/hyperlink" Target="https://culturagov-my.sharepoint.com/:b:/g/personal/sniic_cultura_gov_br/IQAcsptXETdDTrQkO2ORhwXgAXNOTM6NJ3ZefQQaQ_7oLZU?e=Z002R6" TargetMode="External"/><Relationship Id="rId14" Type="http://schemas.openxmlformats.org/officeDocument/2006/relationships/hyperlink" Target="https://culturagov-my.sharepoint.com/:b:/g/personal/sniic_cultura_gov_br/IQCrolcvDeDTQI8fcCvuENKOAWqHEZCJa8S8Nrzq1kwWOfU?e=Sen8G2" TargetMode="External"/><Relationship Id="rId22" Type="http://schemas.openxmlformats.org/officeDocument/2006/relationships/hyperlink" Target="https://culturagov-my.sharepoint.com/:b:/g/personal/sniic_cultura_gov_br/IQD6R35llXUkRrRhgXiM9miyAU6Od0lGYT2CVmhLOsCOMPQ?e=hoohv8" TargetMode="External"/><Relationship Id="rId27" Type="http://schemas.openxmlformats.org/officeDocument/2006/relationships/hyperlink" Target="https://culturagov-my.sharepoint.com/:b:/g/personal/sniic_cultura_gov_br/IQCfLwnNxFjQQLy_0QhTSh2RAYuAqBvstXnF5ShgLWe6w68?e=ICAPe5" TargetMode="External"/><Relationship Id="rId30" Type="http://schemas.openxmlformats.org/officeDocument/2006/relationships/hyperlink" Target="https://culturagov-my.sharepoint.com/:b:/g/personal/sniic_cultura_gov_br/IQAUtcRtMamcTISpgWbYUVGTAR4Klzsn82eQowwfPouGbVQ?e=f7J95L" TargetMode="External"/><Relationship Id="rId35" Type="http://schemas.openxmlformats.org/officeDocument/2006/relationships/hyperlink" Target="https://culturagov-my.sharepoint.com/:b:/g/personal/sniic_cultura_gov_br/IQAVoxH1jRFQT4Yhh34YNKXSAdFPOoIG2NQvPRl-HcO-pVg?e=h0t7Lq" TargetMode="External"/><Relationship Id="rId8" Type="http://schemas.openxmlformats.org/officeDocument/2006/relationships/hyperlink" Target="https://culturagov-my.sharepoint.com/:b:/g/personal/sniic_cultura_gov_br/IQAWlBcHLkdNTprJXMrX06KQAeG7j_y0weWqtrzDoxNv1PE?e=LQVht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ulturagov-my.sharepoint.com/:b:/g/personal/sniic_cultura_gov_br/IQA9F1EVDslDS7d_8o5Ac-w9ARLeHAZdjVqYLEHo5B5LJAA?e=0FrXsh" TargetMode="External"/><Relationship Id="rId13" Type="http://schemas.openxmlformats.org/officeDocument/2006/relationships/hyperlink" Target="https://culturagov-my.sharepoint.com/:b:/g/personal/sniic_cultura_gov_br/IQAXZxpBFlD6QaOmAk8T5hJVAV7QidQngLhrB1T57rv3xFQ?e=cVii91" TargetMode="External"/><Relationship Id="rId3" Type="http://schemas.openxmlformats.org/officeDocument/2006/relationships/hyperlink" Target="https://culturagov-my.sharepoint.com/:b:/g/personal/sniic_cultura_gov_br/IQCbPfXnAUcORqYvbEVHmy9LAQhxAUvp5Z_rjYPbkxZXy0g?e=w0is4l" TargetMode="External"/><Relationship Id="rId7" Type="http://schemas.openxmlformats.org/officeDocument/2006/relationships/hyperlink" Target="https://culturagov-my.sharepoint.com/:b:/g/personal/sniic_cultura_gov_br/IQAWlBcHLkdNTprJXMrX06KQAeG7j_y0weWqtrzDoxNv1PE?e=LQVhti" TargetMode="External"/><Relationship Id="rId12" Type="http://schemas.openxmlformats.org/officeDocument/2006/relationships/hyperlink" Target="https://culturagov-my.sharepoint.com/:b:/g/personal/sniic_cultura_gov_br/IQAxvH_yOTsjQqcS5rl1LTYtAZHF67mx-MkHzdcEfjdh8ME?e=V4nIQG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culturagov-my.sharepoint.com/:b:/g/personal/sniic_cultura_gov_br/IQBRCX_8UKYrRq3L44j0jAXPAQhtpD7X1M-m5C1du-toCFI?e=D1eehf" TargetMode="External"/><Relationship Id="rId16" Type="http://schemas.openxmlformats.org/officeDocument/2006/relationships/hyperlink" Target="https://culturagov-my.sharepoint.com/:b:/g/personal/sniic_cultura_gov_br/IQDEeApZ9C1uSKw--3O578RNAffrO3k80RFOjVoKIeK_nbw?e=gftoSh" TargetMode="External"/><Relationship Id="rId1" Type="http://schemas.openxmlformats.org/officeDocument/2006/relationships/hyperlink" Target="https://culturagov-my.sharepoint.com/:b:/g/personal/sniic_cultura_gov_br/IQDZzCxTK-CuQZV5mp11jRYiAR5N6Wp4ta11146m07Rf-9o?e=kkuFua" TargetMode="External"/><Relationship Id="rId6" Type="http://schemas.openxmlformats.org/officeDocument/2006/relationships/hyperlink" Target="https://culturagov-my.sharepoint.com/:b:/g/personal/sniic_cultura_gov_br/IQB8Abovja6gT596Uf3f140kAQi6pHygg8T-fWwvrvxu8Zs?e=TpatHR" TargetMode="External"/><Relationship Id="rId11" Type="http://schemas.openxmlformats.org/officeDocument/2006/relationships/hyperlink" Target="https://culturagov-my.sharepoint.com/:b:/g/personal/sniic_cultura_gov_br/IQCBgiiFDxLQRrvvX-hCQKOkASR1Rn4Ht5PzLzxCyquNT7A?e=hRS543" TargetMode="External"/><Relationship Id="rId5" Type="http://schemas.openxmlformats.org/officeDocument/2006/relationships/hyperlink" Target="https://culturagov-my.sharepoint.com/:b:/g/personal/sniic_cultura_gov_br/IQBdKSEylfK_S6Elm3u8-XpiAVSZU4EDsYTSeMfvUcN6XXI?e=XZzEQN" TargetMode="External"/><Relationship Id="rId15" Type="http://schemas.openxmlformats.org/officeDocument/2006/relationships/hyperlink" Target="https://culturagov-my.sharepoint.com/:b:/g/personal/sniic_cultura_gov_br/IQCJGCu58OISQq4iEAAfH5E_AdS8PoXABG2_NQnSJyl0vdA?e=1obzwe" TargetMode="External"/><Relationship Id="rId10" Type="http://schemas.openxmlformats.org/officeDocument/2006/relationships/hyperlink" Target="https://culturagov-my.sharepoint.com/:b:/g/personal/sniic_cultura_gov_br/IQDVw6AfwzN5To5nuL7Si_oQAXhAH_Tp0F0oCmrZwKwgS4Y?e=XhQCnE" TargetMode="External"/><Relationship Id="rId4" Type="http://schemas.openxmlformats.org/officeDocument/2006/relationships/hyperlink" Target="https://culturagov-my.sharepoint.com/:b:/g/personal/sniic_cultura_gov_br/IQAoNwJv3NbwTIFrjOhR-1F7AZ9GuVCdri3p75akMqgJfMI?e=mJv2Gw" TargetMode="External"/><Relationship Id="rId9" Type="http://schemas.openxmlformats.org/officeDocument/2006/relationships/hyperlink" Target="https://culturagov-my.sharepoint.com/:b:/g/personal/sniic_cultura_gov_br/IQDIPUUbWvExTpyM_AMIG_OJAYV8wr3AktGw9v_lpyoaU3g?e=taygTh" TargetMode="External"/><Relationship Id="rId14" Type="http://schemas.openxmlformats.org/officeDocument/2006/relationships/hyperlink" Target="https://culturagov-my.sharepoint.com/:b:/g/personal/sniic_cultura_gov_br/IQDWZd-S2gx_Qob4F5ivEpQmAVrfZznFExWLHG8wJ1F3VtE?e=Ecbl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C2FA-8C59-4449-98FF-82BF408B1979}">
  <dimension ref="A3:D32"/>
  <sheetViews>
    <sheetView workbookViewId="0">
      <selection activeCell="B8" sqref="B8"/>
    </sheetView>
  </sheetViews>
  <sheetFormatPr defaultRowHeight="14.4" x14ac:dyDescent="0.3"/>
  <cols>
    <col min="1" max="1" width="40.33203125" bestFit="1" customWidth="1"/>
    <col min="2" max="2" width="39.44140625" bestFit="1" customWidth="1"/>
    <col min="3" max="3" width="29.6640625" bestFit="1" customWidth="1"/>
    <col min="4" max="4" width="2.6640625" bestFit="1" customWidth="1"/>
  </cols>
  <sheetData>
    <row r="3" spans="1:4" x14ac:dyDescent="0.3">
      <c r="A3" s="134" t="s">
        <v>0</v>
      </c>
      <c r="B3" s="134"/>
      <c r="C3" s="134"/>
      <c r="D3" s="134"/>
    </row>
    <row r="4" spans="1:4" x14ac:dyDescent="0.3">
      <c r="A4" s="134"/>
      <c r="B4" s="134"/>
      <c r="C4" s="134"/>
      <c r="D4" s="134"/>
    </row>
    <row r="5" spans="1:4" ht="18" x14ac:dyDescent="0.35">
      <c r="A5" s="2"/>
      <c r="B5" s="3" t="s">
        <v>1</v>
      </c>
      <c r="C5" s="4" t="s">
        <v>2</v>
      </c>
      <c r="D5" s="2"/>
    </row>
    <row r="6" spans="1:4" ht="18" customHeight="1" x14ac:dyDescent="0.35">
      <c r="A6" s="3" t="s">
        <v>3</v>
      </c>
      <c r="B6" s="2">
        <v>14</v>
      </c>
      <c r="C6" s="66">
        <v>2.81E-2</v>
      </c>
      <c r="D6" s="2"/>
    </row>
    <row r="7" spans="1:4" ht="18" x14ac:dyDescent="0.35">
      <c r="A7" s="3" t="s">
        <v>4</v>
      </c>
      <c r="B7" s="2">
        <v>9</v>
      </c>
      <c r="C7" s="66">
        <v>1.8100000000000002E-2</v>
      </c>
      <c r="D7" s="2"/>
    </row>
    <row r="8" spans="1:4" ht="18" x14ac:dyDescent="0.35">
      <c r="A8" s="3" t="s">
        <v>5</v>
      </c>
      <c r="B8" s="2">
        <v>11</v>
      </c>
      <c r="C8" s="66">
        <v>2.2100000000000002E-2</v>
      </c>
      <c r="D8" s="2"/>
    </row>
    <row r="9" spans="1:4" ht="18" x14ac:dyDescent="0.35">
      <c r="A9" s="3" t="s">
        <v>6</v>
      </c>
      <c r="B9" s="3">
        <f>SUM(B6:B8)</f>
        <v>34</v>
      </c>
      <c r="C9" s="67">
        <v>6.83E-2</v>
      </c>
      <c r="D9" s="3"/>
    </row>
    <row r="10" spans="1:4" x14ac:dyDescent="0.3">
      <c r="A10" s="135" t="s">
        <v>7</v>
      </c>
      <c r="B10" s="135"/>
      <c r="C10" s="135"/>
      <c r="D10" s="135"/>
    </row>
    <row r="11" spans="1:4" x14ac:dyDescent="0.3">
      <c r="A11" s="135"/>
      <c r="B11" s="135"/>
      <c r="C11" s="135"/>
      <c r="D11" s="135"/>
    </row>
    <row r="12" spans="1:4" ht="18" x14ac:dyDescent="0.35">
      <c r="A12" s="5"/>
      <c r="B12" s="6" t="s">
        <v>1</v>
      </c>
      <c r="C12" s="7" t="s">
        <v>2</v>
      </c>
      <c r="D12" s="5"/>
    </row>
    <row r="13" spans="1:4" ht="18" x14ac:dyDescent="0.35">
      <c r="A13" s="6" t="s">
        <v>3</v>
      </c>
      <c r="B13" s="5">
        <v>6</v>
      </c>
      <c r="C13" s="68">
        <v>1.2E-2</v>
      </c>
      <c r="D13" s="5"/>
    </row>
    <row r="14" spans="1:4" ht="18" x14ac:dyDescent="0.35">
      <c r="A14" s="6" t="s">
        <v>4</v>
      </c>
      <c r="B14" s="5">
        <v>2</v>
      </c>
      <c r="C14" s="68">
        <v>4.0000000000000001E-3</v>
      </c>
      <c r="D14" s="5"/>
    </row>
    <row r="15" spans="1:4" ht="18" x14ac:dyDescent="0.35">
      <c r="A15" s="6" t="s">
        <v>5</v>
      </c>
      <c r="B15" s="5">
        <v>5</v>
      </c>
      <c r="C15" s="68">
        <v>0.01</v>
      </c>
      <c r="D15" s="5"/>
    </row>
    <row r="16" spans="1:4" ht="18" x14ac:dyDescent="0.35">
      <c r="A16" s="6" t="s">
        <v>6</v>
      </c>
      <c r="B16" s="6">
        <f>SUM(B13:B15)</f>
        <v>13</v>
      </c>
      <c r="C16" s="69">
        <v>2.6100000000000002E-2</v>
      </c>
      <c r="D16" s="6"/>
    </row>
    <row r="17" spans="1:4" x14ac:dyDescent="0.3">
      <c r="A17" s="136" t="s">
        <v>8</v>
      </c>
      <c r="B17" s="136"/>
      <c r="C17" s="136"/>
      <c r="D17" s="136"/>
    </row>
    <row r="18" spans="1:4" x14ac:dyDescent="0.3">
      <c r="A18" s="136"/>
      <c r="B18" s="136"/>
      <c r="C18" s="136"/>
      <c r="D18" s="136"/>
    </row>
    <row r="19" spans="1:4" ht="18" x14ac:dyDescent="0.35">
      <c r="A19" s="8" t="s">
        <v>3</v>
      </c>
      <c r="B19" s="9">
        <v>20</v>
      </c>
      <c r="C19" s="70">
        <v>4.02E-2</v>
      </c>
      <c r="D19" s="9"/>
    </row>
    <row r="20" spans="1:4" ht="18" x14ac:dyDescent="0.35">
      <c r="A20" s="8" t="s">
        <v>4</v>
      </c>
      <c r="B20" s="9">
        <v>11</v>
      </c>
      <c r="C20" s="70">
        <v>2.2100000000000002E-2</v>
      </c>
      <c r="D20" s="9"/>
    </row>
    <row r="21" spans="1:4" ht="18" x14ac:dyDescent="0.35">
      <c r="A21" s="8" t="s">
        <v>5</v>
      </c>
      <c r="B21" s="9">
        <v>16</v>
      </c>
      <c r="C21" s="70">
        <v>3.2099999999999997E-2</v>
      </c>
      <c r="D21" s="9"/>
    </row>
    <row r="22" spans="1:4" ht="18" x14ac:dyDescent="0.35">
      <c r="A22" s="8" t="s">
        <v>9</v>
      </c>
      <c r="B22" s="8">
        <f>SUM(B19:B21)</f>
        <v>47</v>
      </c>
      <c r="C22" s="71">
        <v>9.4399999999999998E-2</v>
      </c>
      <c r="D22" s="8"/>
    </row>
    <row r="24" spans="1:4" x14ac:dyDescent="0.3">
      <c r="A24" s="136" t="s">
        <v>10</v>
      </c>
      <c r="B24" s="136"/>
      <c r="C24" s="136"/>
      <c r="D24" s="136"/>
    </row>
    <row r="25" spans="1:4" x14ac:dyDescent="0.3">
      <c r="A25" s="136"/>
      <c r="B25" s="136"/>
      <c r="C25" s="136"/>
      <c r="D25" s="136"/>
    </row>
    <row r="26" spans="1:4" ht="18" x14ac:dyDescent="0.35">
      <c r="A26" s="72"/>
      <c r="B26" s="8" t="s">
        <v>1</v>
      </c>
      <c r="C26" s="73" t="s">
        <v>2</v>
      </c>
      <c r="D26" s="72"/>
    </row>
    <row r="27" spans="1:4" ht="18" x14ac:dyDescent="0.35">
      <c r="A27" s="8" t="s">
        <v>11</v>
      </c>
      <c r="B27" s="9">
        <v>23</v>
      </c>
      <c r="C27" s="70">
        <v>4.6199999999999998E-2</v>
      </c>
      <c r="D27" s="9"/>
    </row>
    <row r="28" spans="1:4" ht="18" x14ac:dyDescent="0.35">
      <c r="A28" s="8" t="s">
        <v>12</v>
      </c>
      <c r="B28" s="9">
        <v>13</v>
      </c>
      <c r="C28" s="70">
        <v>2.6100000000000002E-2</v>
      </c>
      <c r="D28" s="9"/>
    </row>
    <row r="29" spans="1:4" ht="18" x14ac:dyDescent="0.35">
      <c r="A29" s="8" t="s">
        <v>9</v>
      </c>
      <c r="B29" s="8">
        <f>SUM(B27:B28)</f>
        <v>36</v>
      </c>
      <c r="C29" s="71">
        <v>7.2300000000000003E-2</v>
      </c>
      <c r="D29" s="8"/>
    </row>
    <row r="32" spans="1:4" x14ac:dyDescent="0.3">
      <c r="A32" t="s">
        <v>13</v>
      </c>
    </row>
  </sheetData>
  <mergeCells count="4">
    <mergeCell ref="A3:D4"/>
    <mergeCell ref="A10:D11"/>
    <mergeCell ref="A17:D18"/>
    <mergeCell ref="A24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2082-A37B-4482-8AA0-994FC69BF0C0}">
  <sheetPr filterMode="1"/>
  <dimension ref="A1:AB68"/>
  <sheetViews>
    <sheetView workbookViewId="0">
      <pane xSplit="1" topLeftCell="B1" activePane="topRight" state="frozen"/>
      <selection pane="topRight" activeCell="A21" sqref="A21:XFD21"/>
    </sheetView>
  </sheetViews>
  <sheetFormatPr defaultRowHeight="14.4" x14ac:dyDescent="0.3"/>
  <cols>
    <col min="1" max="1" width="20.6640625" style="85" customWidth="1"/>
    <col min="2" max="2" width="44.44140625" customWidth="1"/>
    <col min="3" max="3" width="41.33203125" style="18" bestFit="1" customWidth="1"/>
    <col min="4" max="4" width="45.88671875" bestFit="1" customWidth="1"/>
    <col min="5" max="5" width="19.33203125" style="1" customWidth="1"/>
    <col min="6" max="6" width="115" customWidth="1"/>
    <col min="7" max="7" width="85.5546875" customWidth="1"/>
    <col min="8" max="8" width="76.44140625" customWidth="1"/>
    <col min="9" max="9" width="17.109375" bestFit="1" customWidth="1"/>
    <col min="10" max="10" width="19.88671875" bestFit="1" customWidth="1"/>
    <col min="11" max="11" width="26.6640625" bestFit="1" customWidth="1"/>
    <col min="12" max="12" width="8" style="56" customWidth="1"/>
    <col min="13" max="13" width="18.44140625" style="32" customWidth="1"/>
    <col min="14" max="14" width="21" style="32" customWidth="1"/>
    <col min="15" max="15" width="28.44140625" style="33" customWidth="1"/>
    <col min="16" max="16" width="21" style="32" customWidth="1"/>
  </cols>
  <sheetData>
    <row r="1" spans="1:18" x14ac:dyDescent="0.3">
      <c r="E1" s="24"/>
      <c r="J1" s="94" t="s">
        <v>14</v>
      </c>
      <c r="M1" s="83" t="s">
        <v>15</v>
      </c>
    </row>
    <row r="2" spans="1:18" x14ac:dyDescent="0.3">
      <c r="B2" s="61"/>
      <c r="C2" s="57"/>
      <c r="D2" s="10"/>
      <c r="F2" s="1"/>
      <c r="I2" s="94"/>
      <c r="J2" s="94"/>
      <c r="K2" s="94"/>
      <c r="L2" s="83"/>
      <c r="M2" s="83"/>
      <c r="N2" s="83"/>
      <c r="O2" s="83"/>
    </row>
    <row r="3" spans="1:18" s="41" customFormat="1" ht="52.5" customHeight="1" x14ac:dyDescent="0.35">
      <c r="A3" s="86" t="s">
        <v>16</v>
      </c>
      <c r="B3" s="42" t="s">
        <v>17</v>
      </c>
      <c r="C3" s="88" t="s">
        <v>18</v>
      </c>
      <c r="D3" s="42" t="s">
        <v>19</v>
      </c>
      <c r="E3" s="48" t="s">
        <v>20</v>
      </c>
      <c r="F3" s="49" t="s">
        <v>21</v>
      </c>
      <c r="G3" s="42" t="s">
        <v>22</v>
      </c>
      <c r="H3" s="42" t="s">
        <v>23</v>
      </c>
      <c r="I3" s="43" t="s">
        <v>24</v>
      </c>
      <c r="J3" s="43" t="s">
        <v>25</v>
      </c>
      <c r="K3" s="43" t="s">
        <v>26</v>
      </c>
      <c r="L3" s="74"/>
      <c r="M3" s="44" t="s">
        <v>24</v>
      </c>
      <c r="N3" s="44" t="s">
        <v>25</v>
      </c>
      <c r="O3" s="44" t="s">
        <v>26</v>
      </c>
      <c r="P3" s="44"/>
    </row>
    <row r="4" spans="1:18" s="95" customFormat="1" ht="72" hidden="1" x14ac:dyDescent="0.35">
      <c r="A4" s="104" t="s">
        <v>27</v>
      </c>
      <c r="B4" s="105" t="s">
        <v>28</v>
      </c>
      <c r="C4" s="128" t="s">
        <v>29</v>
      </c>
      <c r="D4" s="129" t="s">
        <v>30</v>
      </c>
      <c r="E4" s="130">
        <v>0.08</v>
      </c>
      <c r="F4" s="131" t="s">
        <v>31</v>
      </c>
      <c r="G4" s="108" t="s">
        <v>32</v>
      </c>
      <c r="H4" s="105"/>
      <c r="I4" s="105"/>
      <c r="J4" s="105">
        <v>1</v>
      </c>
      <c r="K4" s="105"/>
      <c r="L4" s="109"/>
      <c r="M4" s="110"/>
      <c r="N4" s="110">
        <v>10000</v>
      </c>
      <c r="O4" s="111"/>
      <c r="P4" s="110"/>
      <c r="Q4" s="31"/>
    </row>
    <row r="5" spans="1:18" s="95" customFormat="1" ht="72" hidden="1" x14ac:dyDescent="0.35">
      <c r="A5" s="104" t="s">
        <v>33</v>
      </c>
      <c r="B5" s="105" t="s">
        <v>28</v>
      </c>
      <c r="C5" s="106" t="s">
        <v>34</v>
      </c>
      <c r="D5" s="105" t="s">
        <v>35</v>
      </c>
      <c r="E5" s="107">
        <v>0.24</v>
      </c>
      <c r="F5" s="108" t="s">
        <v>36</v>
      </c>
      <c r="G5" s="126" t="s">
        <v>37</v>
      </c>
      <c r="H5" s="105"/>
      <c r="I5" s="105">
        <v>1</v>
      </c>
      <c r="J5" s="105"/>
      <c r="K5" s="105"/>
      <c r="L5" s="109"/>
      <c r="M5" s="110">
        <v>7500</v>
      </c>
      <c r="N5" s="110"/>
      <c r="O5" s="111"/>
      <c r="P5" s="110"/>
      <c r="Q5" s="31"/>
    </row>
    <row r="6" spans="1:18" s="95" customFormat="1" ht="72" hidden="1" x14ac:dyDescent="0.35">
      <c r="A6" s="104" t="s">
        <v>38</v>
      </c>
      <c r="B6" s="105" t="s">
        <v>28</v>
      </c>
      <c r="C6" s="106" t="s">
        <v>39</v>
      </c>
      <c r="D6" s="105" t="s">
        <v>40</v>
      </c>
      <c r="E6" s="107">
        <v>0.04</v>
      </c>
      <c r="F6" s="108" t="s">
        <v>41</v>
      </c>
      <c r="G6" s="126" t="s">
        <v>42</v>
      </c>
      <c r="H6" s="105"/>
      <c r="I6" s="105"/>
      <c r="J6" s="105"/>
      <c r="K6" s="105">
        <v>1</v>
      </c>
      <c r="L6" s="109"/>
      <c r="M6" s="110"/>
      <c r="N6" s="110"/>
      <c r="O6" s="110">
        <v>5000</v>
      </c>
      <c r="P6" s="110"/>
      <c r="Q6" s="31"/>
    </row>
    <row r="7" spans="1:18" s="95" customFormat="1" ht="90" hidden="1" x14ac:dyDescent="0.35">
      <c r="A7" s="104" t="s">
        <v>43</v>
      </c>
      <c r="B7" s="105" t="s">
        <v>44</v>
      </c>
      <c r="C7" s="106" t="s">
        <v>45</v>
      </c>
      <c r="D7" s="105" t="s">
        <v>35</v>
      </c>
      <c r="E7" s="107">
        <v>0.19</v>
      </c>
      <c r="F7" s="108" t="s">
        <v>46</v>
      </c>
      <c r="G7" s="108" t="s">
        <v>47</v>
      </c>
      <c r="H7" s="105"/>
      <c r="I7" s="105">
        <v>2</v>
      </c>
      <c r="J7" s="105"/>
      <c r="K7" s="105"/>
      <c r="L7" s="109"/>
      <c r="M7" s="110">
        <v>50000</v>
      </c>
      <c r="N7" s="110"/>
      <c r="O7" s="111"/>
      <c r="P7" s="110"/>
      <c r="Q7" s="31"/>
    </row>
    <row r="8" spans="1:18" s="95" customFormat="1" ht="72" hidden="1" x14ac:dyDescent="0.35">
      <c r="A8" s="104" t="s">
        <v>48</v>
      </c>
      <c r="B8" s="105" t="s">
        <v>49</v>
      </c>
      <c r="C8" s="106" t="s">
        <v>50</v>
      </c>
      <c r="D8" s="105" t="s">
        <v>35</v>
      </c>
      <c r="E8" s="107">
        <v>0.17</v>
      </c>
      <c r="F8" s="108" t="s">
        <v>51</v>
      </c>
      <c r="G8" s="108" t="s">
        <v>52</v>
      </c>
      <c r="H8" s="105"/>
      <c r="I8" s="109">
        <v>3</v>
      </c>
      <c r="J8" s="109" t="s">
        <v>53</v>
      </c>
      <c r="K8" s="109" t="s">
        <v>53</v>
      </c>
      <c r="L8" s="109"/>
      <c r="M8" s="110">
        <v>167227.62</v>
      </c>
      <c r="N8" s="110"/>
      <c r="O8" s="111"/>
      <c r="P8" s="110"/>
      <c r="Q8" s="31"/>
    </row>
    <row r="9" spans="1:18" s="31" customFormat="1" ht="72" hidden="1" x14ac:dyDescent="0.35">
      <c r="A9" s="104" t="s">
        <v>54</v>
      </c>
      <c r="B9" s="105" t="s">
        <v>55</v>
      </c>
      <c r="C9" s="112" t="s">
        <v>56</v>
      </c>
      <c r="D9" s="105" t="s">
        <v>40</v>
      </c>
      <c r="E9" s="107">
        <v>0</v>
      </c>
      <c r="F9" s="108" t="s">
        <v>57</v>
      </c>
      <c r="G9" s="126" t="s">
        <v>58</v>
      </c>
      <c r="H9" s="108"/>
      <c r="I9" s="105"/>
      <c r="J9" s="105"/>
      <c r="K9" s="105">
        <v>5</v>
      </c>
      <c r="L9" s="109"/>
      <c r="M9" s="110"/>
      <c r="N9" s="110"/>
      <c r="O9" s="110">
        <v>138888.9</v>
      </c>
      <c r="P9" s="110"/>
    </row>
    <row r="10" spans="1:18" s="18" customFormat="1" ht="77.25" hidden="1" customHeight="1" x14ac:dyDescent="0.35">
      <c r="A10" s="96" t="s">
        <v>59</v>
      </c>
      <c r="B10" s="138" t="s">
        <v>55</v>
      </c>
      <c r="C10" s="137" t="s">
        <v>60</v>
      </c>
      <c r="D10" s="63" t="s">
        <v>35</v>
      </c>
      <c r="E10" s="50">
        <v>0</v>
      </c>
      <c r="F10" s="52" t="s">
        <v>61</v>
      </c>
      <c r="G10" s="99" t="s">
        <v>62</v>
      </c>
      <c r="I10" s="105">
        <v>10</v>
      </c>
      <c r="J10" s="63"/>
      <c r="K10" s="63"/>
      <c r="L10" s="59"/>
      <c r="M10" s="97" t="s">
        <v>62</v>
      </c>
      <c r="N10" s="97"/>
      <c r="O10" s="98"/>
      <c r="P10" s="97"/>
    </row>
    <row r="11" spans="1:18" s="31" customFormat="1" ht="68.25" hidden="1" customHeight="1" x14ac:dyDescent="0.35">
      <c r="A11" s="104" t="s">
        <v>63</v>
      </c>
      <c r="B11" s="138"/>
      <c r="C11" s="137"/>
      <c r="D11" s="105" t="s">
        <v>30</v>
      </c>
      <c r="E11" s="107">
        <v>0</v>
      </c>
      <c r="F11" s="108" t="s">
        <v>64</v>
      </c>
      <c r="G11" s="126" t="s">
        <v>62</v>
      </c>
      <c r="I11" s="105"/>
      <c r="J11" s="105">
        <v>4</v>
      </c>
      <c r="K11" s="105"/>
      <c r="L11" s="109"/>
      <c r="M11" s="110"/>
      <c r="N11" s="110" t="s">
        <v>62</v>
      </c>
      <c r="O11" s="111"/>
      <c r="P11" s="110"/>
    </row>
    <row r="12" spans="1:18" s="18" customFormat="1" ht="54" x14ac:dyDescent="0.35">
      <c r="A12" s="96" t="s">
        <v>65</v>
      </c>
      <c r="B12" s="138"/>
      <c r="C12" s="137"/>
      <c r="D12" s="63" t="s">
        <v>40</v>
      </c>
      <c r="E12" s="50">
        <v>0</v>
      </c>
      <c r="F12" s="52" t="s">
        <v>66</v>
      </c>
      <c r="G12" s="99" t="s">
        <v>62</v>
      </c>
      <c r="I12" s="63"/>
      <c r="J12" s="63"/>
      <c r="K12" s="63">
        <v>2</v>
      </c>
      <c r="L12" s="59"/>
      <c r="M12" s="97"/>
      <c r="N12" s="97"/>
      <c r="O12" s="98" t="s">
        <v>62</v>
      </c>
      <c r="P12" s="97"/>
    </row>
    <row r="13" spans="1:18" s="18" customFormat="1" ht="69" hidden="1" customHeight="1" x14ac:dyDescent="0.35">
      <c r="A13" s="96" t="s">
        <v>67</v>
      </c>
      <c r="B13" s="138" t="s">
        <v>55</v>
      </c>
      <c r="C13" s="139" t="s">
        <v>68</v>
      </c>
      <c r="D13" s="100" t="s">
        <v>35</v>
      </c>
      <c r="E13" s="101">
        <v>0</v>
      </c>
      <c r="F13" s="54" t="s">
        <v>69</v>
      </c>
      <c r="G13" s="52" t="s">
        <v>62</v>
      </c>
      <c r="H13" s="102"/>
      <c r="I13" s="105">
        <v>46</v>
      </c>
      <c r="J13" s="63"/>
      <c r="K13" s="63"/>
      <c r="L13" s="59"/>
      <c r="M13" s="97" t="s">
        <v>62</v>
      </c>
      <c r="N13" s="97"/>
      <c r="O13" s="98"/>
      <c r="P13" s="97"/>
    </row>
    <row r="14" spans="1:18" s="31" customFormat="1" ht="54" hidden="1" x14ac:dyDescent="0.35">
      <c r="A14" s="104" t="s">
        <v>70</v>
      </c>
      <c r="B14" s="138"/>
      <c r="C14" s="139"/>
      <c r="D14" s="105" t="s">
        <v>30</v>
      </c>
      <c r="E14" s="107">
        <v>0</v>
      </c>
      <c r="F14" s="108" t="s">
        <v>71</v>
      </c>
      <c r="G14" s="108" t="s">
        <v>62</v>
      </c>
      <c r="H14" s="114"/>
      <c r="I14" s="105"/>
      <c r="J14" s="105">
        <v>17</v>
      </c>
      <c r="K14" s="105"/>
      <c r="L14" s="109"/>
      <c r="M14" s="110"/>
      <c r="N14" s="110" t="s">
        <v>62</v>
      </c>
      <c r="O14" s="111"/>
      <c r="P14" s="110"/>
    </row>
    <row r="15" spans="1:18" s="18" customFormat="1" ht="54" x14ac:dyDescent="0.35">
      <c r="A15" s="96" t="s">
        <v>72</v>
      </c>
      <c r="B15" s="138"/>
      <c r="C15" s="139"/>
      <c r="D15" s="63" t="s">
        <v>40</v>
      </c>
      <c r="E15" s="50">
        <v>0</v>
      </c>
      <c r="F15" s="52" t="s">
        <v>73</v>
      </c>
      <c r="G15" s="52" t="s">
        <v>62</v>
      </c>
      <c r="H15" s="102"/>
      <c r="I15" s="63"/>
      <c r="J15" s="63"/>
      <c r="K15" s="63">
        <v>9</v>
      </c>
      <c r="L15" s="59"/>
      <c r="M15" s="97"/>
      <c r="N15" s="97"/>
      <c r="O15" s="98" t="s">
        <v>62</v>
      </c>
      <c r="P15" s="97"/>
    </row>
    <row r="16" spans="1:18" s="95" customFormat="1" ht="52.5" hidden="1" customHeight="1" x14ac:dyDescent="0.35">
      <c r="A16" s="104" t="s">
        <v>74</v>
      </c>
      <c r="B16" s="105" t="s">
        <v>75</v>
      </c>
      <c r="C16" s="112" t="s">
        <v>76</v>
      </c>
      <c r="D16" s="105" t="s">
        <v>40</v>
      </c>
      <c r="E16" s="107">
        <v>0</v>
      </c>
      <c r="F16" s="108" t="s">
        <v>77</v>
      </c>
      <c r="G16" s="108" t="s">
        <v>78</v>
      </c>
      <c r="H16" s="114"/>
      <c r="I16" s="105"/>
      <c r="J16" s="105"/>
      <c r="K16" s="105">
        <v>1</v>
      </c>
      <c r="L16" s="109"/>
      <c r="M16" s="110"/>
      <c r="N16" s="110"/>
      <c r="O16" s="110">
        <v>80000</v>
      </c>
      <c r="P16" s="110"/>
      <c r="Q16" s="31"/>
      <c r="R16" s="31"/>
    </row>
    <row r="17" spans="1:26" s="113" customFormat="1" ht="52.5" hidden="1" customHeight="1" x14ac:dyDescent="0.35">
      <c r="A17" s="96" t="s">
        <v>79</v>
      </c>
      <c r="B17" s="138" t="s">
        <v>80</v>
      </c>
      <c r="C17" s="140" t="s">
        <v>81</v>
      </c>
      <c r="D17" s="63" t="s">
        <v>35</v>
      </c>
      <c r="E17" s="50">
        <v>0</v>
      </c>
      <c r="F17" s="52" t="s">
        <v>82</v>
      </c>
      <c r="G17" s="52"/>
      <c r="H17" s="142" t="s">
        <v>83</v>
      </c>
      <c r="I17" s="105">
        <v>3</v>
      </c>
      <c r="J17" s="63"/>
      <c r="K17" s="63"/>
      <c r="L17" s="59"/>
      <c r="M17" s="97">
        <v>300000</v>
      </c>
      <c r="N17" s="97"/>
      <c r="O17" s="98"/>
      <c r="P17" s="97"/>
      <c r="Q17" s="18"/>
      <c r="R17" s="18"/>
    </row>
    <row r="18" spans="1:26" s="95" customFormat="1" ht="52.5" hidden="1" customHeight="1" x14ac:dyDescent="0.35">
      <c r="A18" s="104" t="s">
        <v>84</v>
      </c>
      <c r="B18" s="138"/>
      <c r="C18" s="140"/>
      <c r="D18" s="105" t="s">
        <v>30</v>
      </c>
      <c r="E18" s="107">
        <v>0</v>
      </c>
      <c r="F18" s="108" t="s">
        <v>85</v>
      </c>
      <c r="G18" s="114"/>
      <c r="H18" s="143"/>
      <c r="I18" s="105"/>
      <c r="J18" s="105">
        <v>1</v>
      </c>
      <c r="K18" s="105"/>
      <c r="L18" s="109"/>
      <c r="M18" s="110"/>
      <c r="N18" s="110">
        <v>100000</v>
      </c>
      <c r="O18" s="111"/>
      <c r="P18" s="110"/>
      <c r="Q18" s="31"/>
      <c r="R18" s="31"/>
    </row>
    <row r="19" spans="1:26" s="113" customFormat="1" ht="117.75" customHeight="1" x14ac:dyDescent="0.35">
      <c r="A19" s="96" t="s">
        <v>86</v>
      </c>
      <c r="B19" s="138"/>
      <c r="C19" s="140"/>
      <c r="D19" s="63" t="s">
        <v>40</v>
      </c>
      <c r="E19" s="50">
        <v>0</v>
      </c>
      <c r="F19" s="52" t="s">
        <v>85</v>
      </c>
      <c r="G19" s="102"/>
      <c r="H19" s="144"/>
      <c r="I19" s="63"/>
      <c r="J19" s="63"/>
      <c r="K19" s="63">
        <v>1</v>
      </c>
      <c r="L19" s="59"/>
      <c r="M19" s="97"/>
      <c r="N19" s="97"/>
      <c r="O19" s="97">
        <v>100000</v>
      </c>
      <c r="P19" s="97"/>
      <c r="Q19" s="18"/>
      <c r="R19" s="18"/>
    </row>
    <row r="20" spans="1:26" s="95" customFormat="1" ht="72" hidden="1" x14ac:dyDescent="0.35">
      <c r="A20" s="104" t="s">
        <v>87</v>
      </c>
      <c r="B20" s="105" t="s">
        <v>80</v>
      </c>
      <c r="C20" s="112" t="s">
        <v>88</v>
      </c>
      <c r="D20" s="105" t="s">
        <v>40</v>
      </c>
      <c r="E20" s="107">
        <v>0</v>
      </c>
      <c r="F20" s="108" t="s">
        <v>89</v>
      </c>
      <c r="G20" s="114" t="s">
        <v>90</v>
      </c>
      <c r="H20" s="114"/>
      <c r="I20" s="105"/>
      <c r="J20" s="105"/>
      <c r="K20" s="105">
        <v>1</v>
      </c>
      <c r="L20" s="109"/>
      <c r="M20" s="110"/>
      <c r="N20" s="110"/>
      <c r="O20" s="110">
        <v>20000</v>
      </c>
      <c r="P20" s="110"/>
      <c r="Q20" s="31"/>
      <c r="R20" s="31"/>
    </row>
    <row r="21" spans="1:26" s="95" customFormat="1" ht="72" hidden="1" x14ac:dyDescent="0.35">
      <c r="A21" s="104" t="s">
        <v>91</v>
      </c>
      <c r="B21" s="138" t="s">
        <v>92</v>
      </c>
      <c r="C21" s="146" t="s">
        <v>93</v>
      </c>
      <c r="D21" s="105" t="s">
        <v>35</v>
      </c>
      <c r="E21" s="107">
        <v>0.2</v>
      </c>
      <c r="F21" s="108" t="s">
        <v>94</v>
      </c>
      <c r="G21" s="108"/>
      <c r="H21" s="142" t="s">
        <v>95</v>
      </c>
      <c r="I21" s="105">
        <v>9</v>
      </c>
      <c r="J21" s="105"/>
      <c r="K21" s="105"/>
      <c r="L21" s="109"/>
      <c r="M21" s="110">
        <v>135000</v>
      </c>
      <c r="N21" s="110"/>
      <c r="O21" s="111"/>
      <c r="P21" s="110"/>
      <c r="Q21" s="31"/>
      <c r="R21" s="31"/>
      <c r="S21" s="31"/>
      <c r="T21" s="31"/>
      <c r="U21" s="31"/>
      <c r="V21" s="31"/>
      <c r="W21" s="31"/>
      <c r="X21" s="31"/>
      <c r="Y21" s="31"/>
    </row>
    <row r="22" spans="1:26" s="113" customFormat="1" ht="72" x14ac:dyDescent="0.35">
      <c r="A22" s="96" t="s">
        <v>96</v>
      </c>
      <c r="B22" s="138"/>
      <c r="C22" s="147"/>
      <c r="D22" s="63" t="s">
        <v>40</v>
      </c>
      <c r="E22" s="50">
        <v>0</v>
      </c>
      <c r="F22" s="52" t="s">
        <v>97</v>
      </c>
      <c r="G22" s="52" t="s">
        <v>62</v>
      </c>
      <c r="H22" s="144"/>
      <c r="I22" s="63"/>
      <c r="J22" s="63"/>
      <c r="K22" s="63">
        <v>9</v>
      </c>
      <c r="L22" s="59"/>
      <c r="M22" s="97"/>
      <c r="N22" s="97"/>
      <c r="O22" s="97">
        <v>135000</v>
      </c>
      <c r="P22" s="97"/>
      <c r="Q22" s="18"/>
      <c r="R22" s="18"/>
      <c r="S22" s="18"/>
      <c r="T22" s="18"/>
      <c r="U22" s="18"/>
      <c r="V22" s="18"/>
      <c r="W22" s="18"/>
      <c r="X22" s="18"/>
      <c r="Y22" s="18"/>
    </row>
    <row r="23" spans="1:26" s="95" customFormat="1" ht="72.75" hidden="1" customHeight="1" x14ac:dyDescent="0.35">
      <c r="A23" s="104" t="s">
        <v>98</v>
      </c>
      <c r="B23" s="105" t="s">
        <v>99</v>
      </c>
      <c r="C23" s="128" t="s">
        <v>100</v>
      </c>
      <c r="D23" s="105" t="s">
        <v>35</v>
      </c>
      <c r="E23" s="107">
        <v>0.23</v>
      </c>
      <c r="F23" s="108" t="s">
        <v>101</v>
      </c>
      <c r="G23" s="114" t="s">
        <v>102</v>
      </c>
      <c r="H23" s="114"/>
      <c r="I23" s="105">
        <v>4</v>
      </c>
      <c r="J23" s="105"/>
      <c r="K23" s="105"/>
      <c r="L23" s="109"/>
      <c r="M23" s="110">
        <v>50000</v>
      </c>
      <c r="N23" s="110"/>
      <c r="O23" s="110"/>
      <c r="P23" s="110"/>
      <c r="Q23" s="31"/>
      <c r="R23" s="31"/>
      <c r="S23" s="31"/>
      <c r="T23" s="31"/>
      <c r="U23" s="31"/>
      <c r="V23" s="31"/>
    </row>
    <row r="24" spans="1:26" s="95" customFormat="1" ht="72" hidden="1" x14ac:dyDescent="0.35">
      <c r="A24" s="104" t="s">
        <v>103</v>
      </c>
      <c r="B24" s="105" t="s">
        <v>104</v>
      </c>
      <c r="C24" s="106" t="s">
        <v>105</v>
      </c>
      <c r="D24" s="105" t="s">
        <v>30</v>
      </c>
      <c r="E24" s="107">
        <v>0.08</v>
      </c>
      <c r="F24" s="108" t="s">
        <v>106</v>
      </c>
      <c r="G24" s="108" t="s">
        <v>107</v>
      </c>
      <c r="H24" s="108"/>
      <c r="I24" s="105"/>
      <c r="J24" s="105">
        <v>1</v>
      </c>
      <c r="K24" s="105"/>
      <c r="L24" s="109"/>
      <c r="M24" s="110"/>
      <c r="N24" s="110">
        <v>50000</v>
      </c>
      <c r="O24" s="111"/>
      <c r="P24" s="110"/>
      <c r="Q24" s="31"/>
      <c r="R24" s="31"/>
      <c r="S24" s="31"/>
    </row>
    <row r="25" spans="1:26" s="95" customFormat="1" ht="72" hidden="1" x14ac:dyDescent="0.35">
      <c r="A25" s="104" t="s">
        <v>108</v>
      </c>
      <c r="B25" s="105" t="s">
        <v>99</v>
      </c>
      <c r="C25" s="84" t="s">
        <v>100</v>
      </c>
      <c r="D25" s="105" t="s">
        <v>40</v>
      </c>
      <c r="E25" s="107">
        <v>0.04</v>
      </c>
      <c r="F25" s="108" t="s">
        <v>109</v>
      </c>
      <c r="G25" s="114"/>
      <c r="H25" s="114"/>
      <c r="I25" s="105"/>
      <c r="J25" s="105"/>
      <c r="K25" s="105">
        <v>2</v>
      </c>
      <c r="L25" s="109"/>
      <c r="M25" s="110"/>
      <c r="N25" s="110"/>
      <c r="O25" s="110">
        <v>25000</v>
      </c>
      <c r="P25" s="110"/>
      <c r="Q25" s="31"/>
      <c r="R25" s="31"/>
      <c r="S25" s="31"/>
      <c r="T25" s="31"/>
      <c r="U25" s="31"/>
      <c r="V25" s="31"/>
    </row>
    <row r="26" spans="1:26" s="95" customFormat="1" ht="72" hidden="1" x14ac:dyDescent="0.35">
      <c r="A26" s="104" t="s">
        <v>110</v>
      </c>
      <c r="B26" s="138" t="s">
        <v>99</v>
      </c>
      <c r="C26" s="140" t="s">
        <v>111</v>
      </c>
      <c r="D26" s="105" t="s">
        <v>35</v>
      </c>
      <c r="E26" s="107">
        <v>0.24</v>
      </c>
      <c r="F26" s="108" t="s">
        <v>112</v>
      </c>
      <c r="G26" s="114" t="s">
        <v>113</v>
      </c>
      <c r="H26" s="114"/>
      <c r="I26" s="105">
        <v>3</v>
      </c>
      <c r="J26" s="105"/>
      <c r="K26" s="105"/>
      <c r="L26" s="109"/>
      <c r="M26" s="110">
        <v>30000</v>
      </c>
      <c r="N26" s="110"/>
      <c r="O26" s="110"/>
      <c r="P26" s="110"/>
      <c r="Q26" s="31"/>
      <c r="R26" s="31"/>
      <c r="S26" s="31"/>
      <c r="T26" s="31"/>
      <c r="U26" s="31"/>
      <c r="V26" s="31"/>
      <c r="W26" s="31"/>
    </row>
    <row r="27" spans="1:26" s="95" customFormat="1" ht="72" hidden="1" x14ac:dyDescent="0.35">
      <c r="A27" s="104" t="s">
        <v>114</v>
      </c>
      <c r="B27" s="138"/>
      <c r="C27" s="139"/>
      <c r="D27" s="105" t="s">
        <v>30</v>
      </c>
      <c r="E27" s="107">
        <v>0.09</v>
      </c>
      <c r="F27" s="108" t="s">
        <v>115</v>
      </c>
      <c r="G27" s="114"/>
      <c r="H27" s="114"/>
      <c r="I27" s="105"/>
      <c r="J27" s="105">
        <v>2</v>
      </c>
      <c r="K27" s="105"/>
      <c r="L27" s="109"/>
      <c r="M27" s="110"/>
      <c r="N27" s="110">
        <v>20000</v>
      </c>
      <c r="O27" s="110"/>
      <c r="P27" s="110"/>
      <c r="Q27" s="31"/>
      <c r="R27" s="31"/>
      <c r="S27" s="31"/>
      <c r="T27" s="31"/>
      <c r="U27" s="31"/>
      <c r="V27" s="31"/>
      <c r="W27" s="31"/>
    </row>
    <row r="28" spans="1:26" s="95" customFormat="1" ht="72" hidden="1" x14ac:dyDescent="0.35">
      <c r="A28" s="104" t="s">
        <v>116</v>
      </c>
      <c r="B28" s="105" t="s">
        <v>99</v>
      </c>
      <c r="C28" s="112" t="s">
        <v>117</v>
      </c>
      <c r="D28" s="105" t="s">
        <v>40</v>
      </c>
      <c r="E28" s="107">
        <v>0.04</v>
      </c>
      <c r="F28" s="108" t="s">
        <v>118</v>
      </c>
      <c r="G28" s="114" t="s">
        <v>119</v>
      </c>
      <c r="H28" s="114"/>
      <c r="I28" s="105"/>
      <c r="J28" s="105"/>
      <c r="K28" s="105">
        <v>1</v>
      </c>
      <c r="L28" s="109"/>
      <c r="M28" s="110"/>
      <c r="N28" s="110"/>
      <c r="O28" s="110">
        <v>50000</v>
      </c>
      <c r="P28" s="110"/>
      <c r="Q28" s="31"/>
      <c r="R28" s="31"/>
      <c r="S28" s="31"/>
      <c r="T28" s="31"/>
      <c r="U28" s="31"/>
      <c r="V28" s="31"/>
      <c r="W28" s="31"/>
      <c r="X28" s="31"/>
    </row>
    <row r="29" spans="1:26" s="95" customFormat="1" ht="72" hidden="1" x14ac:dyDescent="0.35">
      <c r="A29" s="104" t="s">
        <v>120</v>
      </c>
      <c r="B29" s="105" t="s">
        <v>99</v>
      </c>
      <c r="C29" s="112" t="s">
        <v>121</v>
      </c>
      <c r="D29" s="105" t="s">
        <v>40</v>
      </c>
      <c r="E29" s="107">
        <v>0.04</v>
      </c>
      <c r="F29" s="108" t="s">
        <v>122</v>
      </c>
      <c r="G29" s="114" t="s">
        <v>123</v>
      </c>
      <c r="H29" s="114"/>
      <c r="I29" s="105"/>
      <c r="J29" s="105"/>
      <c r="K29" s="105">
        <v>1</v>
      </c>
      <c r="L29" s="109"/>
      <c r="M29" s="110"/>
      <c r="N29" s="110"/>
      <c r="O29" s="110">
        <v>30000</v>
      </c>
      <c r="P29" s="110"/>
      <c r="Q29" s="31"/>
      <c r="R29" s="31"/>
      <c r="S29" s="31"/>
      <c r="T29" s="31"/>
      <c r="U29" s="31"/>
      <c r="V29" s="31"/>
      <c r="W29" s="31"/>
      <c r="X29" s="31"/>
    </row>
    <row r="30" spans="1:26" s="95" customFormat="1" ht="72" hidden="1" x14ac:dyDescent="0.35">
      <c r="A30" s="104" t="s">
        <v>124</v>
      </c>
      <c r="B30" s="105" t="s">
        <v>125</v>
      </c>
      <c r="C30" s="112" t="s">
        <v>126</v>
      </c>
      <c r="D30" s="105" t="s">
        <v>35</v>
      </c>
      <c r="E30" s="107">
        <v>0.2</v>
      </c>
      <c r="F30" s="108" t="s">
        <v>127</v>
      </c>
      <c r="G30" s="108" t="s">
        <v>128</v>
      </c>
      <c r="H30" s="108" t="s">
        <v>129</v>
      </c>
      <c r="I30" s="105">
        <v>7</v>
      </c>
      <c r="J30" s="105"/>
      <c r="K30" s="105"/>
      <c r="L30" s="109"/>
      <c r="M30" s="110">
        <v>49000</v>
      </c>
      <c r="N30" s="110"/>
      <c r="O30" s="111"/>
      <c r="P30" s="110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s="95" customFormat="1" ht="72" hidden="1" x14ac:dyDescent="0.35">
      <c r="A31" s="104" t="s">
        <v>130</v>
      </c>
      <c r="B31" s="105" t="s">
        <v>125</v>
      </c>
      <c r="C31" s="112" t="s">
        <v>131</v>
      </c>
      <c r="D31" s="105" t="s">
        <v>35</v>
      </c>
      <c r="E31" s="107">
        <v>0.2</v>
      </c>
      <c r="F31" s="108" t="s">
        <v>132</v>
      </c>
      <c r="G31" s="108" t="s">
        <v>133</v>
      </c>
      <c r="H31" s="108"/>
      <c r="I31" s="105">
        <v>1</v>
      </c>
      <c r="J31" s="105"/>
      <c r="K31" s="105"/>
      <c r="L31" s="109"/>
      <c r="M31" s="110">
        <v>10000</v>
      </c>
      <c r="N31" s="110"/>
      <c r="O31" s="111"/>
      <c r="P31" s="110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s="95" customFormat="1" ht="72" hidden="1" x14ac:dyDescent="0.35">
      <c r="A32" s="104" t="s">
        <v>134</v>
      </c>
      <c r="B32" s="105" t="s">
        <v>125</v>
      </c>
      <c r="C32" s="106" t="s">
        <v>135</v>
      </c>
      <c r="D32" s="105" t="s">
        <v>35</v>
      </c>
      <c r="E32" s="107">
        <v>0.2</v>
      </c>
      <c r="F32" s="108" t="s">
        <v>136</v>
      </c>
      <c r="G32" s="108" t="s">
        <v>137</v>
      </c>
      <c r="H32" s="105"/>
      <c r="I32" s="105">
        <v>1</v>
      </c>
      <c r="J32" s="105"/>
      <c r="K32" s="105"/>
      <c r="L32" s="109"/>
      <c r="M32" s="110">
        <v>30000</v>
      </c>
      <c r="N32" s="110"/>
      <c r="O32" s="111"/>
      <c r="P32" s="110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8" s="95" customFormat="1" ht="72" hidden="1" x14ac:dyDescent="0.35">
      <c r="A33" s="104" t="s">
        <v>138</v>
      </c>
      <c r="B33" s="105" t="s">
        <v>139</v>
      </c>
      <c r="C33" s="112" t="s">
        <v>140</v>
      </c>
      <c r="D33" s="105" t="s">
        <v>30</v>
      </c>
      <c r="E33" s="107">
        <v>0.09</v>
      </c>
      <c r="F33" s="108" t="s">
        <v>141</v>
      </c>
      <c r="G33" s="108" t="s">
        <v>142</v>
      </c>
      <c r="H33" s="105"/>
      <c r="I33" s="105"/>
      <c r="J33" s="105">
        <v>1</v>
      </c>
      <c r="K33" s="105"/>
      <c r="L33" s="109"/>
      <c r="M33" s="110"/>
      <c r="N33" s="110">
        <v>80000</v>
      </c>
      <c r="O33" s="111"/>
      <c r="P33" s="110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8" s="95" customFormat="1" ht="72" hidden="1" x14ac:dyDescent="0.35">
      <c r="A34" s="104" t="s">
        <v>143</v>
      </c>
      <c r="B34" s="138" t="s">
        <v>144</v>
      </c>
      <c r="C34" s="145" t="s">
        <v>145</v>
      </c>
      <c r="D34" s="105" t="s">
        <v>35</v>
      </c>
      <c r="E34" s="107">
        <v>0.2</v>
      </c>
      <c r="F34" s="108" t="s">
        <v>146</v>
      </c>
      <c r="G34" s="141" t="s">
        <v>147</v>
      </c>
      <c r="H34" s="105"/>
      <c r="I34" s="105">
        <v>1</v>
      </c>
      <c r="J34" s="105"/>
      <c r="K34" s="105"/>
      <c r="L34" s="109"/>
      <c r="M34" s="110">
        <v>80000</v>
      </c>
      <c r="N34" s="110"/>
      <c r="O34" s="111"/>
      <c r="P34" s="110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spans="1:28" s="95" customFormat="1" ht="72" hidden="1" x14ac:dyDescent="0.35">
      <c r="A35" s="104" t="s">
        <v>148</v>
      </c>
      <c r="B35" s="138"/>
      <c r="C35" s="145"/>
      <c r="D35" s="105" t="s">
        <v>30</v>
      </c>
      <c r="E35" s="107">
        <v>7.0000000000000007E-2</v>
      </c>
      <c r="F35" s="127" t="s">
        <v>149</v>
      </c>
      <c r="G35" s="141"/>
      <c r="H35" s="105"/>
      <c r="I35" s="105"/>
      <c r="J35" s="105">
        <v>1</v>
      </c>
      <c r="K35" s="105"/>
      <c r="L35" s="109"/>
      <c r="M35" s="110"/>
      <c r="N35" s="110">
        <v>80000</v>
      </c>
      <c r="O35" s="111"/>
      <c r="P35" s="110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spans="1:28" s="95" customFormat="1" ht="72" hidden="1" x14ac:dyDescent="0.35">
      <c r="A36" s="104" t="s">
        <v>150</v>
      </c>
      <c r="B36" s="138" t="s">
        <v>144</v>
      </c>
      <c r="C36" s="137" t="s">
        <v>151</v>
      </c>
      <c r="D36" s="105" t="s">
        <v>35</v>
      </c>
      <c r="E36" s="107">
        <v>0.22</v>
      </c>
      <c r="F36" s="127" t="s">
        <v>152</v>
      </c>
      <c r="G36" s="141" t="s">
        <v>153</v>
      </c>
      <c r="H36" s="105"/>
      <c r="I36" s="105">
        <v>1</v>
      </c>
      <c r="J36" s="105"/>
      <c r="K36" s="105"/>
      <c r="L36" s="109"/>
      <c r="M36" s="110">
        <v>20000</v>
      </c>
      <c r="N36" s="110"/>
      <c r="O36" s="111"/>
      <c r="P36" s="110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spans="1:28" s="95" customFormat="1" ht="72" hidden="1" x14ac:dyDescent="0.35">
      <c r="A37" s="104" t="s">
        <v>154</v>
      </c>
      <c r="B37" s="138"/>
      <c r="C37" s="137"/>
      <c r="D37" s="105" t="s">
        <v>30</v>
      </c>
      <c r="E37" s="107">
        <v>7.0000000000000007E-2</v>
      </c>
      <c r="F37" s="127" t="s">
        <v>155</v>
      </c>
      <c r="G37" s="141"/>
      <c r="H37" s="105"/>
      <c r="I37" s="105"/>
      <c r="J37" s="105">
        <v>1</v>
      </c>
      <c r="K37" s="105"/>
      <c r="L37" s="109"/>
      <c r="M37" s="110"/>
      <c r="N37" s="110">
        <v>20000</v>
      </c>
      <c r="O37" s="111"/>
      <c r="P37" s="110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spans="1:28" s="18" customFormat="1" ht="18" x14ac:dyDescent="0.35">
      <c r="A38" s="96" t="s">
        <v>156</v>
      </c>
      <c r="B38" s="63"/>
      <c r="C38" s="89"/>
      <c r="D38" s="63"/>
      <c r="E38" s="50"/>
      <c r="F38" s="52"/>
      <c r="G38" s="52"/>
      <c r="H38" s="63"/>
      <c r="I38" s="63"/>
      <c r="J38" s="63"/>
      <c r="K38" s="63"/>
      <c r="L38" s="59"/>
      <c r="M38" s="97"/>
      <c r="N38" s="97"/>
      <c r="O38" s="98"/>
      <c r="P38" s="97"/>
    </row>
    <row r="39" spans="1:28" s="31" customFormat="1" ht="72" hidden="1" x14ac:dyDescent="0.35">
      <c r="A39" s="104" t="s">
        <v>157</v>
      </c>
      <c r="B39" s="105" t="s">
        <v>158</v>
      </c>
      <c r="C39" s="112" t="s">
        <v>159</v>
      </c>
      <c r="D39" s="105" t="s">
        <v>40</v>
      </c>
      <c r="E39" s="107">
        <v>0</v>
      </c>
      <c r="F39" s="108" t="s">
        <v>160</v>
      </c>
      <c r="G39" s="108" t="s">
        <v>161</v>
      </c>
      <c r="H39" s="105"/>
      <c r="I39" s="105"/>
      <c r="J39" s="105"/>
      <c r="K39" s="105">
        <v>2</v>
      </c>
      <c r="L39" s="109"/>
      <c r="M39" s="110"/>
      <c r="N39" s="110"/>
      <c r="O39" s="110">
        <v>67592.84</v>
      </c>
      <c r="P39" s="110"/>
    </row>
    <row r="40" spans="1:28" s="31" customFormat="1" ht="72" hidden="1" x14ac:dyDescent="0.35">
      <c r="A40" s="104" t="s">
        <v>162</v>
      </c>
      <c r="B40" s="105" t="s">
        <v>158</v>
      </c>
      <c r="C40" s="112" t="s">
        <v>163</v>
      </c>
      <c r="D40" s="105" t="s">
        <v>40</v>
      </c>
      <c r="E40" s="107">
        <v>0</v>
      </c>
      <c r="F40" s="108" t="s">
        <v>164</v>
      </c>
      <c r="G40" s="108" t="s">
        <v>161</v>
      </c>
      <c r="H40" s="105"/>
      <c r="I40" s="105"/>
      <c r="J40" s="105"/>
      <c r="K40" s="105">
        <v>1</v>
      </c>
      <c r="L40" s="109"/>
      <c r="M40" s="110"/>
      <c r="N40" s="110"/>
      <c r="O40" s="110">
        <v>43592.04</v>
      </c>
      <c r="P40" s="110"/>
    </row>
    <row r="41" spans="1:28" s="31" customFormat="1" ht="72" hidden="1" x14ac:dyDescent="0.35">
      <c r="A41" s="104" t="s">
        <v>165</v>
      </c>
      <c r="B41" s="105" t="s">
        <v>166</v>
      </c>
      <c r="C41" s="112" t="s">
        <v>167</v>
      </c>
      <c r="D41" s="105" t="s">
        <v>35</v>
      </c>
      <c r="E41" s="107">
        <v>0.24</v>
      </c>
      <c r="F41" s="108" t="s">
        <v>168</v>
      </c>
      <c r="G41" s="108" t="s">
        <v>169</v>
      </c>
      <c r="H41" s="105"/>
      <c r="I41" s="105">
        <v>1</v>
      </c>
      <c r="J41" s="105"/>
      <c r="K41" s="105"/>
      <c r="L41" s="109"/>
      <c r="M41" s="110">
        <v>5000</v>
      </c>
      <c r="N41" s="110"/>
      <c r="O41" s="111"/>
      <c r="P41" s="110"/>
    </row>
    <row r="42" spans="1:28" s="31" customFormat="1" ht="72" hidden="1" x14ac:dyDescent="0.35">
      <c r="A42" s="104" t="s">
        <v>170</v>
      </c>
      <c r="B42" s="109" t="s">
        <v>171</v>
      </c>
      <c r="C42" s="112" t="s">
        <v>172</v>
      </c>
      <c r="D42" s="105" t="s">
        <v>30</v>
      </c>
      <c r="E42" s="132">
        <v>0.09</v>
      </c>
      <c r="F42" s="108" t="s">
        <v>173</v>
      </c>
      <c r="G42" s="108" t="s">
        <v>174</v>
      </c>
      <c r="H42" s="109"/>
      <c r="I42" s="109"/>
      <c r="J42" s="109">
        <v>1</v>
      </c>
      <c r="K42" s="109"/>
      <c r="L42" s="109"/>
      <c r="M42" s="110"/>
      <c r="N42" s="110">
        <v>5000</v>
      </c>
      <c r="O42" s="111"/>
      <c r="P42" s="110"/>
    </row>
    <row r="43" spans="1:28" s="31" customFormat="1" ht="72" hidden="1" x14ac:dyDescent="0.35">
      <c r="A43" s="104" t="s">
        <v>175</v>
      </c>
      <c r="B43" s="105" t="s">
        <v>176</v>
      </c>
      <c r="C43" s="112" t="s">
        <v>177</v>
      </c>
      <c r="D43" s="105" t="s">
        <v>35</v>
      </c>
      <c r="E43" s="107">
        <v>0.2</v>
      </c>
      <c r="F43" s="108" t="s">
        <v>178</v>
      </c>
      <c r="G43" s="108" t="s">
        <v>179</v>
      </c>
      <c r="H43" s="105"/>
      <c r="I43" s="105">
        <v>10</v>
      </c>
      <c r="J43" s="105"/>
      <c r="K43" s="105"/>
      <c r="L43" s="109"/>
      <c r="M43" s="110">
        <v>40000</v>
      </c>
      <c r="N43" s="110"/>
      <c r="O43" s="111"/>
      <c r="P43" s="110"/>
    </row>
    <row r="44" spans="1:28" s="31" customFormat="1" ht="72" hidden="1" x14ac:dyDescent="0.35">
      <c r="A44" s="104" t="s">
        <v>180</v>
      </c>
      <c r="B44" s="105" t="s">
        <v>181</v>
      </c>
      <c r="C44" s="106" t="s">
        <v>182</v>
      </c>
      <c r="D44" s="105" t="s">
        <v>35</v>
      </c>
      <c r="E44" s="107">
        <v>0.19</v>
      </c>
      <c r="F44" s="108" t="s">
        <v>183</v>
      </c>
      <c r="G44" s="108" t="s">
        <v>184</v>
      </c>
      <c r="H44" s="105"/>
      <c r="I44" s="105">
        <v>1</v>
      </c>
      <c r="J44" s="105"/>
      <c r="K44" s="105"/>
      <c r="L44" s="109"/>
      <c r="M44" s="110">
        <v>10000</v>
      </c>
      <c r="N44" s="110"/>
      <c r="O44" s="111"/>
      <c r="P44" s="110"/>
    </row>
    <row r="45" spans="1:28" s="31" customFormat="1" ht="151.5" hidden="1" customHeight="1" x14ac:dyDescent="0.35">
      <c r="A45" s="104" t="s">
        <v>185</v>
      </c>
      <c r="B45" s="105" t="s">
        <v>186</v>
      </c>
      <c r="C45" s="112" t="s">
        <v>187</v>
      </c>
      <c r="D45" s="105" t="s">
        <v>30</v>
      </c>
      <c r="E45" s="107">
        <v>0</v>
      </c>
      <c r="F45" s="108" t="s">
        <v>188</v>
      </c>
      <c r="G45" s="108" t="s">
        <v>189</v>
      </c>
      <c r="H45" s="108" t="s">
        <v>190</v>
      </c>
      <c r="I45" s="105"/>
      <c r="J45" s="105">
        <v>3</v>
      </c>
      <c r="K45" s="105"/>
      <c r="L45" s="109"/>
      <c r="M45" s="110"/>
      <c r="N45" s="110">
        <v>54000</v>
      </c>
      <c r="O45" s="111"/>
      <c r="P45" s="110"/>
    </row>
    <row r="46" spans="1:28" s="31" customFormat="1" ht="88.5" hidden="1" customHeight="1" x14ac:dyDescent="0.35">
      <c r="A46" s="104" t="s">
        <v>191</v>
      </c>
      <c r="B46" s="105" t="s">
        <v>186</v>
      </c>
      <c r="C46" s="112" t="s">
        <v>192</v>
      </c>
      <c r="D46" s="105" t="s">
        <v>40</v>
      </c>
      <c r="E46" s="107">
        <v>0</v>
      </c>
      <c r="F46" s="108" t="s">
        <v>193</v>
      </c>
      <c r="G46" s="108" t="s">
        <v>194</v>
      </c>
      <c r="H46" s="108"/>
      <c r="I46" s="105"/>
      <c r="J46" s="105"/>
      <c r="K46" s="105">
        <v>1</v>
      </c>
      <c r="L46" s="109"/>
      <c r="M46" s="110"/>
      <c r="N46" s="110"/>
      <c r="O46" s="110">
        <v>10000</v>
      </c>
      <c r="P46" s="110"/>
    </row>
    <row r="47" spans="1:28" s="31" customFormat="1" ht="88.5" hidden="1" customHeight="1" x14ac:dyDescent="0.35">
      <c r="A47" s="104" t="s">
        <v>195</v>
      </c>
      <c r="B47" s="105" t="s">
        <v>196</v>
      </c>
      <c r="C47" s="112" t="s">
        <v>197</v>
      </c>
      <c r="D47" s="105" t="s">
        <v>40</v>
      </c>
      <c r="E47" s="107">
        <v>0</v>
      </c>
      <c r="F47" s="108" t="s">
        <v>198</v>
      </c>
      <c r="G47" s="108" t="s">
        <v>199</v>
      </c>
      <c r="H47" s="133"/>
      <c r="I47" s="105"/>
      <c r="J47" s="105"/>
      <c r="K47" s="105">
        <v>1</v>
      </c>
      <c r="L47" s="109"/>
      <c r="M47" s="110"/>
      <c r="N47" s="110"/>
      <c r="O47" s="110">
        <v>50000</v>
      </c>
      <c r="P47" s="110"/>
    </row>
    <row r="48" spans="1:28" s="31" customFormat="1" ht="88.5" hidden="1" customHeight="1" x14ac:dyDescent="0.35">
      <c r="A48" s="104" t="s">
        <v>200</v>
      </c>
      <c r="B48" s="105" t="s">
        <v>196</v>
      </c>
      <c r="C48" s="112" t="s">
        <v>201</v>
      </c>
      <c r="D48" s="105" t="s">
        <v>40</v>
      </c>
      <c r="E48" s="107">
        <v>0</v>
      </c>
      <c r="F48" s="108" t="s">
        <v>202</v>
      </c>
      <c r="G48" s="108" t="s">
        <v>203</v>
      </c>
      <c r="H48" s="133"/>
      <c r="I48" s="105"/>
      <c r="J48" s="105"/>
      <c r="K48" s="105"/>
      <c r="L48" s="109"/>
      <c r="M48" s="110"/>
      <c r="N48" s="110"/>
      <c r="O48" s="110">
        <v>125000</v>
      </c>
      <c r="P48" s="110"/>
    </row>
    <row r="49" spans="1:16" s="18" customFormat="1" ht="102.75" customHeight="1" x14ac:dyDescent="0.35">
      <c r="A49" s="96" t="s">
        <v>204</v>
      </c>
      <c r="B49" s="63" t="s">
        <v>205</v>
      </c>
      <c r="C49" s="89" t="s">
        <v>206</v>
      </c>
      <c r="D49" s="63" t="s">
        <v>35</v>
      </c>
      <c r="E49" s="103" t="s">
        <v>207</v>
      </c>
      <c r="F49" s="52" t="s">
        <v>208</v>
      </c>
      <c r="G49" s="52" t="s">
        <v>209</v>
      </c>
      <c r="H49" s="63"/>
      <c r="I49" s="63">
        <v>1</v>
      </c>
      <c r="J49" s="63"/>
      <c r="K49" s="63"/>
      <c r="L49" s="59"/>
      <c r="M49" s="97"/>
      <c r="N49" s="97"/>
      <c r="O49" s="98"/>
      <c r="P49" s="97"/>
    </row>
    <row r="50" spans="1:16" s="123" customFormat="1" ht="102.75" customHeight="1" x14ac:dyDescent="0.35">
      <c r="A50" s="124" t="s">
        <v>210</v>
      </c>
      <c r="B50" s="115" t="s">
        <v>211</v>
      </c>
      <c r="C50" s="116" t="s">
        <v>212</v>
      </c>
      <c r="D50" s="115" t="s">
        <v>35</v>
      </c>
      <c r="E50" s="117">
        <v>0.2</v>
      </c>
      <c r="F50" s="118" t="s">
        <v>213</v>
      </c>
      <c r="G50" s="118" t="s">
        <v>214</v>
      </c>
      <c r="H50" s="119" t="s">
        <v>215</v>
      </c>
      <c r="I50" s="115"/>
      <c r="J50" s="115"/>
      <c r="K50" s="115"/>
      <c r="L50" s="120"/>
      <c r="M50" s="121"/>
      <c r="N50" s="121"/>
      <c r="O50" s="122"/>
      <c r="P50" s="121"/>
    </row>
    <row r="51" spans="1:16" s="123" customFormat="1" ht="102.75" customHeight="1" x14ac:dyDescent="0.35">
      <c r="A51" s="125" t="s">
        <v>216</v>
      </c>
      <c r="B51" s="115" t="s">
        <v>217</v>
      </c>
      <c r="C51" s="116" t="s">
        <v>218</v>
      </c>
      <c r="D51" s="115" t="s">
        <v>35</v>
      </c>
      <c r="E51" s="117" t="s">
        <v>219</v>
      </c>
      <c r="F51" s="118" t="s">
        <v>220</v>
      </c>
      <c r="G51" s="118"/>
      <c r="H51" s="115"/>
      <c r="I51" s="115"/>
      <c r="J51" s="115"/>
      <c r="K51" s="115"/>
      <c r="L51" s="120"/>
      <c r="M51" s="121"/>
      <c r="N51" s="121"/>
      <c r="O51" s="122"/>
      <c r="P51" s="121"/>
    </row>
    <row r="52" spans="1:16" s="82" customFormat="1" ht="63" customHeight="1" x14ac:dyDescent="0.35">
      <c r="A52" s="87"/>
      <c r="B52" s="75" t="s">
        <v>6</v>
      </c>
      <c r="C52" s="90"/>
      <c r="D52" s="76"/>
      <c r="E52" s="77"/>
      <c r="F52" s="78"/>
      <c r="G52" s="78"/>
      <c r="H52" s="76"/>
      <c r="I52" s="75">
        <f>SUM(I4:I47,I48,I49)</f>
        <v>105</v>
      </c>
      <c r="J52" s="75">
        <f>SUM(J4:J49)</f>
        <v>33</v>
      </c>
      <c r="K52" s="75">
        <f>SUM(K4:K49)</f>
        <v>38</v>
      </c>
      <c r="L52" s="79"/>
      <c r="M52" s="81">
        <f>SUM(M4:M49)</f>
        <v>983727.62</v>
      </c>
      <c r="N52" s="81">
        <f>SUM(N4:N49)</f>
        <v>419000</v>
      </c>
      <c r="O52" s="81">
        <f>SUM(O4:O49)</f>
        <v>880073.78</v>
      </c>
      <c r="P52" s="80"/>
    </row>
    <row r="53" spans="1:16" ht="63" customHeight="1" x14ac:dyDescent="0.35">
      <c r="B53" s="53"/>
      <c r="C53" s="58"/>
      <c r="D53" s="12"/>
      <c r="E53" s="51"/>
      <c r="F53" s="52"/>
      <c r="G53" s="45"/>
      <c r="H53" s="12"/>
      <c r="I53" s="12"/>
      <c r="J53" s="12"/>
      <c r="K53" s="12"/>
      <c r="L53" s="55"/>
      <c r="M53" s="46"/>
      <c r="N53" s="46"/>
      <c r="O53" s="47"/>
      <c r="P53" s="46"/>
    </row>
    <row r="54" spans="1:16" ht="63" customHeight="1" x14ac:dyDescent="0.3">
      <c r="B54" s="59"/>
      <c r="C54" s="59"/>
      <c r="D54" s="59"/>
      <c r="E54" s="62"/>
      <c r="F54" s="59"/>
      <c r="G54" s="11"/>
      <c r="H54" s="11"/>
      <c r="I54" s="11"/>
      <c r="J54" s="11"/>
      <c r="K54" s="11"/>
      <c r="L54" s="55"/>
      <c r="M54" s="46"/>
      <c r="N54" s="46"/>
      <c r="O54" s="47"/>
      <c r="P54" s="46"/>
    </row>
    <row r="55" spans="1:16" x14ac:dyDescent="0.3">
      <c r="B55" s="60"/>
      <c r="C55" s="60"/>
      <c r="D55" s="60"/>
      <c r="E55" s="62"/>
      <c r="F55" s="59"/>
      <c r="G55" s="11"/>
      <c r="H55" s="11"/>
      <c r="I55" s="11"/>
      <c r="J55" s="11"/>
      <c r="K55" s="11"/>
      <c r="L55" s="55"/>
      <c r="M55" s="46"/>
      <c r="N55" s="46"/>
      <c r="O55" s="47"/>
      <c r="P55" s="46"/>
    </row>
    <row r="56" spans="1:16" x14ac:dyDescent="0.3">
      <c r="B56" s="60"/>
      <c r="C56" s="60"/>
      <c r="D56" s="60"/>
      <c r="E56" s="62"/>
      <c r="F56" s="59"/>
      <c r="G56" s="11"/>
      <c r="H56" s="11"/>
      <c r="I56" s="11"/>
      <c r="J56" s="11"/>
      <c r="K56" s="11"/>
      <c r="L56" s="55"/>
      <c r="M56" s="46"/>
      <c r="N56" s="46"/>
      <c r="O56" s="47"/>
      <c r="P56" s="46"/>
    </row>
    <row r="57" spans="1:16" x14ac:dyDescent="0.3">
      <c r="B57" s="60"/>
      <c r="C57" s="60"/>
      <c r="D57" s="60"/>
      <c r="E57" s="62"/>
      <c r="F57" s="59"/>
      <c r="G57" s="11"/>
      <c r="H57" s="11"/>
      <c r="I57" s="11"/>
      <c r="J57" s="11"/>
      <c r="K57" s="11"/>
      <c r="L57" s="55"/>
      <c r="M57" s="46"/>
      <c r="N57" s="46"/>
      <c r="O57" s="47"/>
      <c r="P57" s="46"/>
    </row>
    <row r="58" spans="1:16" x14ac:dyDescent="0.3">
      <c r="B58" s="60"/>
      <c r="C58" s="60"/>
      <c r="D58" s="60"/>
      <c r="E58" s="62"/>
      <c r="F58" s="59"/>
      <c r="G58" s="11"/>
      <c r="H58" s="11"/>
      <c r="I58" s="11"/>
      <c r="J58" s="11"/>
      <c r="K58" s="11"/>
      <c r="L58" s="55"/>
      <c r="M58" s="46"/>
      <c r="N58" s="46"/>
      <c r="O58" s="47"/>
      <c r="P58" s="46"/>
    </row>
    <row r="59" spans="1:16" x14ac:dyDescent="0.3">
      <c r="B59" s="59"/>
      <c r="C59" s="59"/>
      <c r="D59" s="59"/>
      <c r="E59" s="62"/>
      <c r="F59" s="59"/>
      <c r="G59" s="11"/>
      <c r="H59" s="11"/>
      <c r="I59" s="11"/>
      <c r="J59" s="11"/>
      <c r="K59" s="11"/>
      <c r="L59" s="55"/>
      <c r="M59" s="46"/>
      <c r="N59" s="46"/>
      <c r="O59" s="47"/>
      <c r="P59" s="46"/>
    </row>
    <row r="60" spans="1:16" x14ac:dyDescent="0.3">
      <c r="B60" s="60"/>
      <c r="C60" s="59"/>
      <c r="D60" s="59"/>
      <c r="E60" s="62"/>
      <c r="F60" s="59"/>
      <c r="G60" s="11"/>
      <c r="H60" s="11"/>
      <c r="I60" s="11"/>
      <c r="J60" s="11"/>
      <c r="K60" s="11"/>
      <c r="L60" s="55"/>
      <c r="M60" s="46"/>
      <c r="N60" s="46"/>
      <c r="O60" s="47"/>
      <c r="P60" s="46"/>
    </row>
    <row r="61" spans="1:16" ht="18" x14ac:dyDescent="0.35">
      <c r="B61" s="63"/>
      <c r="D61" s="18"/>
      <c r="E61" s="65"/>
      <c r="F61" s="18"/>
    </row>
    <row r="62" spans="1:16" ht="18" x14ac:dyDescent="0.35">
      <c r="B62" s="63"/>
      <c r="D62" s="18"/>
      <c r="E62" s="65"/>
      <c r="F62" s="18"/>
    </row>
    <row r="63" spans="1:16" ht="18" x14ac:dyDescent="0.35">
      <c r="B63" s="63"/>
      <c r="D63" s="18"/>
      <c r="E63" s="65"/>
      <c r="F63" s="18"/>
    </row>
    <row r="64" spans="1:16" x14ac:dyDescent="0.3">
      <c r="B64" s="18"/>
      <c r="D64" s="18"/>
      <c r="E64" s="64"/>
      <c r="F64" s="18"/>
    </row>
    <row r="68" spans="4:4" x14ac:dyDescent="0.3">
      <c r="D68" s="11"/>
    </row>
  </sheetData>
  <autoFilter ref="A1:A68" xr:uid="{BF122082-A37B-4482-8AA0-994FC69BF0C0}">
    <filterColumn colId="0">
      <filters blank="1">
        <filter val="1.12"/>
        <filter val="1.16"/>
        <filter val="1.20"/>
        <filter val="1.45"/>
        <filter val="1.9"/>
        <filter val="apenas p/ registro, não contabilizar como desconformidade já que saiu antes da IN"/>
        <filter val="apenas p/ registro, não contabilizar como desconformidade, pois inconclusivo"/>
        <filter val="ex 35"/>
        <filter val="Nº PARECER"/>
      </filters>
    </filterColumn>
  </autoFilter>
  <mergeCells count="18">
    <mergeCell ref="H17:H19"/>
    <mergeCell ref="H21:H22"/>
    <mergeCell ref="B34:B35"/>
    <mergeCell ref="C34:C35"/>
    <mergeCell ref="G34:G35"/>
    <mergeCell ref="B21:B22"/>
    <mergeCell ref="C21:C22"/>
    <mergeCell ref="B36:B37"/>
    <mergeCell ref="C36:C37"/>
    <mergeCell ref="G36:G37"/>
    <mergeCell ref="C26:C27"/>
    <mergeCell ref="B26:B27"/>
    <mergeCell ref="C10:C12"/>
    <mergeCell ref="B10:B12"/>
    <mergeCell ref="B13:B15"/>
    <mergeCell ref="C13:C15"/>
    <mergeCell ref="C17:C19"/>
    <mergeCell ref="B17:B19"/>
  </mergeCells>
  <hyperlinks>
    <hyperlink ref="C8" r:id="rId1" xr:uid="{769AC5B9-63D3-4C0E-9867-267565F7FBC6}"/>
    <hyperlink ref="C6" r:id="rId2" xr:uid="{C7A5BBF4-58EC-4DDA-8244-C72D991FCC95}"/>
    <hyperlink ref="C5" r:id="rId3" xr:uid="{E76C49DF-1918-44DB-9021-595C86B8D9CA}"/>
    <hyperlink ref="C4" r:id="rId4" xr:uid="{7D4455C3-4BD0-4B3D-A0E4-EB0ABD224C80}"/>
    <hyperlink ref="C7" r:id="rId5" xr:uid="{FC22B5F3-9969-4B2E-A166-4C8E2A629D02}"/>
    <hyperlink ref="C9" r:id="rId6" xr:uid="{5A4579E1-2FA1-4059-BADB-DD4344DD6A65}"/>
    <hyperlink ref="C10" r:id="rId7" xr:uid="{32D3DD9B-7665-40EA-AF77-CED8B9F626E0}"/>
    <hyperlink ref="C13" r:id="rId8" xr:uid="{6462C56A-70A7-45D4-8DF8-45AA240271E6}"/>
    <hyperlink ref="C16" r:id="rId9" xr:uid="{91FCB88C-BE08-4780-A479-DFAE855C421F}"/>
    <hyperlink ref="C20" r:id="rId10" xr:uid="{5C10D88E-F5AC-4028-8EDA-DD724BABD277}"/>
    <hyperlink ref="C24" r:id="rId11" xr:uid="{99290681-DF1F-4094-8AB4-759FBF51965E}"/>
    <hyperlink ref="C23" r:id="rId12" xr:uid="{667103C9-1DD2-45E3-A295-34A75BCBDFD3}"/>
    <hyperlink ref="C28" r:id="rId13" xr:uid="{15F5EB2F-36E9-4521-A638-FBC858B8B925}"/>
    <hyperlink ref="C29" r:id="rId14" xr:uid="{83620A60-A0F0-4321-ABD2-85FD5CC6729C}"/>
    <hyperlink ref="C21" r:id="rId15" xr:uid="{130A1D29-8B13-489E-A0B0-4B1D3D41C1AB}"/>
    <hyperlink ref="C30" r:id="rId16" xr:uid="{FEACBE4A-7CF9-4232-9C8C-278A87158DF2}"/>
    <hyperlink ref="C31" r:id="rId17" xr:uid="{7F3B79BF-2B98-4308-A2DE-CDA6AEAA9070}"/>
    <hyperlink ref="C32" r:id="rId18" xr:uid="{F473C91D-76BE-442A-AFF8-E09E9ED69698}"/>
    <hyperlink ref="C33" r:id="rId19" xr:uid="{264D7FBF-F3DE-4752-8EA1-C2B98A63C520}"/>
    <hyperlink ref="C34" r:id="rId20" xr:uid="{6005481E-E9FD-4752-B443-E27EBBCC2AD3}"/>
    <hyperlink ref="C36" r:id="rId21" xr:uid="{1389AD8A-14E5-4D47-8060-A739E6CC7C04}"/>
    <hyperlink ref="C39" r:id="rId22" xr:uid="{835AD28C-FA87-4868-8E11-FD7CB5D354BF}"/>
    <hyperlink ref="C40" r:id="rId23" xr:uid="{5180E36E-7B07-4AE7-97D0-7F40C0584123}"/>
    <hyperlink ref="C43" r:id="rId24" xr:uid="{7AC28945-678A-43CA-970A-67D84382C4E0}"/>
    <hyperlink ref="C44" r:id="rId25" xr:uid="{7BC502D6-7A02-418E-BF85-038E881EBB56}"/>
    <hyperlink ref="C45" r:id="rId26" xr:uid="{6F8159DA-3A0E-4952-B59E-680480E06C12}"/>
    <hyperlink ref="C46" r:id="rId27" xr:uid="{D9E82F4A-7D07-42A7-82B3-BA6D110C5C37}"/>
    <hyperlink ref="C47" r:id="rId28" xr:uid="{2E928427-A4B3-437B-B255-323599310FF1}"/>
    <hyperlink ref="C48" r:id="rId29" xr:uid="{E5396FE0-C725-42D3-8E7B-0E30AA6409D4}"/>
    <hyperlink ref="C41" r:id="rId30" xr:uid="{C4EEEB55-D394-4284-B6CE-2B818D777EAD}"/>
    <hyperlink ref="C42" r:id="rId31" xr:uid="{13C3CAC9-4315-4182-B15C-0BAFADC41F14}"/>
    <hyperlink ref="C49" r:id="rId32" xr:uid="{B67DEB94-9FF4-402C-B99D-7EB81FC36562}"/>
    <hyperlink ref="C26:C27" r:id="rId33" display="2024-08_MG_FOMENTO.pdf" xr:uid="{2CD28CE2-C84C-4737-8AAD-A22CF098DE21}"/>
    <hyperlink ref="C25" r:id="rId34" xr:uid="{D05D40AA-D7B2-46CF-96C4-B6227F4B899B}"/>
    <hyperlink ref="C50" r:id="rId35" xr:uid="{5ABC21F1-694B-4AFD-B50D-7AA269E38321}"/>
    <hyperlink ref="C51" r:id="rId36" xr:uid="{C228BD4D-E482-4069-9937-1FE802317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3071-ECA0-461B-B049-C31452BB6FFB}">
  <dimension ref="A1:U499"/>
  <sheetViews>
    <sheetView tabSelected="1" workbookViewId="0">
      <selection activeCell="B20" sqref="B20"/>
    </sheetView>
  </sheetViews>
  <sheetFormatPr defaultRowHeight="14.4" x14ac:dyDescent="0.3"/>
  <cols>
    <col min="1" max="1" width="22.33203125" bestFit="1" customWidth="1"/>
    <col min="2" max="2" width="49" customWidth="1"/>
    <col min="3" max="3" width="29.88671875" style="23" customWidth="1"/>
    <col min="4" max="4" width="23" bestFit="1" customWidth="1"/>
    <col min="5" max="5" width="17.44140625" bestFit="1" customWidth="1"/>
    <col min="6" max="6" width="14.5546875" bestFit="1" customWidth="1"/>
    <col min="8" max="8" width="9.88671875" bestFit="1" customWidth="1"/>
    <col min="9" max="9" width="12.5546875" bestFit="1" customWidth="1"/>
    <col min="14" max="14" width="17.44140625" bestFit="1" customWidth="1"/>
    <col min="15" max="15" width="21" bestFit="1" customWidth="1"/>
    <col min="18" max="18" width="19.6640625" bestFit="1" customWidth="1"/>
    <col min="19" max="19" width="22.33203125" bestFit="1" customWidth="1"/>
    <col min="20" max="20" width="13.88671875" bestFit="1" customWidth="1"/>
  </cols>
  <sheetData>
    <row r="1" spans="1:21" x14ac:dyDescent="0.3">
      <c r="A1" s="13" t="s">
        <v>221</v>
      </c>
      <c r="B1" s="13" t="s">
        <v>222</v>
      </c>
      <c r="C1" s="21" t="s">
        <v>223</v>
      </c>
      <c r="D1" s="13" t="s">
        <v>224</v>
      </c>
      <c r="E1" s="13" t="s">
        <v>225</v>
      </c>
      <c r="F1" s="13" t="s">
        <v>226</v>
      </c>
      <c r="G1" s="13" t="s">
        <v>227</v>
      </c>
      <c r="H1" s="13" t="s">
        <v>228</v>
      </c>
      <c r="I1" s="13" t="s">
        <v>229</v>
      </c>
      <c r="J1" s="13" t="s">
        <v>230</v>
      </c>
      <c r="K1" s="13" t="s">
        <v>231</v>
      </c>
      <c r="L1" s="13" t="s">
        <v>232</v>
      </c>
      <c r="M1" s="13" t="s">
        <v>233</v>
      </c>
      <c r="N1" s="13" t="s">
        <v>234</v>
      </c>
      <c r="O1" s="13" t="s">
        <v>235</v>
      </c>
      <c r="P1" s="13" t="s">
        <v>236</v>
      </c>
      <c r="Q1" s="13" t="s">
        <v>237</v>
      </c>
      <c r="R1" s="13" t="s">
        <v>238</v>
      </c>
      <c r="S1" s="13" t="s">
        <v>239</v>
      </c>
      <c r="T1" s="13" t="s">
        <v>240</v>
      </c>
      <c r="U1" s="13" t="s">
        <v>241</v>
      </c>
    </row>
    <row r="2" spans="1:21" x14ac:dyDescent="0.3">
      <c r="A2" s="14" t="s">
        <v>44</v>
      </c>
      <c r="B2" s="20" t="s">
        <v>242</v>
      </c>
      <c r="C2" s="22" t="s">
        <v>243</v>
      </c>
      <c r="D2" s="15">
        <v>0</v>
      </c>
      <c r="E2" s="16">
        <v>0.5</v>
      </c>
      <c r="F2" s="17">
        <v>0</v>
      </c>
      <c r="G2" s="18">
        <v>2</v>
      </c>
      <c r="H2" s="18">
        <v>384988.4</v>
      </c>
      <c r="I2" s="18" t="b">
        <v>1</v>
      </c>
      <c r="J2" s="14" t="s">
        <v>244</v>
      </c>
      <c r="K2" s="15">
        <v>0</v>
      </c>
      <c r="L2" s="16">
        <v>1</v>
      </c>
      <c r="M2" s="17">
        <v>0</v>
      </c>
      <c r="N2" s="18">
        <v>192494.2</v>
      </c>
      <c r="O2" s="15">
        <v>0</v>
      </c>
      <c r="P2" s="16">
        <v>192494.2</v>
      </c>
      <c r="Q2" s="17">
        <v>0</v>
      </c>
      <c r="R2" s="18" t="b">
        <v>0</v>
      </c>
      <c r="S2" s="18" t="b">
        <v>1</v>
      </c>
      <c r="T2" s="18" t="b">
        <v>0</v>
      </c>
      <c r="U2" s="14" t="s">
        <v>245</v>
      </c>
    </row>
    <row r="3" spans="1:21" x14ac:dyDescent="0.3">
      <c r="A3" s="14" t="s">
        <v>125</v>
      </c>
      <c r="B3" s="20" t="s">
        <v>246</v>
      </c>
      <c r="C3" s="22" t="s">
        <v>247</v>
      </c>
      <c r="D3" s="31">
        <v>0.24610000000000001</v>
      </c>
      <c r="E3" s="31">
        <v>0.20760000000000001</v>
      </c>
      <c r="F3" s="31">
        <v>0.46150000000000002</v>
      </c>
      <c r="G3" s="18">
        <v>100</v>
      </c>
      <c r="H3" s="18">
        <v>650000</v>
      </c>
      <c r="I3" s="18" t="b">
        <v>0</v>
      </c>
      <c r="J3" s="14" t="s">
        <v>244</v>
      </c>
      <c r="K3" s="15">
        <v>7</v>
      </c>
      <c r="L3" s="16">
        <v>1</v>
      </c>
      <c r="M3" s="17">
        <v>5</v>
      </c>
      <c r="N3" s="18">
        <v>6500</v>
      </c>
      <c r="O3" s="15">
        <v>45500</v>
      </c>
      <c r="P3" s="16">
        <v>6500</v>
      </c>
      <c r="Q3" s="17">
        <v>32500</v>
      </c>
      <c r="R3" s="18" t="b">
        <v>0</v>
      </c>
      <c r="S3" s="18" t="b">
        <v>0</v>
      </c>
      <c r="T3" s="18" t="b">
        <v>1</v>
      </c>
      <c r="U3" s="14" t="s">
        <v>248</v>
      </c>
    </row>
    <row r="4" spans="1:21" x14ac:dyDescent="0.3">
      <c r="A4" s="14" t="s">
        <v>125</v>
      </c>
      <c r="B4" s="20" t="s">
        <v>249</v>
      </c>
      <c r="C4" s="22" t="s">
        <v>250</v>
      </c>
      <c r="D4" s="31">
        <v>0.23330000000000001</v>
      </c>
      <c r="E4" s="31">
        <v>0.23330000000000001</v>
      </c>
      <c r="F4" s="31">
        <v>0.33300000000000002</v>
      </c>
      <c r="G4" s="18">
        <v>30</v>
      </c>
      <c r="H4" s="18">
        <v>300000</v>
      </c>
      <c r="I4" s="18" t="b">
        <v>0</v>
      </c>
      <c r="J4" s="14" t="s">
        <v>244</v>
      </c>
      <c r="K4" s="15">
        <v>2</v>
      </c>
      <c r="L4" s="16">
        <v>2</v>
      </c>
      <c r="M4" s="17">
        <v>30</v>
      </c>
      <c r="N4" s="18">
        <v>10000</v>
      </c>
      <c r="O4" s="15">
        <v>20000</v>
      </c>
      <c r="P4" s="16">
        <v>20000</v>
      </c>
      <c r="Q4" s="17">
        <v>300000</v>
      </c>
      <c r="R4" s="18" t="b">
        <v>0</v>
      </c>
      <c r="S4" s="18" t="b">
        <v>0</v>
      </c>
      <c r="T4" s="18" t="b">
        <v>1</v>
      </c>
      <c r="U4" s="14" t="s">
        <v>248</v>
      </c>
    </row>
    <row r="5" spans="1:21" x14ac:dyDescent="0.3">
      <c r="A5" s="14" t="s">
        <v>125</v>
      </c>
      <c r="B5" s="20" t="s">
        <v>251</v>
      </c>
      <c r="C5" s="22" t="s">
        <v>252</v>
      </c>
      <c r="D5" s="15">
        <v>0.25</v>
      </c>
      <c r="E5" s="16">
        <v>0.05</v>
      </c>
      <c r="F5" s="17">
        <v>0.05</v>
      </c>
      <c r="G5" s="18">
        <v>20</v>
      </c>
      <c r="H5" s="18">
        <v>100000</v>
      </c>
      <c r="I5" s="18" t="b">
        <v>0</v>
      </c>
      <c r="J5" s="14" t="s">
        <v>244</v>
      </c>
      <c r="K5" s="15">
        <v>3</v>
      </c>
      <c r="L5" s="16">
        <v>2</v>
      </c>
      <c r="M5" s="17"/>
      <c r="N5" s="18">
        <v>5000</v>
      </c>
      <c r="O5" s="15">
        <v>15000</v>
      </c>
      <c r="P5" s="16">
        <v>10000</v>
      </c>
      <c r="Q5" s="17"/>
      <c r="R5" s="18" t="b">
        <v>0</v>
      </c>
      <c r="S5" s="18" t="b">
        <v>1</v>
      </c>
      <c r="T5" s="18" t="b">
        <v>0</v>
      </c>
      <c r="U5" s="14" t="s">
        <v>253</v>
      </c>
    </row>
    <row r="6" spans="1:21" x14ac:dyDescent="0.3">
      <c r="A6" s="14" t="s">
        <v>144</v>
      </c>
      <c r="B6" s="19" t="s">
        <v>145</v>
      </c>
      <c r="C6" s="22" t="s">
        <v>254</v>
      </c>
      <c r="D6" s="15">
        <v>0.16</v>
      </c>
      <c r="E6" s="16">
        <v>0.03</v>
      </c>
      <c r="F6" s="17">
        <v>0.03</v>
      </c>
      <c r="G6" s="18">
        <v>30</v>
      </c>
      <c r="H6" s="18">
        <v>3060000</v>
      </c>
      <c r="I6" s="18" t="b">
        <v>1</v>
      </c>
      <c r="J6" s="14" t="s">
        <v>244</v>
      </c>
      <c r="K6" s="15">
        <v>4</v>
      </c>
      <c r="L6" s="16">
        <v>0</v>
      </c>
      <c r="M6" s="17">
        <v>0</v>
      </c>
      <c r="N6" s="18">
        <v>102000</v>
      </c>
      <c r="O6" s="15">
        <v>408000</v>
      </c>
      <c r="P6" s="16">
        <v>0</v>
      </c>
      <c r="Q6" s="17">
        <v>0</v>
      </c>
      <c r="R6" s="18" t="b">
        <v>0</v>
      </c>
      <c r="S6" s="18" t="b">
        <v>0</v>
      </c>
      <c r="T6" s="18" t="b">
        <v>0</v>
      </c>
      <c r="U6" s="14" t="s">
        <v>245</v>
      </c>
    </row>
    <row r="7" spans="1:21" x14ac:dyDescent="0.3">
      <c r="A7" s="14" t="s">
        <v>49</v>
      </c>
      <c r="B7" s="19" t="s">
        <v>255</v>
      </c>
      <c r="C7" s="22" t="s">
        <v>254</v>
      </c>
      <c r="D7" s="15">
        <v>0.16669999999999999</v>
      </c>
      <c r="E7" s="16">
        <v>0.16669999999999999</v>
      </c>
      <c r="F7" s="17">
        <v>0.16669999999999999</v>
      </c>
      <c r="G7" s="18">
        <v>30</v>
      </c>
      <c r="H7" s="18">
        <v>1672276.38</v>
      </c>
      <c r="I7" s="18" t="b">
        <v>0</v>
      </c>
      <c r="J7" s="14" t="s">
        <v>244</v>
      </c>
      <c r="K7" s="15">
        <v>5</v>
      </c>
      <c r="L7" s="16">
        <v>5</v>
      </c>
      <c r="M7" s="17">
        <v>5</v>
      </c>
      <c r="N7" s="18">
        <v>55742.545999999988</v>
      </c>
      <c r="O7" s="15">
        <v>278712.73</v>
      </c>
      <c r="P7" s="16">
        <v>278712.73</v>
      </c>
      <c r="Q7" s="17">
        <v>278712.73</v>
      </c>
      <c r="R7" s="18" t="b">
        <v>0</v>
      </c>
      <c r="S7" s="18" t="b">
        <v>1</v>
      </c>
      <c r="T7" s="18" t="b">
        <v>1</v>
      </c>
      <c r="U7" s="14" t="s">
        <v>245</v>
      </c>
    </row>
    <row r="8" spans="1:21" x14ac:dyDescent="0.3">
      <c r="A8" s="14" t="s">
        <v>181</v>
      </c>
      <c r="B8" s="19" t="s">
        <v>182</v>
      </c>
      <c r="C8" s="22" t="s">
        <v>254</v>
      </c>
      <c r="D8" s="15">
        <v>0.19</v>
      </c>
      <c r="E8" s="16">
        <v>0.19</v>
      </c>
      <c r="F8" s="17">
        <v>0.05</v>
      </c>
      <c r="G8" s="18">
        <v>21</v>
      </c>
      <c r="H8" s="18">
        <v>470000</v>
      </c>
      <c r="I8" s="18" t="b">
        <v>0</v>
      </c>
      <c r="J8" s="14" t="s">
        <v>256</v>
      </c>
      <c r="K8" s="15">
        <v>3</v>
      </c>
      <c r="L8" s="16">
        <v>3</v>
      </c>
      <c r="M8" s="17">
        <v>1</v>
      </c>
      <c r="N8" s="18">
        <v>22380.952380952382</v>
      </c>
      <c r="O8" s="15">
        <v>67142.857142857145</v>
      </c>
      <c r="P8" s="16">
        <v>67142.857142857145</v>
      </c>
      <c r="Q8" s="17">
        <v>22380.952380952382</v>
      </c>
      <c r="R8" s="18" t="b">
        <v>0</v>
      </c>
      <c r="S8" s="18" t="b">
        <v>1</v>
      </c>
      <c r="T8" s="18" t="b">
        <v>1</v>
      </c>
      <c r="U8" s="14" t="s">
        <v>257</v>
      </c>
    </row>
    <row r="9" spans="1:21" x14ac:dyDescent="0.3">
      <c r="A9" s="14" t="s">
        <v>44</v>
      </c>
      <c r="B9" s="19" t="s">
        <v>258</v>
      </c>
      <c r="C9" s="22" t="s">
        <v>254</v>
      </c>
      <c r="D9" s="15">
        <v>0.1905</v>
      </c>
      <c r="E9" s="16">
        <v>0.1905</v>
      </c>
      <c r="F9" s="17">
        <v>0.16669999999999999</v>
      </c>
      <c r="G9" s="18">
        <v>42</v>
      </c>
      <c r="H9" s="18">
        <v>2000000</v>
      </c>
      <c r="I9" s="18" t="b">
        <v>0</v>
      </c>
      <c r="J9" s="14" t="s">
        <v>244</v>
      </c>
      <c r="K9" s="15">
        <v>8</v>
      </c>
      <c r="L9" s="16">
        <v>8</v>
      </c>
      <c r="M9" s="17">
        <v>7</v>
      </c>
      <c r="N9" s="18">
        <v>47619.047619047618</v>
      </c>
      <c r="O9" s="15">
        <v>380952.38095238089</v>
      </c>
      <c r="P9" s="16">
        <v>380952.38095238089</v>
      </c>
      <c r="Q9" s="17">
        <v>333333.33333333331</v>
      </c>
      <c r="R9" s="18" t="b">
        <v>0</v>
      </c>
      <c r="S9" s="18" t="b">
        <v>1</v>
      </c>
      <c r="T9" s="18" t="b">
        <v>1</v>
      </c>
      <c r="U9" s="14" t="s">
        <v>248</v>
      </c>
    </row>
    <row r="10" spans="1:21" x14ac:dyDescent="0.3">
      <c r="A10" s="14" t="s">
        <v>49</v>
      </c>
      <c r="B10" s="20" t="s">
        <v>259</v>
      </c>
      <c r="C10" s="22" t="s">
        <v>260</v>
      </c>
      <c r="D10" s="15">
        <v>0.2</v>
      </c>
      <c r="E10" s="16">
        <v>0.2</v>
      </c>
      <c r="F10" s="17">
        <v>0.2</v>
      </c>
      <c r="G10" s="18">
        <v>60</v>
      </c>
      <c r="H10" s="18">
        <v>900000</v>
      </c>
      <c r="I10" s="18" t="b">
        <v>0</v>
      </c>
      <c r="J10" s="14" t="s">
        <v>244</v>
      </c>
      <c r="K10" s="15">
        <v>12</v>
      </c>
      <c r="L10" s="16">
        <v>12</v>
      </c>
      <c r="M10" s="17">
        <v>12</v>
      </c>
      <c r="N10" s="18">
        <v>15000</v>
      </c>
      <c r="O10" s="15">
        <v>180000</v>
      </c>
      <c r="P10" s="16">
        <v>180000</v>
      </c>
      <c r="Q10" s="17">
        <v>180000</v>
      </c>
      <c r="R10" s="18" t="b">
        <v>0</v>
      </c>
      <c r="S10" s="18" t="b">
        <v>1</v>
      </c>
      <c r="T10" s="18" t="b">
        <v>1</v>
      </c>
      <c r="U10" s="14" t="s">
        <v>253</v>
      </c>
    </row>
    <row r="11" spans="1:21" x14ac:dyDescent="0.3">
      <c r="A11" s="14" t="s">
        <v>125</v>
      </c>
      <c r="B11" s="19" t="s">
        <v>261</v>
      </c>
      <c r="C11" s="22" t="s">
        <v>254</v>
      </c>
      <c r="D11" s="15">
        <v>0.2</v>
      </c>
      <c r="E11" s="16">
        <v>0.1</v>
      </c>
      <c r="F11" s="17">
        <v>0.05</v>
      </c>
      <c r="G11" s="18"/>
      <c r="H11" s="18">
        <v>1000000</v>
      </c>
      <c r="I11" s="18" t="b">
        <v>0</v>
      </c>
      <c r="J11" s="14" t="s">
        <v>244</v>
      </c>
      <c r="K11" s="15"/>
      <c r="L11" s="16"/>
      <c r="M11" s="17"/>
      <c r="N11" s="18"/>
      <c r="O11" s="15"/>
      <c r="P11" s="16"/>
      <c r="Q11" s="17"/>
      <c r="R11" s="18" t="b">
        <v>0</v>
      </c>
      <c r="S11" s="18" t="b">
        <v>1</v>
      </c>
      <c r="T11" s="18" t="b">
        <v>1</v>
      </c>
      <c r="U11" s="14" t="s">
        <v>248</v>
      </c>
    </row>
    <row r="12" spans="1:21" x14ac:dyDescent="0.3">
      <c r="A12" s="14" t="s">
        <v>125</v>
      </c>
      <c r="B12" s="19" t="s">
        <v>262</v>
      </c>
      <c r="C12" s="22" t="s">
        <v>254</v>
      </c>
      <c r="D12" s="15">
        <v>0.2</v>
      </c>
      <c r="E12" s="16">
        <v>0.1</v>
      </c>
      <c r="F12" s="17">
        <v>0.06</v>
      </c>
      <c r="G12" s="18">
        <v>30</v>
      </c>
      <c r="H12" s="18">
        <v>300000</v>
      </c>
      <c r="I12" s="18" t="b">
        <v>0</v>
      </c>
      <c r="J12" s="14" t="s">
        <v>244</v>
      </c>
      <c r="K12" s="15">
        <v>6</v>
      </c>
      <c r="L12" s="16">
        <v>3</v>
      </c>
      <c r="M12" s="17">
        <v>1</v>
      </c>
      <c r="N12" s="18">
        <v>10000</v>
      </c>
      <c r="O12" s="15">
        <v>60000</v>
      </c>
      <c r="P12" s="16">
        <v>30000</v>
      </c>
      <c r="Q12" s="17">
        <v>10000</v>
      </c>
      <c r="R12" s="18" t="b">
        <v>0</v>
      </c>
      <c r="S12" s="18" t="b">
        <v>1</v>
      </c>
      <c r="T12" s="18" t="b">
        <v>1</v>
      </c>
      <c r="U12" s="14" t="s">
        <v>248</v>
      </c>
    </row>
    <row r="13" spans="1:21" x14ac:dyDescent="0.3">
      <c r="A13" s="14" t="s">
        <v>125</v>
      </c>
      <c r="B13" s="19" t="s">
        <v>263</v>
      </c>
      <c r="C13" s="22" t="s">
        <v>254</v>
      </c>
      <c r="D13" s="15">
        <v>0.2</v>
      </c>
      <c r="E13" s="16">
        <v>0.2</v>
      </c>
      <c r="F13" s="17">
        <v>0.16669999999999999</v>
      </c>
      <c r="G13" s="18">
        <v>30</v>
      </c>
      <c r="H13" s="18">
        <v>300000</v>
      </c>
      <c r="I13" s="18" t="b">
        <v>0</v>
      </c>
      <c r="J13" s="14" t="s">
        <v>244</v>
      </c>
      <c r="K13" s="15">
        <v>6</v>
      </c>
      <c r="L13" s="16">
        <v>6</v>
      </c>
      <c r="M13" s="17">
        <v>5</v>
      </c>
      <c r="N13" s="18">
        <v>10000</v>
      </c>
      <c r="O13" s="15">
        <v>60000</v>
      </c>
      <c r="P13" s="16">
        <v>60000</v>
      </c>
      <c r="Q13" s="17">
        <v>50000</v>
      </c>
      <c r="R13" s="18" t="b">
        <v>0</v>
      </c>
      <c r="S13" s="18" t="b">
        <v>1</v>
      </c>
      <c r="T13" s="18" t="b">
        <v>1</v>
      </c>
      <c r="U13" s="14" t="s">
        <v>248</v>
      </c>
    </row>
    <row r="14" spans="1:21" x14ac:dyDescent="0.3">
      <c r="A14" s="14" t="s">
        <v>125</v>
      </c>
      <c r="B14" s="20" t="s">
        <v>264</v>
      </c>
      <c r="C14" s="22" t="s">
        <v>260</v>
      </c>
      <c r="D14" s="15">
        <v>0.2</v>
      </c>
      <c r="E14" s="16">
        <v>0.1</v>
      </c>
      <c r="F14" s="17">
        <v>0.05</v>
      </c>
      <c r="G14" s="18">
        <v>20</v>
      </c>
      <c r="H14" s="18">
        <v>300000</v>
      </c>
      <c r="I14" s="18" t="b">
        <v>0</v>
      </c>
      <c r="J14" s="14" t="s">
        <v>244</v>
      </c>
      <c r="K14" s="15">
        <v>4</v>
      </c>
      <c r="L14" s="16">
        <v>2</v>
      </c>
      <c r="M14" s="17">
        <v>1</v>
      </c>
      <c r="N14" s="18">
        <v>15000</v>
      </c>
      <c r="O14" s="15">
        <v>60000</v>
      </c>
      <c r="P14" s="16">
        <v>30000</v>
      </c>
      <c r="Q14" s="17">
        <v>15000</v>
      </c>
      <c r="R14" s="18" t="b">
        <v>0</v>
      </c>
      <c r="S14" s="18" t="b">
        <v>1</v>
      </c>
      <c r="T14" s="18" t="b">
        <v>1</v>
      </c>
      <c r="U14" s="14" t="s">
        <v>253</v>
      </c>
    </row>
    <row r="15" spans="1:21" x14ac:dyDescent="0.3">
      <c r="A15" s="14" t="s">
        <v>144</v>
      </c>
      <c r="B15" s="19" t="s">
        <v>151</v>
      </c>
      <c r="C15" s="22" t="s">
        <v>254</v>
      </c>
      <c r="D15" s="15">
        <v>0.2</v>
      </c>
      <c r="E15" s="16">
        <v>0.05</v>
      </c>
      <c r="F15" s="17">
        <v>0.05</v>
      </c>
      <c r="G15" s="18">
        <v>40</v>
      </c>
      <c r="H15" s="18">
        <v>1200000</v>
      </c>
      <c r="I15" s="18" t="b">
        <v>1</v>
      </c>
      <c r="J15" s="14" t="s">
        <v>244</v>
      </c>
      <c r="K15" s="15">
        <v>8</v>
      </c>
      <c r="L15" s="16">
        <v>2</v>
      </c>
      <c r="M15" s="17">
        <v>2</v>
      </c>
      <c r="N15" s="18">
        <v>30000</v>
      </c>
      <c r="O15" s="15">
        <v>240000</v>
      </c>
      <c r="P15" s="16">
        <v>60000</v>
      </c>
      <c r="Q15" s="17">
        <v>60000</v>
      </c>
      <c r="R15" s="18" t="b">
        <v>0</v>
      </c>
      <c r="S15" s="18" t="b">
        <v>0</v>
      </c>
      <c r="T15" s="18" t="b">
        <v>1</v>
      </c>
      <c r="U15" s="14" t="s">
        <v>245</v>
      </c>
    </row>
    <row r="16" spans="1:21" x14ac:dyDescent="0.3">
      <c r="A16" s="14" t="s">
        <v>265</v>
      </c>
      <c r="B16" s="20" t="s">
        <v>266</v>
      </c>
      <c r="C16" s="22" t="s">
        <v>243</v>
      </c>
      <c r="D16" s="15">
        <v>0.2</v>
      </c>
      <c r="E16" s="16">
        <v>0.2</v>
      </c>
      <c r="F16" s="17">
        <v>0.2</v>
      </c>
      <c r="G16" s="18">
        <v>5</v>
      </c>
      <c r="H16" s="18">
        <v>250000</v>
      </c>
      <c r="I16" s="18" t="b">
        <v>0</v>
      </c>
      <c r="J16" s="14" t="s">
        <v>256</v>
      </c>
      <c r="K16" s="15">
        <v>1</v>
      </c>
      <c r="L16" s="16">
        <v>1</v>
      </c>
      <c r="M16" s="17">
        <v>1</v>
      </c>
      <c r="N16" s="18">
        <v>50000</v>
      </c>
      <c r="O16" s="15">
        <v>50000</v>
      </c>
      <c r="P16" s="16">
        <v>50000</v>
      </c>
      <c r="Q16" s="17">
        <v>50000</v>
      </c>
      <c r="R16" s="18" t="b">
        <v>0</v>
      </c>
      <c r="S16" s="18" t="b">
        <v>1</v>
      </c>
      <c r="T16" s="18" t="b">
        <v>1</v>
      </c>
      <c r="U16" s="14" t="s">
        <v>248</v>
      </c>
    </row>
    <row r="17" spans="1:21" x14ac:dyDescent="0.3">
      <c r="A17" s="14" t="s">
        <v>176</v>
      </c>
      <c r="B17" s="19" t="s">
        <v>177</v>
      </c>
      <c r="C17" s="22" t="s">
        <v>254</v>
      </c>
      <c r="D17" s="15">
        <v>0.2</v>
      </c>
      <c r="E17" s="16">
        <v>0.2</v>
      </c>
      <c r="F17" s="17">
        <v>0.06</v>
      </c>
      <c r="G17" s="18">
        <v>188</v>
      </c>
      <c r="H17" s="18">
        <v>4789485.7</v>
      </c>
      <c r="I17" s="18" t="b">
        <v>0</v>
      </c>
      <c r="J17" s="14" t="s">
        <v>256</v>
      </c>
      <c r="K17" s="15">
        <v>37</v>
      </c>
      <c r="L17" s="16">
        <v>37</v>
      </c>
      <c r="M17" s="17">
        <v>11</v>
      </c>
      <c r="N17" s="18">
        <v>25475.987765957449</v>
      </c>
      <c r="O17" s="15">
        <v>942611.54734042555</v>
      </c>
      <c r="P17" s="16">
        <v>942611.54734042555</v>
      </c>
      <c r="Q17" s="17">
        <v>280235.86542553193</v>
      </c>
      <c r="R17" s="18" t="b">
        <v>0</v>
      </c>
      <c r="S17" s="18" t="b">
        <v>1</v>
      </c>
      <c r="T17" s="18" t="b">
        <v>1</v>
      </c>
      <c r="U17" s="14" t="s">
        <v>248</v>
      </c>
    </row>
    <row r="18" spans="1:21" x14ac:dyDescent="0.3">
      <c r="A18" s="14" t="s">
        <v>186</v>
      </c>
      <c r="B18" s="20" t="s">
        <v>267</v>
      </c>
      <c r="C18" s="22" t="s">
        <v>260</v>
      </c>
      <c r="D18" s="15">
        <v>0.2</v>
      </c>
      <c r="E18" s="16"/>
      <c r="F18" s="17">
        <v>0.05</v>
      </c>
      <c r="G18" s="18">
        <v>22</v>
      </c>
      <c r="H18" s="18">
        <v>220000</v>
      </c>
      <c r="I18" s="18" t="b">
        <v>0</v>
      </c>
      <c r="J18" s="14" t="s">
        <v>256</v>
      </c>
      <c r="K18" s="15">
        <v>4</v>
      </c>
      <c r="L18" s="16"/>
      <c r="M18" s="17">
        <v>1</v>
      </c>
      <c r="N18" s="18">
        <v>10000</v>
      </c>
      <c r="O18" s="15">
        <v>40000</v>
      </c>
      <c r="P18" s="16"/>
      <c r="Q18" s="17">
        <v>10000</v>
      </c>
      <c r="R18" s="18" t="b">
        <v>0</v>
      </c>
      <c r="S18" s="18" t="b">
        <v>0</v>
      </c>
      <c r="T18" s="18" t="b">
        <v>1</v>
      </c>
      <c r="U18" s="14" t="s">
        <v>253</v>
      </c>
    </row>
    <row r="19" spans="1:21" x14ac:dyDescent="0.3">
      <c r="A19" s="14" t="s">
        <v>186</v>
      </c>
      <c r="B19" s="19" t="s">
        <v>268</v>
      </c>
      <c r="C19" s="22" t="s">
        <v>254</v>
      </c>
      <c r="D19" s="15">
        <v>0.26</v>
      </c>
      <c r="E19" s="16"/>
      <c r="F19" s="17">
        <v>0.05</v>
      </c>
      <c r="G19" s="18">
        <v>23</v>
      </c>
      <c r="H19" s="18">
        <v>230000</v>
      </c>
      <c r="I19" s="18" t="b">
        <v>0</v>
      </c>
      <c r="J19" s="14" t="s">
        <v>256</v>
      </c>
      <c r="K19" s="15">
        <v>4</v>
      </c>
      <c r="L19" s="16"/>
      <c r="M19" s="17">
        <v>1</v>
      </c>
      <c r="N19" s="18">
        <v>10000</v>
      </c>
      <c r="O19" s="15">
        <v>40000</v>
      </c>
      <c r="P19" s="16"/>
      <c r="Q19" s="17">
        <v>10000</v>
      </c>
      <c r="R19" s="18" t="b">
        <v>0</v>
      </c>
      <c r="S19" s="18" t="b">
        <v>0</v>
      </c>
      <c r="T19" s="18" t="b">
        <v>1</v>
      </c>
      <c r="U19" s="14" t="s">
        <v>248</v>
      </c>
    </row>
    <row r="20" spans="1:21" x14ac:dyDescent="0.3">
      <c r="A20" s="14" t="s">
        <v>186</v>
      </c>
      <c r="B20" s="19" t="s">
        <v>187</v>
      </c>
      <c r="C20" s="22" t="s">
        <v>254</v>
      </c>
      <c r="D20" s="15">
        <v>0.2</v>
      </c>
      <c r="E20" s="16"/>
      <c r="F20" s="17">
        <v>0.05</v>
      </c>
      <c r="G20" s="18">
        <v>34</v>
      </c>
      <c r="H20" s="18">
        <v>682000</v>
      </c>
      <c r="I20" s="18" t="b">
        <v>0</v>
      </c>
      <c r="J20" s="14" t="s">
        <v>256</v>
      </c>
      <c r="K20" s="15">
        <v>6</v>
      </c>
      <c r="L20" s="16"/>
      <c r="M20" s="17">
        <v>1</v>
      </c>
      <c r="N20" s="18">
        <v>20058.823529411769</v>
      </c>
      <c r="O20" s="15">
        <v>120352.9411764706</v>
      </c>
      <c r="P20" s="16"/>
      <c r="Q20" s="17">
        <v>20058.823529411769</v>
      </c>
      <c r="R20" s="18" t="b">
        <v>0</v>
      </c>
      <c r="S20" s="18" t="b">
        <v>0</v>
      </c>
      <c r="T20" s="18" t="b">
        <v>1</v>
      </c>
      <c r="U20" s="14" t="s">
        <v>248</v>
      </c>
    </row>
    <row r="21" spans="1:21" x14ac:dyDescent="0.3">
      <c r="A21" s="14" t="s">
        <v>211</v>
      </c>
      <c r="B21" s="19" t="s">
        <v>212</v>
      </c>
      <c r="C21" s="22" t="s">
        <v>269</v>
      </c>
      <c r="D21" s="15">
        <v>0.2</v>
      </c>
      <c r="E21" s="16">
        <v>0.1</v>
      </c>
      <c r="F21" s="31">
        <v>7.0000000000000007E-2</v>
      </c>
      <c r="G21" s="18">
        <v>162</v>
      </c>
      <c r="H21" s="18">
        <v>25000000</v>
      </c>
      <c r="I21" s="18" t="b">
        <v>0</v>
      </c>
      <c r="J21" s="14" t="s">
        <v>256</v>
      </c>
      <c r="K21" s="15">
        <v>32</v>
      </c>
      <c r="L21" s="16">
        <v>16</v>
      </c>
      <c r="M21" s="17">
        <v>8</v>
      </c>
      <c r="N21" s="18">
        <v>154320.98765432101</v>
      </c>
      <c r="O21" s="15">
        <v>4938271.6049382715</v>
      </c>
      <c r="P21" s="16">
        <v>2469135.8024691362</v>
      </c>
      <c r="Q21" s="17">
        <v>1234567.9012345681</v>
      </c>
      <c r="R21" s="18" t="b">
        <v>0</v>
      </c>
      <c r="S21" s="18" t="b">
        <v>1</v>
      </c>
      <c r="T21" s="18" t="b">
        <v>1</v>
      </c>
      <c r="U21" s="14" t="s">
        <v>248</v>
      </c>
    </row>
    <row r="22" spans="1:21" x14ac:dyDescent="0.3">
      <c r="A22" s="14" t="s">
        <v>205</v>
      </c>
      <c r="B22" s="19" t="s">
        <v>206</v>
      </c>
      <c r="C22" s="22" t="s">
        <v>254</v>
      </c>
      <c r="D22" s="15">
        <v>0.2</v>
      </c>
      <c r="E22" s="16">
        <v>0.2</v>
      </c>
      <c r="F22" s="17">
        <v>0.2</v>
      </c>
      <c r="G22" s="18">
        <v>5</v>
      </c>
      <c r="H22" s="18">
        <v>1000000</v>
      </c>
      <c r="I22" s="18" t="b">
        <v>0</v>
      </c>
      <c r="J22" s="14" t="s">
        <v>256</v>
      </c>
      <c r="K22" s="15">
        <v>1</v>
      </c>
      <c r="L22" s="16">
        <v>1</v>
      </c>
      <c r="M22" s="17">
        <v>1</v>
      </c>
      <c r="N22" s="18">
        <v>200000</v>
      </c>
      <c r="O22" s="15">
        <v>200000</v>
      </c>
      <c r="P22" s="16">
        <v>200000</v>
      </c>
      <c r="Q22" s="17">
        <v>200000</v>
      </c>
      <c r="R22" s="18" t="b">
        <v>0</v>
      </c>
      <c r="S22" s="18" t="b">
        <v>1</v>
      </c>
      <c r="T22" s="18" t="b">
        <v>1</v>
      </c>
      <c r="U22" s="14" t="s">
        <v>245</v>
      </c>
    </row>
    <row r="23" spans="1:21" x14ac:dyDescent="0.3">
      <c r="A23" s="14" t="s">
        <v>92</v>
      </c>
      <c r="B23" s="19" t="s">
        <v>270</v>
      </c>
      <c r="C23" s="22" t="s">
        <v>254</v>
      </c>
      <c r="D23" s="15">
        <v>0.2031</v>
      </c>
      <c r="E23" s="16">
        <v>0.1042</v>
      </c>
      <c r="F23" s="17"/>
      <c r="G23" s="18">
        <v>192</v>
      </c>
      <c r="H23" s="18">
        <v>6300000</v>
      </c>
      <c r="I23" s="18" t="b">
        <v>0</v>
      </c>
      <c r="J23" s="14" t="s">
        <v>244</v>
      </c>
      <c r="K23" s="15">
        <v>38</v>
      </c>
      <c r="L23" s="16">
        <v>20</v>
      </c>
      <c r="M23" s="17"/>
      <c r="N23" s="18">
        <v>32812.5</v>
      </c>
      <c r="O23" s="15">
        <v>1246875</v>
      </c>
      <c r="P23" s="16">
        <v>656250</v>
      </c>
      <c r="Q23" s="17"/>
      <c r="R23" s="18" t="b">
        <v>0</v>
      </c>
      <c r="S23" s="18" t="b">
        <v>1</v>
      </c>
      <c r="T23" s="18" t="b">
        <v>0</v>
      </c>
      <c r="U23" s="14" t="s">
        <v>248</v>
      </c>
    </row>
    <row r="24" spans="1:21" x14ac:dyDescent="0.3">
      <c r="A24" s="14" t="s">
        <v>92</v>
      </c>
      <c r="B24" s="84" t="s">
        <v>271</v>
      </c>
      <c r="C24" s="22" t="s">
        <v>272</v>
      </c>
      <c r="D24" s="31">
        <v>0.25</v>
      </c>
      <c r="E24" s="31">
        <v>0.1</v>
      </c>
      <c r="F24" s="31">
        <v>0.05</v>
      </c>
      <c r="G24" s="31">
        <v>400</v>
      </c>
      <c r="H24" s="18">
        <v>2000000</v>
      </c>
      <c r="I24" s="18"/>
      <c r="J24" s="14"/>
      <c r="K24" s="15"/>
      <c r="L24" s="16"/>
      <c r="M24" s="17"/>
      <c r="N24" s="18"/>
      <c r="O24" s="15"/>
      <c r="P24" s="16"/>
      <c r="Q24" s="17"/>
      <c r="R24" s="18"/>
      <c r="S24" s="18"/>
      <c r="T24" s="18"/>
      <c r="U24" s="14"/>
    </row>
    <row r="25" spans="1:21" x14ac:dyDescent="0.3">
      <c r="A25" s="14" t="s">
        <v>273</v>
      </c>
      <c r="B25" s="25" t="s">
        <v>274</v>
      </c>
      <c r="C25" s="22" t="s">
        <v>275</v>
      </c>
      <c r="D25" s="31">
        <v>0.25</v>
      </c>
      <c r="E25" s="16">
        <v>0.1</v>
      </c>
      <c r="F25" s="17">
        <v>0.05</v>
      </c>
      <c r="G25" s="18">
        <v>100</v>
      </c>
      <c r="H25" s="18">
        <v>7300000</v>
      </c>
      <c r="I25" s="18" t="b">
        <v>0</v>
      </c>
      <c r="J25" s="14" t="s">
        <v>244</v>
      </c>
      <c r="K25" s="15">
        <v>21</v>
      </c>
      <c r="L25" s="16">
        <v>10</v>
      </c>
      <c r="M25" s="17">
        <v>5</v>
      </c>
      <c r="N25" s="18">
        <v>73000</v>
      </c>
      <c r="O25" s="15">
        <v>1533000</v>
      </c>
      <c r="P25" s="16">
        <v>730000</v>
      </c>
      <c r="Q25" s="17">
        <v>365000</v>
      </c>
      <c r="R25" s="18" t="b">
        <v>0</v>
      </c>
      <c r="S25" s="18" t="b">
        <v>1</v>
      </c>
      <c r="T25" s="18" t="b">
        <v>1</v>
      </c>
      <c r="U25" s="14" t="s">
        <v>248</v>
      </c>
    </row>
    <row r="26" spans="1:21" x14ac:dyDescent="0.3">
      <c r="A26" s="14" t="s">
        <v>28</v>
      </c>
      <c r="B26" s="20" t="s">
        <v>276</v>
      </c>
      <c r="C26" s="29" t="s">
        <v>250</v>
      </c>
      <c r="D26" s="15">
        <v>0.21429999999999999</v>
      </c>
      <c r="E26" s="16">
        <v>7.1400000000000005E-2</v>
      </c>
      <c r="F26" s="17">
        <v>7.1400000000000005E-2</v>
      </c>
      <c r="G26" s="18">
        <v>14</v>
      </c>
      <c r="H26" s="18">
        <v>200000</v>
      </c>
      <c r="I26" s="18" t="b">
        <v>0</v>
      </c>
      <c r="J26" s="14" t="s">
        <v>244</v>
      </c>
      <c r="K26" s="15">
        <v>3</v>
      </c>
      <c r="L26" s="16">
        <v>0</v>
      </c>
      <c r="M26" s="17">
        <v>0</v>
      </c>
      <c r="N26" s="18">
        <v>14285.71428571429</v>
      </c>
      <c r="O26" s="15">
        <v>42857.142857142862</v>
      </c>
      <c r="P26" s="16">
        <v>0</v>
      </c>
      <c r="Q26" s="17">
        <v>0</v>
      </c>
      <c r="R26" s="18" t="b">
        <v>0</v>
      </c>
      <c r="S26" s="18" t="b">
        <v>0</v>
      </c>
      <c r="T26" s="18" t="b">
        <v>1</v>
      </c>
      <c r="U26" s="14" t="s">
        <v>248</v>
      </c>
    </row>
    <row r="27" spans="1:21" x14ac:dyDescent="0.3">
      <c r="A27" s="14" t="s">
        <v>139</v>
      </c>
      <c r="B27" s="27" t="s">
        <v>140</v>
      </c>
      <c r="C27" s="22" t="s">
        <v>277</v>
      </c>
      <c r="D27" s="31">
        <v>0.26090000000000002</v>
      </c>
      <c r="E27" s="31">
        <v>8.6999999999999994E-2</v>
      </c>
      <c r="F27" s="31">
        <v>4.3499999999999997E-2</v>
      </c>
      <c r="G27" s="18">
        <v>69</v>
      </c>
      <c r="H27" s="18">
        <v>10650000</v>
      </c>
      <c r="I27" s="18" t="b">
        <v>0</v>
      </c>
      <c r="J27" s="14" t="s">
        <v>244</v>
      </c>
      <c r="K27" s="15">
        <v>15</v>
      </c>
      <c r="L27" s="16">
        <v>4</v>
      </c>
      <c r="M27" s="17">
        <v>2</v>
      </c>
      <c r="N27" s="18">
        <v>154347.82608695651</v>
      </c>
      <c r="O27" s="15">
        <v>2315217.3913043481</v>
      </c>
      <c r="P27" s="16">
        <v>617391.30434782605</v>
      </c>
      <c r="Q27" s="17">
        <v>308695.65217391303</v>
      </c>
      <c r="R27" s="18" t="b">
        <v>0</v>
      </c>
      <c r="S27" s="18" t="b">
        <v>0</v>
      </c>
      <c r="T27" s="18" t="b">
        <v>0</v>
      </c>
      <c r="U27" s="14" t="s">
        <v>248</v>
      </c>
    </row>
    <row r="28" spans="1:21" x14ac:dyDescent="0.3">
      <c r="A28" s="14" t="s">
        <v>278</v>
      </c>
      <c r="B28" s="20" t="s">
        <v>279</v>
      </c>
      <c r="C28" s="29" t="s">
        <v>250</v>
      </c>
      <c r="D28" s="15">
        <v>0.23</v>
      </c>
      <c r="E28" s="16">
        <v>0.15</v>
      </c>
      <c r="F28" s="17">
        <v>0.15</v>
      </c>
      <c r="G28" s="18">
        <v>13</v>
      </c>
      <c r="H28" s="18">
        <v>370000</v>
      </c>
      <c r="I28" s="18" t="b">
        <v>0</v>
      </c>
      <c r="J28" s="14" t="s">
        <v>256</v>
      </c>
      <c r="K28" s="15">
        <v>2</v>
      </c>
      <c r="L28" s="16">
        <v>1</v>
      </c>
      <c r="M28" s="17">
        <v>1</v>
      </c>
      <c r="N28" s="18">
        <v>28461.538461538461</v>
      </c>
      <c r="O28" s="15">
        <v>56923.076923076922</v>
      </c>
      <c r="P28" s="16">
        <v>28461.538461538461</v>
      </c>
      <c r="Q28" s="17">
        <v>28461.538461538461</v>
      </c>
      <c r="R28" s="18" t="b">
        <v>0</v>
      </c>
      <c r="S28" s="18" t="b">
        <v>1</v>
      </c>
      <c r="T28" s="18" t="b">
        <v>1</v>
      </c>
      <c r="U28" s="14" t="s">
        <v>248</v>
      </c>
    </row>
    <row r="29" spans="1:21" x14ac:dyDescent="0.3">
      <c r="A29" s="14" t="s">
        <v>278</v>
      </c>
      <c r="B29" s="20" t="s">
        <v>280</v>
      </c>
      <c r="C29" s="29" t="s">
        <v>250</v>
      </c>
      <c r="D29" s="15">
        <v>0.23</v>
      </c>
      <c r="E29" s="16">
        <v>0.12</v>
      </c>
      <c r="F29" s="17">
        <v>0.06</v>
      </c>
      <c r="G29" s="18">
        <v>17</v>
      </c>
      <c r="H29" s="18">
        <v>500000</v>
      </c>
      <c r="I29" s="18" t="b">
        <v>0</v>
      </c>
      <c r="J29" s="14" t="s">
        <v>256</v>
      </c>
      <c r="K29" s="15">
        <v>3</v>
      </c>
      <c r="L29" s="16">
        <v>2</v>
      </c>
      <c r="M29" s="17">
        <v>1</v>
      </c>
      <c r="N29" s="18">
        <v>29411.76470588235</v>
      </c>
      <c r="O29" s="15">
        <v>88235.294117647063</v>
      </c>
      <c r="P29" s="16">
        <v>58823.529411764714</v>
      </c>
      <c r="Q29" s="17">
        <v>29411.76470588235</v>
      </c>
      <c r="R29" s="18" t="b">
        <v>0</v>
      </c>
      <c r="S29" s="18" t="b">
        <v>1</v>
      </c>
      <c r="T29" s="18" t="b">
        <v>1</v>
      </c>
      <c r="U29" s="14" t="s">
        <v>257</v>
      </c>
    </row>
    <row r="30" spans="1:21" x14ac:dyDescent="0.3">
      <c r="A30" s="14" t="s">
        <v>28</v>
      </c>
      <c r="B30" s="20" t="s">
        <v>281</v>
      </c>
      <c r="C30" s="29" t="s">
        <v>250</v>
      </c>
      <c r="D30" s="15">
        <v>0.23530000000000001</v>
      </c>
      <c r="E30" s="16">
        <v>8.8200000000000001E-2</v>
      </c>
      <c r="F30" s="17">
        <v>5.8799999999999998E-2</v>
      </c>
      <c r="G30" s="18">
        <v>34</v>
      </c>
      <c r="H30" s="18">
        <v>1000000</v>
      </c>
      <c r="I30" s="18" t="b">
        <v>0</v>
      </c>
      <c r="J30" s="14" t="s">
        <v>244</v>
      </c>
      <c r="K30" s="15">
        <v>8</v>
      </c>
      <c r="L30" s="16">
        <v>2</v>
      </c>
      <c r="M30" s="17">
        <v>1</v>
      </c>
      <c r="N30" s="18">
        <v>29411.76470588235</v>
      </c>
      <c r="O30" s="15">
        <v>235294.1176470588</v>
      </c>
      <c r="P30" s="16">
        <v>58823.529411764714</v>
      </c>
      <c r="Q30" s="17">
        <v>29411.76470588235</v>
      </c>
      <c r="R30" s="18" t="b">
        <v>0</v>
      </c>
      <c r="S30" s="18" t="b">
        <v>0</v>
      </c>
      <c r="T30" s="18" t="b">
        <v>1</v>
      </c>
      <c r="U30" s="14" t="s">
        <v>248</v>
      </c>
    </row>
    <row r="31" spans="1:21" x14ac:dyDescent="0.3">
      <c r="A31" s="14" t="s">
        <v>104</v>
      </c>
      <c r="B31" s="19" t="s">
        <v>282</v>
      </c>
      <c r="C31" s="22" t="s">
        <v>254</v>
      </c>
      <c r="D31" s="15">
        <v>0.23680000000000001</v>
      </c>
      <c r="E31" s="16">
        <v>7.8899999999999998E-2</v>
      </c>
      <c r="F31" s="17">
        <v>7.8899999999999998E-2</v>
      </c>
      <c r="G31" s="18">
        <v>38</v>
      </c>
      <c r="H31" s="18">
        <v>4950000</v>
      </c>
      <c r="I31" s="18" t="b">
        <v>0</v>
      </c>
      <c r="J31" s="14" t="s">
        <v>244</v>
      </c>
      <c r="K31" s="15">
        <v>8</v>
      </c>
      <c r="L31" s="16">
        <v>2</v>
      </c>
      <c r="M31" s="17">
        <v>2</v>
      </c>
      <c r="N31" s="18">
        <v>130263.1578947368</v>
      </c>
      <c r="O31" s="15">
        <v>1042105.263157895</v>
      </c>
      <c r="P31" s="16">
        <v>260526.31578947371</v>
      </c>
      <c r="Q31" s="17">
        <v>260526.31578947371</v>
      </c>
      <c r="R31" s="18" t="b">
        <v>0</v>
      </c>
      <c r="S31" s="18" t="b">
        <v>0</v>
      </c>
      <c r="T31" s="18" t="b">
        <v>1</v>
      </c>
      <c r="U31" s="14" t="s">
        <v>257</v>
      </c>
    </row>
    <row r="32" spans="1:21" x14ac:dyDescent="0.3">
      <c r="A32" s="14" t="s">
        <v>283</v>
      </c>
      <c r="B32" s="28" t="s">
        <v>284</v>
      </c>
      <c r="C32" s="29" t="s">
        <v>250</v>
      </c>
      <c r="D32" s="15">
        <v>0.24</v>
      </c>
      <c r="E32" s="16">
        <v>0.09</v>
      </c>
      <c r="F32" s="17">
        <v>0.09</v>
      </c>
      <c r="G32" s="18">
        <v>96</v>
      </c>
      <c r="H32" s="18">
        <v>9600000</v>
      </c>
      <c r="I32" s="18" t="b">
        <v>0</v>
      </c>
      <c r="J32" s="14" t="s">
        <v>244</v>
      </c>
      <c r="K32" s="15">
        <v>23</v>
      </c>
      <c r="L32" s="16">
        <v>8</v>
      </c>
      <c r="M32" s="17">
        <v>8</v>
      </c>
      <c r="N32" s="18">
        <v>100000</v>
      </c>
      <c r="O32" s="15">
        <v>2300000</v>
      </c>
      <c r="P32" s="16">
        <v>800000</v>
      </c>
      <c r="Q32" s="17">
        <v>800000</v>
      </c>
      <c r="R32" s="18" t="b">
        <v>0</v>
      </c>
      <c r="S32" s="18" t="b">
        <v>0</v>
      </c>
      <c r="T32" s="18" t="b">
        <v>1</v>
      </c>
      <c r="U32" s="14" t="s">
        <v>248</v>
      </c>
    </row>
    <row r="33" spans="1:21" x14ac:dyDescent="0.3">
      <c r="A33" s="14" t="s">
        <v>44</v>
      </c>
      <c r="B33" s="20" t="s">
        <v>285</v>
      </c>
      <c r="C33" s="29" t="s">
        <v>250</v>
      </c>
      <c r="D33" s="15">
        <v>0.24</v>
      </c>
      <c r="E33" s="16">
        <v>0.24</v>
      </c>
      <c r="F33" s="17">
        <v>0.12</v>
      </c>
      <c r="G33" s="18">
        <v>25</v>
      </c>
      <c r="H33" s="18">
        <v>3000000</v>
      </c>
      <c r="I33" s="18" t="b">
        <v>1</v>
      </c>
      <c r="J33" s="14" t="s">
        <v>244</v>
      </c>
      <c r="K33" s="15">
        <v>6</v>
      </c>
      <c r="L33" s="16">
        <v>6</v>
      </c>
      <c r="M33" s="17">
        <v>3</v>
      </c>
      <c r="N33" s="18">
        <v>120000</v>
      </c>
      <c r="O33" s="15">
        <v>720000</v>
      </c>
      <c r="P33" s="16">
        <v>720000</v>
      </c>
      <c r="Q33" s="17">
        <v>360000</v>
      </c>
      <c r="R33" s="18" t="b">
        <v>0</v>
      </c>
      <c r="S33" s="18" t="b">
        <v>1</v>
      </c>
      <c r="T33" s="18" t="b">
        <v>1</v>
      </c>
      <c r="U33" s="14" t="s">
        <v>257</v>
      </c>
    </row>
    <row r="34" spans="1:21" x14ac:dyDescent="0.3">
      <c r="A34" s="14" t="s">
        <v>265</v>
      </c>
      <c r="B34" s="20" t="s">
        <v>286</v>
      </c>
      <c r="C34" s="29" t="s">
        <v>250</v>
      </c>
      <c r="D34" s="15">
        <v>0.24</v>
      </c>
      <c r="E34" s="16">
        <v>0.1</v>
      </c>
      <c r="F34" s="17">
        <v>0.04</v>
      </c>
      <c r="G34" s="18">
        <v>29</v>
      </c>
      <c r="H34" s="18">
        <v>290000</v>
      </c>
      <c r="I34" s="18" t="b">
        <v>0</v>
      </c>
      <c r="J34" s="14" t="s">
        <v>256</v>
      </c>
      <c r="K34" s="15">
        <v>6</v>
      </c>
      <c r="L34" s="16">
        <v>2</v>
      </c>
      <c r="M34" s="17">
        <v>1</v>
      </c>
      <c r="N34" s="18">
        <v>10000</v>
      </c>
      <c r="O34" s="15">
        <v>60000</v>
      </c>
      <c r="P34" s="16">
        <v>20000</v>
      </c>
      <c r="Q34" s="17">
        <v>10000</v>
      </c>
      <c r="R34" s="18" t="b">
        <v>0</v>
      </c>
      <c r="S34" s="18" t="b">
        <v>1</v>
      </c>
      <c r="T34" s="18" t="b">
        <v>0</v>
      </c>
      <c r="U34" s="14" t="s">
        <v>253</v>
      </c>
    </row>
    <row r="35" spans="1:21" x14ac:dyDescent="0.3">
      <c r="A35" s="14" t="s">
        <v>265</v>
      </c>
      <c r="B35" s="20" t="s">
        <v>287</v>
      </c>
      <c r="C35" s="29" t="s">
        <v>250</v>
      </c>
      <c r="D35" s="15">
        <v>0.24</v>
      </c>
      <c r="E35" s="16">
        <v>0.1</v>
      </c>
      <c r="F35" s="17">
        <v>0.04</v>
      </c>
      <c r="G35" s="18">
        <v>29</v>
      </c>
      <c r="H35" s="18">
        <v>1015000</v>
      </c>
      <c r="I35" s="18" t="b">
        <v>0</v>
      </c>
      <c r="J35" s="14" t="s">
        <v>256</v>
      </c>
      <c r="K35" s="15">
        <v>6</v>
      </c>
      <c r="L35" s="16">
        <v>2</v>
      </c>
      <c r="M35" s="17">
        <v>1</v>
      </c>
      <c r="N35" s="18">
        <v>35000</v>
      </c>
      <c r="O35" s="15">
        <v>210000</v>
      </c>
      <c r="P35" s="16">
        <v>70000</v>
      </c>
      <c r="Q35" s="17">
        <v>35000</v>
      </c>
      <c r="R35" s="18" t="b">
        <v>0</v>
      </c>
      <c r="S35" s="18" t="b">
        <v>1</v>
      </c>
      <c r="T35" s="18" t="b">
        <v>0</v>
      </c>
      <c r="U35" s="14" t="s">
        <v>248</v>
      </c>
    </row>
    <row r="36" spans="1:21" x14ac:dyDescent="0.3">
      <c r="A36" s="14" t="s">
        <v>278</v>
      </c>
      <c r="B36" s="19" t="s">
        <v>288</v>
      </c>
      <c r="C36" s="22" t="s">
        <v>254</v>
      </c>
      <c r="D36" s="15">
        <v>0.24</v>
      </c>
      <c r="E36" s="16">
        <v>0.09</v>
      </c>
      <c r="F36" s="17">
        <v>0.06</v>
      </c>
      <c r="G36" s="18">
        <v>75</v>
      </c>
      <c r="H36" s="18">
        <v>1320000</v>
      </c>
      <c r="I36" s="18" t="b">
        <v>0</v>
      </c>
      <c r="J36" s="14" t="s">
        <v>256</v>
      </c>
      <c r="K36" s="15">
        <v>18</v>
      </c>
      <c r="L36" s="16">
        <v>6</v>
      </c>
      <c r="M36" s="17">
        <v>4</v>
      </c>
      <c r="N36" s="18">
        <v>17600</v>
      </c>
      <c r="O36" s="15">
        <v>316800</v>
      </c>
      <c r="P36" s="16">
        <v>105600</v>
      </c>
      <c r="Q36" s="17">
        <v>70400</v>
      </c>
      <c r="R36" s="18" t="b">
        <v>0</v>
      </c>
      <c r="S36" s="18" t="b">
        <v>0</v>
      </c>
      <c r="T36" s="18" t="b">
        <v>1</v>
      </c>
      <c r="U36" s="14" t="s">
        <v>248</v>
      </c>
    </row>
    <row r="37" spans="1:21" x14ac:dyDescent="0.3">
      <c r="A37" s="14" t="s">
        <v>28</v>
      </c>
      <c r="B37" s="20" t="s">
        <v>289</v>
      </c>
      <c r="C37" s="29" t="s">
        <v>250</v>
      </c>
      <c r="D37" s="15">
        <v>0.2407</v>
      </c>
      <c r="E37" s="16">
        <v>9.2600000000000002E-2</v>
      </c>
      <c r="F37" s="17">
        <v>5.5599999999999997E-2</v>
      </c>
      <c r="G37" s="18">
        <v>54</v>
      </c>
      <c r="H37" s="18">
        <v>2000000</v>
      </c>
      <c r="I37" s="18" t="b">
        <v>0</v>
      </c>
      <c r="J37" s="14" t="s">
        <v>244</v>
      </c>
      <c r="K37" s="15">
        <v>12</v>
      </c>
      <c r="L37" s="16">
        <v>5</v>
      </c>
      <c r="M37" s="17">
        <v>3</v>
      </c>
      <c r="N37" s="18">
        <v>37037.037037037036</v>
      </c>
      <c r="O37" s="15">
        <v>444444.44444444438</v>
      </c>
      <c r="P37" s="16">
        <v>185185.1851851852</v>
      </c>
      <c r="Q37" s="17">
        <v>111111.11111111109</v>
      </c>
      <c r="R37" s="18" t="b">
        <v>0</v>
      </c>
      <c r="S37" s="18" t="b">
        <v>0</v>
      </c>
      <c r="T37" s="18" t="b">
        <v>1</v>
      </c>
      <c r="U37" s="14" t="s">
        <v>248</v>
      </c>
    </row>
    <row r="38" spans="1:21" x14ac:dyDescent="0.3">
      <c r="A38" s="14" t="s">
        <v>28</v>
      </c>
      <c r="B38" s="20" t="s">
        <v>290</v>
      </c>
      <c r="C38" s="22" t="s">
        <v>291</v>
      </c>
      <c r="D38" s="15">
        <v>0.24099999999999999</v>
      </c>
      <c r="E38" s="16">
        <v>0.1084</v>
      </c>
      <c r="F38" s="17">
        <v>6.0199999999999997E-2</v>
      </c>
      <c r="G38" s="18">
        <v>83</v>
      </c>
      <c r="H38" s="18">
        <v>1398000</v>
      </c>
      <c r="I38" s="18" t="b">
        <v>0</v>
      </c>
      <c r="J38" s="14" t="s">
        <v>244</v>
      </c>
      <c r="K38" s="15">
        <v>20</v>
      </c>
      <c r="L38" s="16">
        <v>8</v>
      </c>
      <c r="M38" s="17">
        <v>4</v>
      </c>
      <c r="N38" s="18">
        <v>16843.373493975909</v>
      </c>
      <c r="O38" s="15">
        <v>336867.46987951809</v>
      </c>
      <c r="P38" s="16">
        <v>134746.98795180721</v>
      </c>
      <c r="Q38" s="17">
        <v>67373.493975903621</v>
      </c>
      <c r="R38" s="18" t="b">
        <v>0</v>
      </c>
      <c r="S38" s="18" t="b">
        <v>1</v>
      </c>
      <c r="T38" s="18" t="b">
        <v>1</v>
      </c>
      <c r="U38" s="14" t="s">
        <v>248</v>
      </c>
    </row>
    <row r="39" spans="1:21" x14ac:dyDescent="0.3">
      <c r="A39" s="14" t="s">
        <v>28</v>
      </c>
      <c r="B39" s="19" t="s">
        <v>292</v>
      </c>
      <c r="C39" s="22" t="s">
        <v>254</v>
      </c>
      <c r="D39" s="15">
        <v>0.24099999999999999</v>
      </c>
      <c r="E39" s="16">
        <v>0.1084</v>
      </c>
      <c r="F39" s="17">
        <v>9.64E-2</v>
      </c>
      <c r="G39" s="18">
        <v>83</v>
      </c>
      <c r="H39" s="18">
        <v>1039700</v>
      </c>
      <c r="I39" s="18" t="b">
        <v>0</v>
      </c>
      <c r="J39" s="14" t="s">
        <v>244</v>
      </c>
      <c r="K39" s="15">
        <v>20</v>
      </c>
      <c r="L39" s="16">
        <v>8</v>
      </c>
      <c r="M39" s="17">
        <v>8</v>
      </c>
      <c r="N39" s="18">
        <v>12526.506024096379</v>
      </c>
      <c r="O39" s="15">
        <v>250530.1204819277</v>
      </c>
      <c r="P39" s="16">
        <v>100212.04819277109</v>
      </c>
      <c r="Q39" s="17">
        <v>100212.04819277109</v>
      </c>
      <c r="R39" s="18" t="b">
        <v>0</v>
      </c>
      <c r="S39" s="18" t="b">
        <v>1</v>
      </c>
      <c r="T39" s="18" t="b">
        <v>1</v>
      </c>
      <c r="U39" s="14" t="s">
        <v>248</v>
      </c>
    </row>
    <row r="40" spans="1:21" x14ac:dyDescent="0.3">
      <c r="A40" s="14" t="s">
        <v>293</v>
      </c>
      <c r="B40" s="20" t="s">
        <v>294</v>
      </c>
      <c r="C40" s="29" t="s">
        <v>250</v>
      </c>
      <c r="D40" s="15">
        <v>0.24660000000000001</v>
      </c>
      <c r="E40" s="16">
        <v>0.1507</v>
      </c>
      <c r="F40" s="17">
        <v>0.16439999999999999</v>
      </c>
      <c r="G40" s="18">
        <v>73</v>
      </c>
      <c r="H40" s="18">
        <v>24456206.84</v>
      </c>
      <c r="I40" s="18" t="b">
        <v>0</v>
      </c>
      <c r="J40" s="14" t="s">
        <v>244</v>
      </c>
      <c r="K40" s="15">
        <v>18</v>
      </c>
      <c r="L40" s="16">
        <v>11</v>
      </c>
      <c r="M40" s="17">
        <v>12</v>
      </c>
      <c r="N40" s="18">
        <v>335016.53205479449</v>
      </c>
      <c r="O40" s="15">
        <v>6030297.5769863017</v>
      </c>
      <c r="P40" s="16">
        <v>3685181.8526027398</v>
      </c>
      <c r="Q40" s="17">
        <v>4020198.3846575348</v>
      </c>
      <c r="R40" s="18" t="b">
        <v>0</v>
      </c>
      <c r="S40" s="18" t="b">
        <v>1</v>
      </c>
      <c r="T40" s="18" t="b">
        <v>1</v>
      </c>
      <c r="U40" s="14" t="s">
        <v>248</v>
      </c>
    </row>
    <row r="41" spans="1:21" x14ac:dyDescent="0.3">
      <c r="A41" s="14" t="s">
        <v>28</v>
      </c>
      <c r="B41" s="19" t="s">
        <v>295</v>
      </c>
      <c r="C41" s="22" t="s">
        <v>254</v>
      </c>
      <c r="D41" s="15">
        <v>0.2485</v>
      </c>
      <c r="E41" s="16">
        <v>9.7000000000000003E-2</v>
      </c>
      <c r="F41" s="17">
        <v>4.24E-2</v>
      </c>
      <c r="G41" s="18">
        <v>165</v>
      </c>
      <c r="H41" s="18">
        <v>2300000</v>
      </c>
      <c r="I41" s="18" t="b">
        <v>0</v>
      </c>
      <c r="J41" s="14" t="s">
        <v>244</v>
      </c>
      <c r="K41" s="15">
        <v>41</v>
      </c>
      <c r="L41" s="16">
        <v>16</v>
      </c>
      <c r="M41" s="17">
        <v>6</v>
      </c>
      <c r="N41" s="18">
        <v>13939.39393939394</v>
      </c>
      <c r="O41" s="15">
        <v>571515.15151515149</v>
      </c>
      <c r="P41" s="16">
        <v>223030.30303030301</v>
      </c>
      <c r="Q41" s="17">
        <v>83636.363636363647</v>
      </c>
      <c r="R41" s="18" t="b">
        <v>0</v>
      </c>
      <c r="S41" s="18" t="b">
        <v>0</v>
      </c>
      <c r="T41" s="18" t="b">
        <v>0</v>
      </c>
      <c r="U41" s="14" t="s">
        <v>248</v>
      </c>
    </row>
    <row r="42" spans="1:21" x14ac:dyDescent="0.3">
      <c r="A42" s="14" t="s">
        <v>49</v>
      </c>
      <c r="B42" s="14" t="s">
        <v>296</v>
      </c>
      <c r="C42" s="22"/>
      <c r="D42" s="15">
        <v>0.25</v>
      </c>
      <c r="E42" s="16">
        <v>0.18</v>
      </c>
      <c r="F42" s="17">
        <v>0.18</v>
      </c>
      <c r="G42" s="18">
        <v>122</v>
      </c>
      <c r="H42" s="18">
        <v>4100000</v>
      </c>
      <c r="I42" s="18" t="b">
        <v>0</v>
      </c>
      <c r="J42" s="14" t="s">
        <v>244</v>
      </c>
      <c r="K42" s="15">
        <v>30</v>
      </c>
      <c r="L42" s="16">
        <v>21</v>
      </c>
      <c r="M42" s="17">
        <v>21</v>
      </c>
      <c r="N42" s="18">
        <v>33606.557377049183</v>
      </c>
      <c r="O42" s="15">
        <v>1008196.721311475</v>
      </c>
      <c r="P42" s="16">
        <v>705737.70491803286</v>
      </c>
      <c r="Q42" s="17">
        <v>705737.70491803286</v>
      </c>
      <c r="R42" s="18" t="b">
        <v>1</v>
      </c>
      <c r="S42" s="18" t="b">
        <v>1</v>
      </c>
      <c r="T42" s="18" t="b">
        <v>1</v>
      </c>
      <c r="U42" s="14" t="s">
        <v>248</v>
      </c>
    </row>
    <row r="43" spans="1:21" x14ac:dyDescent="0.3">
      <c r="A43" s="14" t="s">
        <v>28</v>
      </c>
      <c r="B43" s="20" t="s">
        <v>297</v>
      </c>
      <c r="C43" s="29" t="s">
        <v>250</v>
      </c>
      <c r="D43" s="15">
        <v>0.25</v>
      </c>
      <c r="E43" s="16">
        <v>8.3299999999999999E-2</v>
      </c>
      <c r="F43" s="17">
        <v>4.1700000000000001E-2</v>
      </c>
      <c r="G43" s="18">
        <v>24</v>
      </c>
      <c r="H43" s="18">
        <v>2616000</v>
      </c>
      <c r="I43" s="18" t="b">
        <v>0</v>
      </c>
      <c r="J43" s="14" t="s">
        <v>244</v>
      </c>
      <c r="K43" s="15">
        <v>6</v>
      </c>
      <c r="L43" s="16">
        <v>1</v>
      </c>
      <c r="M43" s="17">
        <v>1</v>
      </c>
      <c r="N43" s="18">
        <v>109000</v>
      </c>
      <c r="O43" s="15">
        <v>654000</v>
      </c>
      <c r="P43" s="16">
        <v>109000</v>
      </c>
      <c r="Q43" s="17">
        <v>109000</v>
      </c>
      <c r="R43" s="18" t="b">
        <v>1</v>
      </c>
      <c r="S43" s="18" t="b">
        <v>0</v>
      </c>
      <c r="T43" s="18" t="b">
        <v>0</v>
      </c>
      <c r="U43" s="14" t="s">
        <v>245</v>
      </c>
    </row>
    <row r="44" spans="1:21" x14ac:dyDescent="0.3">
      <c r="A44" s="14" t="s">
        <v>28</v>
      </c>
      <c r="B44" s="14" t="s">
        <v>298</v>
      </c>
      <c r="C44" s="22"/>
      <c r="D44" s="15">
        <v>0.25</v>
      </c>
      <c r="E44" s="16">
        <v>0.125</v>
      </c>
      <c r="F44" s="17">
        <v>0.125</v>
      </c>
      <c r="G44" s="18">
        <v>16</v>
      </c>
      <c r="H44" s="18">
        <v>1100000</v>
      </c>
      <c r="I44" s="18" t="b">
        <v>0</v>
      </c>
      <c r="J44" s="14" t="s">
        <v>244</v>
      </c>
      <c r="K44" s="15">
        <v>4</v>
      </c>
      <c r="L44" s="16">
        <v>2</v>
      </c>
      <c r="M44" s="17">
        <v>2</v>
      </c>
      <c r="N44" s="18">
        <v>68750</v>
      </c>
      <c r="O44" s="15">
        <v>275000</v>
      </c>
      <c r="P44" s="16">
        <v>137500</v>
      </c>
      <c r="Q44" s="17">
        <v>137500</v>
      </c>
      <c r="R44" s="18" t="b">
        <v>1</v>
      </c>
      <c r="S44" s="18" t="b">
        <v>1</v>
      </c>
      <c r="T44" s="18" t="b">
        <v>1</v>
      </c>
      <c r="U44" s="14" t="s">
        <v>248</v>
      </c>
    </row>
    <row r="45" spans="1:21" x14ac:dyDescent="0.3">
      <c r="A45" s="14" t="s">
        <v>28</v>
      </c>
      <c r="B45" s="14" t="s">
        <v>299</v>
      </c>
      <c r="C45" s="22"/>
      <c r="D45" s="15">
        <v>0.25</v>
      </c>
      <c r="E45" s="16">
        <v>0.1</v>
      </c>
      <c r="F45" s="17">
        <v>7.4999999999999997E-2</v>
      </c>
      <c r="G45" s="18">
        <v>40</v>
      </c>
      <c r="H45" s="18">
        <v>200000</v>
      </c>
      <c r="I45" s="18" t="b">
        <v>0</v>
      </c>
      <c r="J45" s="14" t="s">
        <v>244</v>
      </c>
      <c r="K45" s="15">
        <v>10</v>
      </c>
      <c r="L45" s="16">
        <v>4</v>
      </c>
      <c r="M45" s="17">
        <v>3</v>
      </c>
      <c r="N45" s="18">
        <v>5000</v>
      </c>
      <c r="O45" s="15">
        <v>50000</v>
      </c>
      <c r="P45" s="16">
        <v>20000</v>
      </c>
      <c r="Q45" s="17">
        <v>15000</v>
      </c>
      <c r="R45" s="18" t="b">
        <v>1</v>
      </c>
      <c r="S45" s="18" t="b">
        <v>1</v>
      </c>
      <c r="T45" s="18" t="b">
        <v>1</v>
      </c>
      <c r="U45" s="14" t="s">
        <v>248</v>
      </c>
    </row>
    <row r="46" spans="1:21" x14ac:dyDescent="0.3">
      <c r="A46" s="14" t="s">
        <v>28</v>
      </c>
      <c r="B46" s="14" t="s">
        <v>300</v>
      </c>
      <c r="C46" s="22"/>
      <c r="D46" s="15">
        <v>0.25</v>
      </c>
      <c r="E46" s="16">
        <v>0.1</v>
      </c>
      <c r="F46" s="17">
        <v>0.05</v>
      </c>
      <c r="G46" s="18">
        <v>20</v>
      </c>
      <c r="H46" s="18">
        <v>300000</v>
      </c>
      <c r="I46" s="18" t="b">
        <v>0</v>
      </c>
      <c r="J46" s="14" t="s">
        <v>244</v>
      </c>
      <c r="K46" s="15">
        <v>5</v>
      </c>
      <c r="L46" s="16">
        <v>2</v>
      </c>
      <c r="M46" s="17">
        <v>1</v>
      </c>
      <c r="N46" s="18">
        <v>15000</v>
      </c>
      <c r="O46" s="15">
        <v>75000</v>
      </c>
      <c r="P46" s="16">
        <v>30000</v>
      </c>
      <c r="Q46" s="17">
        <v>15000</v>
      </c>
      <c r="R46" s="18" t="b">
        <v>1</v>
      </c>
      <c r="S46" s="18" t="b">
        <v>1</v>
      </c>
      <c r="T46" s="18" t="b">
        <v>1</v>
      </c>
      <c r="U46" s="14" t="s">
        <v>253</v>
      </c>
    </row>
    <row r="47" spans="1:21" x14ac:dyDescent="0.3">
      <c r="A47" s="14" t="s">
        <v>28</v>
      </c>
      <c r="B47" s="14" t="s">
        <v>301</v>
      </c>
      <c r="C47" s="22"/>
      <c r="D47" s="15">
        <v>0.25</v>
      </c>
      <c r="E47" s="16">
        <v>0.1</v>
      </c>
      <c r="F47" s="17">
        <v>0.05</v>
      </c>
      <c r="G47" s="18">
        <v>60</v>
      </c>
      <c r="H47" s="18">
        <v>2160000</v>
      </c>
      <c r="I47" s="18" t="b">
        <v>0</v>
      </c>
      <c r="J47" s="14" t="s">
        <v>244</v>
      </c>
      <c r="K47" s="15">
        <v>15</v>
      </c>
      <c r="L47" s="16">
        <v>6</v>
      </c>
      <c r="M47" s="17">
        <v>3</v>
      </c>
      <c r="N47" s="18">
        <v>36000</v>
      </c>
      <c r="O47" s="15">
        <v>540000</v>
      </c>
      <c r="P47" s="16">
        <v>216000</v>
      </c>
      <c r="Q47" s="17">
        <v>108000</v>
      </c>
      <c r="R47" s="18" t="b">
        <v>1</v>
      </c>
      <c r="S47" s="18" t="b">
        <v>1</v>
      </c>
      <c r="T47" s="18" t="b">
        <v>1</v>
      </c>
      <c r="U47" s="14" t="s">
        <v>257</v>
      </c>
    </row>
    <row r="48" spans="1:21" x14ac:dyDescent="0.3">
      <c r="A48" s="14" t="s">
        <v>302</v>
      </c>
      <c r="B48" s="14" t="s">
        <v>303</v>
      </c>
      <c r="C48" s="22"/>
      <c r="D48" s="15">
        <v>0.25</v>
      </c>
      <c r="E48" s="16">
        <v>0.1</v>
      </c>
      <c r="F48" s="17">
        <v>0.05</v>
      </c>
      <c r="G48" s="18">
        <v>22</v>
      </c>
      <c r="H48" s="18">
        <v>2116800</v>
      </c>
      <c r="I48" s="18" t="b">
        <v>0</v>
      </c>
      <c r="J48" s="14" t="s">
        <v>244</v>
      </c>
      <c r="K48" s="15">
        <v>5</v>
      </c>
      <c r="L48" s="16">
        <v>2</v>
      </c>
      <c r="M48" s="17">
        <v>1</v>
      </c>
      <c r="N48" s="18">
        <v>96218.181818181823</v>
      </c>
      <c r="O48" s="15">
        <v>481090.90909090912</v>
      </c>
      <c r="P48" s="16">
        <v>192436.36363636359</v>
      </c>
      <c r="Q48" s="17">
        <v>96218.181818181823</v>
      </c>
      <c r="R48" s="18" t="b">
        <v>1</v>
      </c>
      <c r="S48" s="18" t="b">
        <v>1</v>
      </c>
      <c r="T48" s="18" t="b">
        <v>1</v>
      </c>
      <c r="U48" s="14" t="s">
        <v>245</v>
      </c>
    </row>
    <row r="49" spans="1:21" x14ac:dyDescent="0.3">
      <c r="A49" s="14" t="s">
        <v>302</v>
      </c>
      <c r="B49" s="14" t="s">
        <v>304</v>
      </c>
      <c r="C49" s="22"/>
      <c r="D49" s="15">
        <v>0.25</v>
      </c>
      <c r="E49" s="16">
        <v>0.1</v>
      </c>
      <c r="F49" s="17">
        <v>0.05</v>
      </c>
      <c r="G49" s="18">
        <v>35</v>
      </c>
      <c r="H49" s="18">
        <v>1050000</v>
      </c>
      <c r="I49" s="18" t="b">
        <v>0</v>
      </c>
      <c r="J49" s="14" t="s">
        <v>244</v>
      </c>
      <c r="K49" s="15">
        <v>8</v>
      </c>
      <c r="L49" s="16">
        <v>3</v>
      </c>
      <c r="M49" s="17">
        <v>1</v>
      </c>
      <c r="N49" s="18">
        <v>30000</v>
      </c>
      <c r="O49" s="15">
        <v>240000</v>
      </c>
      <c r="P49" s="16">
        <v>90000</v>
      </c>
      <c r="Q49" s="17">
        <v>30000</v>
      </c>
      <c r="R49" s="18" t="b">
        <v>1</v>
      </c>
      <c r="S49" s="18" t="b">
        <v>1</v>
      </c>
      <c r="T49" s="18" t="b">
        <v>1</v>
      </c>
      <c r="U49" s="14" t="s">
        <v>248</v>
      </c>
    </row>
    <row r="50" spans="1:21" x14ac:dyDescent="0.3">
      <c r="A50" s="14" t="s">
        <v>302</v>
      </c>
      <c r="B50" s="14" t="s">
        <v>305</v>
      </c>
      <c r="C50" s="22"/>
      <c r="D50" s="15">
        <v>0.25</v>
      </c>
      <c r="E50" s="16">
        <v>0.1</v>
      </c>
      <c r="F50" s="17">
        <v>0.05</v>
      </c>
      <c r="G50" s="18">
        <v>410</v>
      </c>
      <c r="H50" s="18">
        <v>8200000</v>
      </c>
      <c r="I50" s="18" t="b">
        <v>0</v>
      </c>
      <c r="J50" s="14" t="s">
        <v>244</v>
      </c>
      <c r="K50" s="15">
        <v>102</v>
      </c>
      <c r="L50" s="16">
        <v>41</v>
      </c>
      <c r="M50" s="17">
        <v>20</v>
      </c>
      <c r="N50" s="18">
        <v>20000</v>
      </c>
      <c r="O50" s="15">
        <v>2040000</v>
      </c>
      <c r="P50" s="16">
        <v>820000</v>
      </c>
      <c r="Q50" s="17">
        <v>400000</v>
      </c>
      <c r="R50" s="18" t="b">
        <v>1</v>
      </c>
      <c r="S50" s="18" t="b">
        <v>1</v>
      </c>
      <c r="T50" s="18" t="b">
        <v>1</v>
      </c>
      <c r="U50" s="14" t="s">
        <v>248</v>
      </c>
    </row>
    <row r="51" spans="1:21" x14ac:dyDescent="0.3">
      <c r="A51" s="14" t="s">
        <v>302</v>
      </c>
      <c r="B51" s="14" t="s">
        <v>306</v>
      </c>
      <c r="C51" s="22"/>
      <c r="D51" s="15">
        <v>0.25</v>
      </c>
      <c r="E51" s="16">
        <v>0.1</v>
      </c>
      <c r="F51" s="17">
        <v>0.05</v>
      </c>
      <c r="G51" s="18">
        <v>20</v>
      </c>
      <c r="H51" s="18">
        <v>400000</v>
      </c>
      <c r="I51" s="18" t="b">
        <v>0</v>
      </c>
      <c r="J51" s="14" t="s">
        <v>244</v>
      </c>
      <c r="K51" s="15">
        <v>5</v>
      </c>
      <c r="L51" s="16">
        <v>2</v>
      </c>
      <c r="M51" s="17">
        <v>1</v>
      </c>
      <c r="N51" s="18">
        <v>20000</v>
      </c>
      <c r="O51" s="15">
        <v>100000</v>
      </c>
      <c r="P51" s="16">
        <v>40000</v>
      </c>
      <c r="Q51" s="17">
        <v>20000</v>
      </c>
      <c r="R51" s="18" t="b">
        <v>1</v>
      </c>
      <c r="S51" s="18" t="b">
        <v>1</v>
      </c>
      <c r="T51" s="18" t="b">
        <v>1</v>
      </c>
      <c r="U51" s="14" t="s">
        <v>248</v>
      </c>
    </row>
    <row r="52" spans="1:21" x14ac:dyDescent="0.3">
      <c r="A52" s="14" t="s">
        <v>302</v>
      </c>
      <c r="B52" s="14" t="s">
        <v>307</v>
      </c>
      <c r="C52" s="22"/>
      <c r="D52" s="15">
        <v>0.25</v>
      </c>
      <c r="E52" s="16">
        <v>0.1</v>
      </c>
      <c r="F52" s="17">
        <v>0.05</v>
      </c>
      <c r="G52" s="18">
        <v>210</v>
      </c>
      <c r="H52" s="18">
        <v>2100000</v>
      </c>
      <c r="I52" s="18" t="b">
        <v>0</v>
      </c>
      <c r="J52" s="14" t="s">
        <v>244</v>
      </c>
      <c r="K52" s="15">
        <v>52</v>
      </c>
      <c r="L52" s="16">
        <v>21</v>
      </c>
      <c r="M52" s="17">
        <v>10</v>
      </c>
      <c r="N52" s="18">
        <v>10000</v>
      </c>
      <c r="O52" s="15">
        <v>520000</v>
      </c>
      <c r="P52" s="16">
        <v>210000</v>
      </c>
      <c r="Q52" s="17">
        <v>100000</v>
      </c>
      <c r="R52" s="18" t="b">
        <v>1</v>
      </c>
      <c r="S52" s="18" t="b">
        <v>1</v>
      </c>
      <c r="T52" s="18" t="b">
        <v>1</v>
      </c>
      <c r="U52" s="14" t="s">
        <v>257</v>
      </c>
    </row>
    <row r="53" spans="1:21" x14ac:dyDescent="0.3">
      <c r="A53" s="14" t="s">
        <v>44</v>
      </c>
      <c r="B53" s="14" t="s">
        <v>308</v>
      </c>
      <c r="C53" s="22"/>
      <c r="D53" s="15">
        <v>0.25</v>
      </c>
      <c r="E53" s="16">
        <v>0.25</v>
      </c>
      <c r="F53" s="17">
        <v>0.05</v>
      </c>
      <c r="G53" s="18">
        <v>52</v>
      </c>
      <c r="H53" s="18">
        <v>2000000</v>
      </c>
      <c r="I53" s="18" t="b">
        <v>0</v>
      </c>
      <c r="J53" s="14" t="s">
        <v>244</v>
      </c>
      <c r="K53" s="15">
        <v>13</v>
      </c>
      <c r="L53" s="16">
        <v>13</v>
      </c>
      <c r="M53" s="17">
        <v>2</v>
      </c>
      <c r="N53" s="18">
        <v>38461.538461538461</v>
      </c>
      <c r="O53" s="15">
        <v>500000</v>
      </c>
      <c r="P53" s="16">
        <v>500000</v>
      </c>
      <c r="Q53" s="17">
        <v>76923.076923076922</v>
      </c>
      <c r="R53" s="18" t="b">
        <v>1</v>
      </c>
      <c r="S53" s="18" t="b">
        <v>1</v>
      </c>
      <c r="T53" s="18" t="b">
        <v>1</v>
      </c>
      <c r="U53" s="14" t="s">
        <v>248</v>
      </c>
    </row>
    <row r="54" spans="1:21" x14ac:dyDescent="0.3">
      <c r="A54" s="14" t="s">
        <v>44</v>
      </c>
      <c r="B54" s="14" t="s">
        <v>309</v>
      </c>
      <c r="C54" s="22"/>
      <c r="D54" s="15">
        <v>0.25</v>
      </c>
      <c r="E54" s="16">
        <v>0.25</v>
      </c>
      <c r="F54" s="17">
        <v>0.05</v>
      </c>
      <c r="G54" s="18">
        <v>44</v>
      </c>
      <c r="H54" s="18">
        <v>2000000</v>
      </c>
      <c r="I54" s="18" t="b">
        <v>0</v>
      </c>
      <c r="J54" s="14" t="s">
        <v>244</v>
      </c>
      <c r="K54" s="15">
        <v>11</v>
      </c>
      <c r="L54" s="16">
        <v>11</v>
      </c>
      <c r="M54" s="17">
        <v>2</v>
      </c>
      <c r="N54" s="18">
        <v>45454.545454545463</v>
      </c>
      <c r="O54" s="15">
        <v>500000</v>
      </c>
      <c r="P54" s="16">
        <v>500000</v>
      </c>
      <c r="Q54" s="17">
        <v>90909.090909090912</v>
      </c>
      <c r="R54" s="18" t="b">
        <v>1</v>
      </c>
      <c r="S54" s="18" t="b">
        <v>1</v>
      </c>
      <c r="T54" s="18" t="b">
        <v>1</v>
      </c>
      <c r="U54" s="14" t="s">
        <v>248</v>
      </c>
    </row>
    <row r="55" spans="1:21" x14ac:dyDescent="0.3">
      <c r="A55" s="14" t="s">
        <v>44</v>
      </c>
      <c r="B55" s="14" t="s">
        <v>310</v>
      </c>
      <c r="C55" s="22"/>
      <c r="D55" s="15">
        <v>0.25</v>
      </c>
      <c r="E55" s="16">
        <v>0.25</v>
      </c>
      <c r="F55" s="17">
        <v>0.05</v>
      </c>
      <c r="G55" s="18">
        <v>32</v>
      </c>
      <c r="H55" s="18">
        <v>2000000</v>
      </c>
      <c r="I55" s="18" t="b">
        <v>0</v>
      </c>
      <c r="J55" s="14" t="s">
        <v>244</v>
      </c>
      <c r="K55" s="15">
        <v>8</v>
      </c>
      <c r="L55" s="16">
        <v>8</v>
      </c>
      <c r="M55" s="17">
        <v>1</v>
      </c>
      <c r="N55" s="18">
        <v>62500</v>
      </c>
      <c r="O55" s="15">
        <v>500000</v>
      </c>
      <c r="P55" s="16">
        <v>500000</v>
      </c>
      <c r="Q55" s="17">
        <v>62500</v>
      </c>
      <c r="R55" s="18" t="b">
        <v>1</v>
      </c>
      <c r="S55" s="18" t="b">
        <v>1</v>
      </c>
      <c r="T55" s="18" t="b">
        <v>1</v>
      </c>
      <c r="U55" s="14" t="s">
        <v>248</v>
      </c>
    </row>
    <row r="56" spans="1:21" x14ac:dyDescent="0.3">
      <c r="A56" s="14" t="s">
        <v>44</v>
      </c>
      <c r="B56" s="14" t="s">
        <v>311</v>
      </c>
      <c r="C56" s="22"/>
      <c r="D56" s="15">
        <v>0.25</v>
      </c>
      <c r="E56" s="16">
        <v>0.25</v>
      </c>
      <c r="F56" s="17">
        <v>0.05</v>
      </c>
      <c r="G56" s="18">
        <v>30</v>
      </c>
      <c r="H56" s="18">
        <v>2000000</v>
      </c>
      <c r="I56" s="18" t="b">
        <v>0</v>
      </c>
      <c r="J56" s="14" t="s">
        <v>244</v>
      </c>
      <c r="K56" s="15">
        <v>7</v>
      </c>
      <c r="L56" s="16">
        <v>7</v>
      </c>
      <c r="M56" s="17">
        <v>1</v>
      </c>
      <c r="N56" s="18">
        <v>66666.666666666672</v>
      </c>
      <c r="O56" s="15">
        <v>466666.66666666669</v>
      </c>
      <c r="P56" s="16">
        <v>466666.66666666669</v>
      </c>
      <c r="Q56" s="17">
        <v>66666.666666666672</v>
      </c>
      <c r="R56" s="18" t="b">
        <v>1</v>
      </c>
      <c r="S56" s="18" t="b">
        <v>1</v>
      </c>
      <c r="T56" s="18" t="b">
        <v>1</v>
      </c>
      <c r="U56" s="14" t="s">
        <v>248</v>
      </c>
    </row>
    <row r="57" spans="1:21" x14ac:dyDescent="0.3">
      <c r="A57" s="14" t="s">
        <v>44</v>
      </c>
      <c r="B57" s="14" t="s">
        <v>312</v>
      </c>
      <c r="C57" s="22"/>
      <c r="D57" s="15">
        <v>0.25</v>
      </c>
      <c r="E57" s="16">
        <v>0.25</v>
      </c>
      <c r="F57" s="17">
        <v>0.05</v>
      </c>
      <c r="G57" s="18">
        <v>42</v>
      </c>
      <c r="H57" s="18">
        <v>2000000</v>
      </c>
      <c r="I57" s="18" t="b">
        <v>0</v>
      </c>
      <c r="J57" s="14" t="s">
        <v>244</v>
      </c>
      <c r="K57" s="15">
        <v>10</v>
      </c>
      <c r="L57" s="16">
        <v>10</v>
      </c>
      <c r="M57" s="17">
        <v>2</v>
      </c>
      <c r="N57" s="18">
        <v>47619.047619047618</v>
      </c>
      <c r="O57" s="15">
        <v>476190.47619047621</v>
      </c>
      <c r="P57" s="16">
        <v>476190.47619047621</v>
      </c>
      <c r="Q57" s="17">
        <v>95238.095238095237</v>
      </c>
      <c r="R57" s="18" t="b">
        <v>1</v>
      </c>
      <c r="S57" s="18" t="b">
        <v>1</v>
      </c>
      <c r="T57" s="18" t="b">
        <v>1</v>
      </c>
      <c r="U57" s="14" t="s">
        <v>248</v>
      </c>
    </row>
    <row r="58" spans="1:21" x14ac:dyDescent="0.3">
      <c r="A58" s="14" t="s">
        <v>44</v>
      </c>
      <c r="B58" s="14" t="s">
        <v>313</v>
      </c>
      <c r="C58" s="22"/>
      <c r="D58" s="15">
        <v>0.25</v>
      </c>
      <c r="E58" s="16">
        <v>0.25</v>
      </c>
      <c r="F58" s="17">
        <v>0.05</v>
      </c>
      <c r="G58" s="18">
        <v>30</v>
      </c>
      <c r="H58" s="18">
        <v>1485000</v>
      </c>
      <c r="I58" s="18" t="b">
        <v>0</v>
      </c>
      <c r="J58" s="14" t="s">
        <v>244</v>
      </c>
      <c r="K58" s="15">
        <v>7</v>
      </c>
      <c r="L58" s="16">
        <v>7</v>
      </c>
      <c r="M58" s="17">
        <v>1</v>
      </c>
      <c r="N58" s="18">
        <v>49500</v>
      </c>
      <c r="O58" s="15">
        <v>346500</v>
      </c>
      <c r="P58" s="16">
        <v>346500</v>
      </c>
      <c r="Q58" s="17">
        <v>49500</v>
      </c>
      <c r="R58" s="18" t="b">
        <v>1</v>
      </c>
      <c r="S58" s="18" t="b">
        <v>1</v>
      </c>
      <c r="T58" s="18" t="b">
        <v>1</v>
      </c>
      <c r="U58" s="14" t="s">
        <v>248</v>
      </c>
    </row>
    <row r="59" spans="1:21" x14ac:dyDescent="0.3">
      <c r="A59" s="14" t="s">
        <v>44</v>
      </c>
      <c r="B59" s="14" t="s">
        <v>314</v>
      </c>
      <c r="C59" s="22"/>
      <c r="D59" s="15">
        <v>0.25</v>
      </c>
      <c r="E59" s="16">
        <v>0.25</v>
      </c>
      <c r="F59" s="17">
        <v>0.05</v>
      </c>
      <c r="G59" s="18">
        <v>38</v>
      </c>
      <c r="H59" s="18">
        <v>2000000</v>
      </c>
      <c r="I59" s="18" t="b">
        <v>0</v>
      </c>
      <c r="J59" s="14" t="s">
        <v>244</v>
      </c>
      <c r="K59" s="15">
        <v>9</v>
      </c>
      <c r="L59" s="16">
        <v>9</v>
      </c>
      <c r="M59" s="17">
        <v>1</v>
      </c>
      <c r="N59" s="18">
        <v>52631.57894736842</v>
      </c>
      <c r="O59" s="15">
        <v>473684.21052631579</v>
      </c>
      <c r="P59" s="16">
        <v>473684.21052631579</v>
      </c>
      <c r="Q59" s="17">
        <v>52631.57894736842</v>
      </c>
      <c r="R59" s="18" t="b">
        <v>1</v>
      </c>
      <c r="S59" s="18" t="b">
        <v>1</v>
      </c>
      <c r="T59" s="18" t="b">
        <v>1</v>
      </c>
      <c r="U59" s="14" t="s">
        <v>248</v>
      </c>
    </row>
    <row r="60" spans="1:21" x14ac:dyDescent="0.3">
      <c r="A60" s="14" t="s">
        <v>44</v>
      </c>
      <c r="B60" s="14" t="s">
        <v>315</v>
      </c>
      <c r="C60" s="22"/>
      <c r="D60" s="15">
        <v>0.25</v>
      </c>
      <c r="E60" s="16">
        <v>0.25</v>
      </c>
      <c r="F60" s="17">
        <v>0.05</v>
      </c>
      <c r="G60" s="18">
        <v>40</v>
      </c>
      <c r="H60" s="18">
        <v>1500000</v>
      </c>
      <c r="I60" s="18" t="b">
        <v>0</v>
      </c>
      <c r="J60" s="14" t="s">
        <v>244</v>
      </c>
      <c r="K60" s="15">
        <v>10</v>
      </c>
      <c r="L60" s="16">
        <v>10</v>
      </c>
      <c r="M60" s="17">
        <v>2</v>
      </c>
      <c r="N60" s="18">
        <v>37500</v>
      </c>
      <c r="O60" s="15">
        <v>375000</v>
      </c>
      <c r="P60" s="16">
        <v>375000</v>
      </c>
      <c r="Q60" s="17">
        <v>75000</v>
      </c>
      <c r="R60" s="18" t="b">
        <v>1</v>
      </c>
      <c r="S60" s="18" t="b">
        <v>1</v>
      </c>
      <c r="T60" s="18" t="b">
        <v>1</v>
      </c>
      <c r="U60" s="14" t="s">
        <v>248</v>
      </c>
    </row>
    <row r="61" spans="1:21" x14ac:dyDescent="0.3">
      <c r="A61" s="14" t="s">
        <v>44</v>
      </c>
      <c r="B61" s="14" t="s">
        <v>316</v>
      </c>
      <c r="C61" s="22"/>
      <c r="D61" s="15">
        <v>0.25</v>
      </c>
      <c r="E61" s="16">
        <v>0.25</v>
      </c>
      <c r="F61" s="17">
        <v>0.05</v>
      </c>
      <c r="G61" s="18">
        <v>106</v>
      </c>
      <c r="H61" s="18">
        <v>6500000</v>
      </c>
      <c r="I61" s="18" t="b">
        <v>0</v>
      </c>
      <c r="J61" s="14" t="s">
        <v>244</v>
      </c>
      <c r="K61" s="15">
        <v>26</v>
      </c>
      <c r="L61" s="16">
        <v>26</v>
      </c>
      <c r="M61" s="17">
        <v>5</v>
      </c>
      <c r="N61" s="18">
        <v>61320.75471698113</v>
      </c>
      <c r="O61" s="15">
        <v>1594339.6226415089</v>
      </c>
      <c r="P61" s="16">
        <v>1594339.6226415089</v>
      </c>
      <c r="Q61" s="17">
        <v>306603.77358490572</v>
      </c>
      <c r="R61" s="18" t="b">
        <v>1</v>
      </c>
      <c r="S61" s="18" t="b">
        <v>1</v>
      </c>
      <c r="T61" s="18" t="b">
        <v>1</v>
      </c>
      <c r="U61" s="14" t="s">
        <v>248</v>
      </c>
    </row>
    <row r="62" spans="1:21" x14ac:dyDescent="0.3">
      <c r="A62" s="14" t="s">
        <v>55</v>
      </c>
      <c r="B62" s="14" t="s">
        <v>317</v>
      </c>
      <c r="C62" s="22"/>
      <c r="D62" s="15">
        <v>0.25</v>
      </c>
      <c r="E62" s="16">
        <v>0.1</v>
      </c>
      <c r="F62" s="17">
        <v>0.1</v>
      </c>
      <c r="G62" s="18">
        <v>28</v>
      </c>
      <c r="H62" s="18">
        <v>1020000</v>
      </c>
      <c r="I62" s="18" t="b">
        <v>0</v>
      </c>
      <c r="J62" s="14" t="s">
        <v>244</v>
      </c>
      <c r="K62" s="15">
        <v>7</v>
      </c>
      <c r="L62" s="16">
        <v>2</v>
      </c>
      <c r="M62" s="17">
        <v>2</v>
      </c>
      <c r="N62" s="18">
        <v>36428.571428571428</v>
      </c>
      <c r="O62" s="15">
        <v>255000</v>
      </c>
      <c r="P62" s="16">
        <v>72857.142857142855</v>
      </c>
      <c r="Q62" s="17">
        <v>72857.142857142855</v>
      </c>
      <c r="R62" s="18" t="b">
        <v>1</v>
      </c>
      <c r="S62" s="18" t="b">
        <v>1</v>
      </c>
      <c r="T62" s="18" t="b">
        <v>1</v>
      </c>
      <c r="U62" s="14" t="s">
        <v>245</v>
      </c>
    </row>
    <row r="63" spans="1:21" x14ac:dyDescent="0.3">
      <c r="A63" s="14" t="s">
        <v>55</v>
      </c>
      <c r="B63" s="14" t="s">
        <v>318</v>
      </c>
      <c r="C63" s="22"/>
      <c r="D63" s="15">
        <v>0.25</v>
      </c>
      <c r="E63" s="16">
        <v>0.1</v>
      </c>
      <c r="F63" s="17">
        <v>0.1</v>
      </c>
      <c r="G63" s="18">
        <v>38</v>
      </c>
      <c r="H63" s="18">
        <v>4560000</v>
      </c>
      <c r="I63" s="18" t="b">
        <v>0</v>
      </c>
      <c r="J63" s="14" t="s">
        <v>244</v>
      </c>
      <c r="K63" s="15">
        <v>9</v>
      </c>
      <c r="L63" s="16">
        <v>3</v>
      </c>
      <c r="M63" s="17">
        <v>3</v>
      </c>
      <c r="N63" s="18">
        <v>120000</v>
      </c>
      <c r="O63" s="15">
        <v>1080000</v>
      </c>
      <c r="P63" s="16">
        <v>360000</v>
      </c>
      <c r="Q63" s="17">
        <v>360000</v>
      </c>
      <c r="R63" s="18" t="b">
        <v>1</v>
      </c>
      <c r="S63" s="18" t="b">
        <v>1</v>
      </c>
      <c r="T63" s="18" t="b">
        <v>1</v>
      </c>
      <c r="U63" s="14" t="s">
        <v>245</v>
      </c>
    </row>
    <row r="64" spans="1:21" x14ac:dyDescent="0.3">
      <c r="A64" s="14" t="s">
        <v>55</v>
      </c>
      <c r="B64" s="14" t="s">
        <v>319</v>
      </c>
      <c r="C64" s="22"/>
      <c r="D64" s="15">
        <v>0.25</v>
      </c>
      <c r="E64" s="16">
        <v>0.1</v>
      </c>
      <c r="F64" s="17">
        <v>0.1</v>
      </c>
      <c r="G64" s="18">
        <v>3</v>
      </c>
      <c r="H64" s="18">
        <v>1500000</v>
      </c>
      <c r="I64" s="18" t="b">
        <v>0</v>
      </c>
      <c r="J64" s="14" t="s">
        <v>244</v>
      </c>
      <c r="K64" s="15">
        <v>0</v>
      </c>
      <c r="L64" s="16">
        <v>0</v>
      </c>
      <c r="M64" s="17">
        <v>0</v>
      </c>
      <c r="N64" s="18">
        <v>500000</v>
      </c>
      <c r="O64" s="15">
        <v>0</v>
      </c>
      <c r="P64" s="16">
        <v>0</v>
      </c>
      <c r="Q64" s="17">
        <v>0</v>
      </c>
      <c r="R64" s="18" t="b">
        <v>1</v>
      </c>
      <c r="S64" s="18" t="b">
        <v>1</v>
      </c>
      <c r="T64" s="18" t="b">
        <v>1</v>
      </c>
      <c r="U64" s="14" t="s">
        <v>245</v>
      </c>
    </row>
    <row r="65" spans="1:21" x14ac:dyDescent="0.3">
      <c r="A65" s="14" t="s">
        <v>55</v>
      </c>
      <c r="B65" s="14" t="s">
        <v>320</v>
      </c>
      <c r="C65" s="22"/>
      <c r="D65" s="15">
        <v>0.25</v>
      </c>
      <c r="E65" s="16">
        <v>0.1</v>
      </c>
      <c r="F65" s="17">
        <v>0.1</v>
      </c>
      <c r="G65" s="18">
        <v>20</v>
      </c>
      <c r="H65" s="18">
        <v>1000000</v>
      </c>
      <c r="I65" s="18" t="b">
        <v>0</v>
      </c>
      <c r="J65" s="14" t="s">
        <v>244</v>
      </c>
      <c r="K65" s="15">
        <v>5</v>
      </c>
      <c r="L65" s="16">
        <v>2</v>
      </c>
      <c r="M65" s="17">
        <v>2</v>
      </c>
      <c r="N65" s="18">
        <v>50000</v>
      </c>
      <c r="O65" s="15">
        <v>250000</v>
      </c>
      <c r="P65" s="16">
        <v>100000</v>
      </c>
      <c r="Q65" s="17">
        <v>100000</v>
      </c>
      <c r="R65" s="18" t="b">
        <v>1</v>
      </c>
      <c r="S65" s="18" t="b">
        <v>1</v>
      </c>
      <c r="T65" s="18" t="b">
        <v>1</v>
      </c>
      <c r="U65" s="14" t="s">
        <v>245</v>
      </c>
    </row>
    <row r="66" spans="1:21" x14ac:dyDescent="0.3">
      <c r="A66" s="14" t="s">
        <v>55</v>
      </c>
      <c r="B66" s="14" t="s">
        <v>321</v>
      </c>
      <c r="C66" s="22"/>
      <c r="D66" s="15">
        <v>0.25</v>
      </c>
      <c r="E66" s="16">
        <v>0.1</v>
      </c>
      <c r="F66" s="17">
        <v>0.1</v>
      </c>
      <c r="G66" s="18">
        <v>20</v>
      </c>
      <c r="H66" s="18">
        <v>2000000</v>
      </c>
      <c r="I66" s="18" t="b">
        <v>0</v>
      </c>
      <c r="J66" s="14" t="s">
        <v>244</v>
      </c>
      <c r="K66" s="15">
        <v>5</v>
      </c>
      <c r="L66" s="16">
        <v>2</v>
      </c>
      <c r="M66" s="17">
        <v>2</v>
      </c>
      <c r="N66" s="18">
        <v>100000</v>
      </c>
      <c r="O66" s="15">
        <v>500000</v>
      </c>
      <c r="P66" s="16">
        <v>200000</v>
      </c>
      <c r="Q66" s="17">
        <v>200000</v>
      </c>
      <c r="R66" s="18" t="b">
        <v>1</v>
      </c>
      <c r="S66" s="18" t="b">
        <v>1</v>
      </c>
      <c r="T66" s="18" t="b">
        <v>1</v>
      </c>
      <c r="U66" s="14" t="s">
        <v>248</v>
      </c>
    </row>
    <row r="67" spans="1:21" x14ac:dyDescent="0.3">
      <c r="A67" s="14" t="s">
        <v>55</v>
      </c>
      <c r="B67" s="14" t="s">
        <v>322</v>
      </c>
      <c r="C67" s="22"/>
      <c r="D67" s="15">
        <v>0.25</v>
      </c>
      <c r="E67" s="16">
        <v>0.1</v>
      </c>
      <c r="F67" s="17">
        <v>0.1</v>
      </c>
      <c r="G67" s="18">
        <v>410</v>
      </c>
      <c r="H67" s="18">
        <v>15000000</v>
      </c>
      <c r="I67" s="18" t="b">
        <v>0</v>
      </c>
      <c r="J67" s="14" t="s">
        <v>244</v>
      </c>
      <c r="K67" s="15">
        <v>102</v>
      </c>
      <c r="L67" s="16">
        <v>41</v>
      </c>
      <c r="M67" s="17">
        <v>41</v>
      </c>
      <c r="N67" s="18">
        <v>36585.365853658543</v>
      </c>
      <c r="O67" s="15">
        <v>3731707.317073171</v>
      </c>
      <c r="P67" s="16">
        <v>1500000</v>
      </c>
      <c r="Q67" s="17">
        <v>1500000</v>
      </c>
      <c r="R67" s="18" t="b">
        <v>1</v>
      </c>
      <c r="S67" s="18" t="b">
        <v>1</v>
      </c>
      <c r="T67" s="18" t="b">
        <v>1</v>
      </c>
      <c r="U67" s="14" t="s">
        <v>248</v>
      </c>
    </row>
    <row r="68" spans="1:21" x14ac:dyDescent="0.3">
      <c r="A68" s="14" t="s">
        <v>55</v>
      </c>
      <c r="B68" s="14" t="s">
        <v>323</v>
      </c>
      <c r="C68" s="22"/>
      <c r="D68" s="15">
        <v>0.25</v>
      </c>
      <c r="E68" s="16">
        <v>0.1</v>
      </c>
      <c r="F68" s="17">
        <v>0.1</v>
      </c>
      <c r="G68" s="18">
        <v>13</v>
      </c>
      <c r="H68" s="18">
        <v>15000000</v>
      </c>
      <c r="I68" s="18" t="b">
        <v>0</v>
      </c>
      <c r="J68" s="14" t="s">
        <v>244</v>
      </c>
      <c r="K68" s="15">
        <v>3</v>
      </c>
      <c r="L68" s="16">
        <v>1</v>
      </c>
      <c r="M68" s="17">
        <v>1</v>
      </c>
      <c r="N68" s="18">
        <v>1153846.153846154</v>
      </c>
      <c r="O68" s="15">
        <v>3461538.461538461</v>
      </c>
      <c r="P68" s="16">
        <v>1153846.153846154</v>
      </c>
      <c r="Q68" s="17">
        <v>1153846.153846154</v>
      </c>
      <c r="R68" s="18" t="b">
        <v>1</v>
      </c>
      <c r="S68" s="18" t="b">
        <v>1</v>
      </c>
      <c r="T68" s="18" t="b">
        <v>1</v>
      </c>
      <c r="U68" s="14" t="s">
        <v>248</v>
      </c>
    </row>
    <row r="69" spans="1:21" x14ac:dyDescent="0.3">
      <c r="A69" s="14" t="s">
        <v>55</v>
      </c>
      <c r="B69" s="14" t="s">
        <v>324</v>
      </c>
      <c r="C69" s="22"/>
      <c r="D69" s="15">
        <v>0.25</v>
      </c>
      <c r="E69" s="16">
        <v>0.1</v>
      </c>
      <c r="F69" s="17">
        <v>0.1</v>
      </c>
      <c r="G69" s="18">
        <v>114</v>
      </c>
      <c r="H69" s="18">
        <v>15900000</v>
      </c>
      <c r="I69" s="18" t="b">
        <v>0</v>
      </c>
      <c r="J69" s="14" t="s">
        <v>244</v>
      </c>
      <c r="K69" s="15">
        <v>28</v>
      </c>
      <c r="L69" s="16">
        <v>11</v>
      </c>
      <c r="M69" s="17">
        <v>11</v>
      </c>
      <c r="N69" s="18">
        <v>139473.68421052629</v>
      </c>
      <c r="O69" s="15">
        <v>3905263.1578947371</v>
      </c>
      <c r="P69" s="16">
        <v>1534210.526315789</v>
      </c>
      <c r="Q69" s="17">
        <v>1534210.526315789</v>
      </c>
      <c r="R69" s="18" t="b">
        <v>1</v>
      </c>
      <c r="S69" s="18" t="b">
        <v>1</v>
      </c>
      <c r="T69" s="18" t="b">
        <v>1</v>
      </c>
      <c r="U69" s="14" t="s">
        <v>248</v>
      </c>
    </row>
    <row r="70" spans="1:21" x14ac:dyDescent="0.3">
      <c r="A70" s="14" t="s">
        <v>55</v>
      </c>
      <c r="B70" s="14" t="s">
        <v>325</v>
      </c>
      <c r="C70" s="22"/>
      <c r="D70" s="15">
        <v>0.25</v>
      </c>
      <c r="E70" s="16">
        <v>0.1</v>
      </c>
      <c r="F70" s="17">
        <v>0.1</v>
      </c>
      <c r="G70" s="18">
        <v>30</v>
      </c>
      <c r="H70" s="18">
        <v>2000000</v>
      </c>
      <c r="I70" s="18" t="b">
        <v>0</v>
      </c>
      <c r="J70" s="14" t="s">
        <v>244</v>
      </c>
      <c r="K70" s="15">
        <v>7</v>
      </c>
      <c r="L70" s="16">
        <v>3</v>
      </c>
      <c r="M70" s="17">
        <v>3</v>
      </c>
      <c r="N70" s="18">
        <v>66666.666666666672</v>
      </c>
      <c r="O70" s="15">
        <v>466666.66666666669</v>
      </c>
      <c r="P70" s="16">
        <v>200000</v>
      </c>
      <c r="Q70" s="17">
        <v>200000</v>
      </c>
      <c r="R70" s="18" t="b">
        <v>1</v>
      </c>
      <c r="S70" s="18" t="b">
        <v>1</v>
      </c>
      <c r="T70" s="18" t="b">
        <v>1</v>
      </c>
      <c r="U70" s="14" t="s">
        <v>248</v>
      </c>
    </row>
    <row r="71" spans="1:21" x14ac:dyDescent="0.3">
      <c r="A71" s="14" t="s">
        <v>55</v>
      </c>
      <c r="B71" s="14" t="s">
        <v>326</v>
      </c>
      <c r="C71" s="22"/>
      <c r="D71" s="15">
        <v>0.25</v>
      </c>
      <c r="E71" s="16">
        <v>0.1</v>
      </c>
      <c r="F71" s="17">
        <v>0.1</v>
      </c>
      <c r="G71" s="18">
        <v>26</v>
      </c>
      <c r="H71" s="18">
        <v>2691000</v>
      </c>
      <c r="I71" s="18" t="b">
        <v>0</v>
      </c>
      <c r="J71" s="14" t="s">
        <v>244</v>
      </c>
      <c r="K71" s="15">
        <v>6</v>
      </c>
      <c r="L71" s="16">
        <v>2</v>
      </c>
      <c r="M71" s="17">
        <v>2</v>
      </c>
      <c r="N71" s="18">
        <v>103500</v>
      </c>
      <c r="O71" s="15">
        <v>621000</v>
      </c>
      <c r="P71" s="16">
        <v>207000</v>
      </c>
      <c r="Q71" s="17">
        <v>207000</v>
      </c>
      <c r="R71" s="18" t="b">
        <v>1</v>
      </c>
      <c r="S71" s="18" t="b">
        <v>1</v>
      </c>
      <c r="T71" s="18" t="b">
        <v>1</v>
      </c>
      <c r="U71" s="14" t="s">
        <v>248</v>
      </c>
    </row>
    <row r="72" spans="1:21" x14ac:dyDescent="0.3">
      <c r="A72" s="14" t="s">
        <v>55</v>
      </c>
      <c r="B72" s="14" t="s">
        <v>327</v>
      </c>
      <c r="C72" s="22"/>
      <c r="D72" s="15">
        <v>0.25</v>
      </c>
      <c r="E72" s="16">
        <v>0.1</v>
      </c>
      <c r="F72" s="17">
        <v>0.1</v>
      </c>
      <c r="G72" s="18">
        <v>20</v>
      </c>
      <c r="H72" s="18">
        <v>2400000</v>
      </c>
      <c r="I72" s="18" t="b">
        <v>0</v>
      </c>
      <c r="J72" s="14" t="s">
        <v>244</v>
      </c>
      <c r="K72" s="15">
        <v>5</v>
      </c>
      <c r="L72" s="16">
        <v>2</v>
      </c>
      <c r="M72" s="17">
        <v>2</v>
      </c>
      <c r="N72" s="18">
        <v>120000</v>
      </c>
      <c r="O72" s="15">
        <v>600000</v>
      </c>
      <c r="P72" s="16">
        <v>240000</v>
      </c>
      <c r="Q72" s="17">
        <v>240000</v>
      </c>
      <c r="R72" s="18" t="b">
        <v>1</v>
      </c>
      <c r="S72" s="18" t="b">
        <v>1</v>
      </c>
      <c r="T72" s="18" t="b">
        <v>1</v>
      </c>
      <c r="U72" s="14" t="s">
        <v>248</v>
      </c>
    </row>
    <row r="73" spans="1:21" x14ac:dyDescent="0.3">
      <c r="A73" s="14" t="s">
        <v>55</v>
      </c>
      <c r="B73" s="14" t="s">
        <v>328</v>
      </c>
      <c r="C73" s="22"/>
      <c r="D73" s="15">
        <v>0.25</v>
      </c>
      <c r="E73" s="16">
        <v>0.1</v>
      </c>
      <c r="F73" s="17">
        <v>0.1</v>
      </c>
      <c r="G73" s="18">
        <v>50</v>
      </c>
      <c r="H73" s="18">
        <v>3000000</v>
      </c>
      <c r="I73" s="18" t="b">
        <v>0</v>
      </c>
      <c r="J73" s="14" t="s">
        <v>244</v>
      </c>
      <c r="K73" s="15">
        <v>12</v>
      </c>
      <c r="L73" s="16">
        <v>5</v>
      </c>
      <c r="M73" s="17">
        <v>5</v>
      </c>
      <c r="N73" s="18">
        <v>60000</v>
      </c>
      <c r="O73" s="15">
        <v>720000</v>
      </c>
      <c r="P73" s="16">
        <v>300000</v>
      </c>
      <c r="Q73" s="17">
        <v>300000</v>
      </c>
      <c r="R73" s="18" t="b">
        <v>1</v>
      </c>
      <c r="S73" s="18" t="b">
        <v>1</v>
      </c>
      <c r="T73" s="18" t="b">
        <v>1</v>
      </c>
      <c r="U73" s="14" t="s">
        <v>248</v>
      </c>
    </row>
    <row r="74" spans="1:21" x14ac:dyDescent="0.3">
      <c r="A74" s="14" t="s">
        <v>55</v>
      </c>
      <c r="B74" s="14" t="s">
        <v>329</v>
      </c>
      <c r="C74" s="22"/>
      <c r="D74" s="15">
        <v>0.25</v>
      </c>
      <c r="E74" s="16">
        <v>0.1</v>
      </c>
      <c r="F74" s="17">
        <v>0.1</v>
      </c>
      <c r="G74" s="18">
        <v>16</v>
      </c>
      <c r="H74" s="18">
        <v>2500000</v>
      </c>
      <c r="I74" s="18" t="b">
        <v>0</v>
      </c>
      <c r="J74" s="14" t="s">
        <v>244</v>
      </c>
      <c r="K74" s="15">
        <v>4</v>
      </c>
      <c r="L74" s="16">
        <v>1</v>
      </c>
      <c r="M74" s="17">
        <v>1</v>
      </c>
      <c r="N74" s="18">
        <v>156250</v>
      </c>
      <c r="O74" s="15">
        <v>625000</v>
      </c>
      <c r="P74" s="16">
        <v>156250</v>
      </c>
      <c r="Q74" s="17">
        <v>156250</v>
      </c>
      <c r="R74" s="18" t="b">
        <v>1</v>
      </c>
      <c r="S74" s="18" t="b">
        <v>1</v>
      </c>
      <c r="T74" s="18" t="b">
        <v>1</v>
      </c>
      <c r="U74" s="14" t="s">
        <v>248</v>
      </c>
    </row>
    <row r="75" spans="1:21" x14ac:dyDescent="0.3">
      <c r="A75" s="14" t="s">
        <v>55</v>
      </c>
      <c r="B75" s="14" t="s">
        <v>330</v>
      </c>
      <c r="C75" s="22"/>
      <c r="D75" s="15">
        <v>0.25</v>
      </c>
      <c r="E75" s="16">
        <v>0.1</v>
      </c>
      <c r="F75" s="17">
        <v>0.1</v>
      </c>
      <c r="G75" s="18">
        <v>40</v>
      </c>
      <c r="H75" s="18">
        <v>14988000</v>
      </c>
      <c r="I75" s="18" t="b">
        <v>0</v>
      </c>
      <c r="J75" s="14" t="s">
        <v>244</v>
      </c>
      <c r="K75" s="15">
        <v>10</v>
      </c>
      <c r="L75" s="16">
        <v>4</v>
      </c>
      <c r="M75" s="17">
        <v>4</v>
      </c>
      <c r="N75" s="18">
        <v>374700</v>
      </c>
      <c r="O75" s="15">
        <v>3747000</v>
      </c>
      <c r="P75" s="16">
        <v>1498800</v>
      </c>
      <c r="Q75" s="17">
        <v>1498800</v>
      </c>
      <c r="R75" s="18" t="b">
        <v>1</v>
      </c>
      <c r="S75" s="18" t="b">
        <v>1</v>
      </c>
      <c r="T75" s="18" t="b">
        <v>1</v>
      </c>
      <c r="U75" s="14" t="s">
        <v>248</v>
      </c>
    </row>
    <row r="76" spans="1:21" x14ac:dyDescent="0.3">
      <c r="A76" s="14" t="s">
        <v>55</v>
      </c>
      <c r="B76" s="14" t="s">
        <v>331</v>
      </c>
      <c r="C76" s="22"/>
      <c r="D76" s="15">
        <v>0.25</v>
      </c>
      <c r="E76" s="16">
        <v>0.1</v>
      </c>
      <c r="F76" s="17">
        <v>0.1</v>
      </c>
      <c r="G76" s="18">
        <v>20</v>
      </c>
      <c r="H76" s="18">
        <v>1000000</v>
      </c>
      <c r="I76" s="18" t="b">
        <v>0</v>
      </c>
      <c r="J76" s="14" t="s">
        <v>244</v>
      </c>
      <c r="K76" s="15">
        <v>5</v>
      </c>
      <c r="L76" s="16">
        <v>2</v>
      </c>
      <c r="M76" s="17">
        <v>2</v>
      </c>
      <c r="N76" s="18">
        <v>50000</v>
      </c>
      <c r="O76" s="15">
        <v>250000</v>
      </c>
      <c r="P76" s="16">
        <v>100000</v>
      </c>
      <c r="Q76" s="17">
        <v>100000</v>
      </c>
      <c r="R76" s="18" t="b">
        <v>1</v>
      </c>
      <c r="S76" s="18" t="b">
        <v>1</v>
      </c>
      <c r="T76" s="18" t="b">
        <v>1</v>
      </c>
      <c r="U76" s="14" t="s">
        <v>253</v>
      </c>
    </row>
    <row r="77" spans="1:21" x14ac:dyDescent="0.3">
      <c r="A77" s="14" t="s">
        <v>293</v>
      </c>
      <c r="B77" s="14" t="s">
        <v>332</v>
      </c>
      <c r="C77" s="22"/>
      <c r="D77" s="15">
        <v>0.25</v>
      </c>
      <c r="E77" s="16">
        <v>0.1</v>
      </c>
      <c r="F77" s="17">
        <v>0.05</v>
      </c>
      <c r="G77" s="18">
        <v>20</v>
      </c>
      <c r="H77" s="18">
        <v>2000000</v>
      </c>
      <c r="I77" s="18" t="b">
        <v>0</v>
      </c>
      <c r="J77" s="14" t="s">
        <v>244</v>
      </c>
      <c r="K77" s="15">
        <v>5</v>
      </c>
      <c r="L77" s="16">
        <v>2</v>
      </c>
      <c r="M77" s="17">
        <v>1</v>
      </c>
      <c r="N77" s="18">
        <v>100000</v>
      </c>
      <c r="O77" s="15">
        <v>500000</v>
      </c>
      <c r="P77" s="16">
        <v>200000</v>
      </c>
      <c r="Q77" s="17">
        <v>100000</v>
      </c>
      <c r="R77" s="18" t="b">
        <v>1</v>
      </c>
      <c r="S77" s="18" t="b">
        <v>1</v>
      </c>
      <c r="T77" s="18" t="b">
        <v>1</v>
      </c>
      <c r="U77" s="14" t="s">
        <v>245</v>
      </c>
    </row>
    <row r="78" spans="1:21" x14ac:dyDescent="0.3">
      <c r="A78" s="14" t="s">
        <v>293</v>
      </c>
      <c r="B78" s="14" t="s">
        <v>333</v>
      </c>
      <c r="C78" s="22"/>
      <c r="D78" s="15">
        <v>0.25</v>
      </c>
      <c r="E78" s="16">
        <v>0.1</v>
      </c>
      <c r="F78" s="17">
        <v>0.05</v>
      </c>
      <c r="G78" s="18">
        <v>3</v>
      </c>
      <c r="H78" s="18">
        <v>900000</v>
      </c>
      <c r="I78" s="18" t="b">
        <v>0</v>
      </c>
      <c r="J78" s="14" t="s">
        <v>244</v>
      </c>
      <c r="K78" s="15">
        <v>0</v>
      </c>
      <c r="L78" s="16">
        <v>0</v>
      </c>
      <c r="M78" s="17">
        <v>0</v>
      </c>
      <c r="N78" s="18">
        <v>300000</v>
      </c>
      <c r="O78" s="15">
        <v>0</v>
      </c>
      <c r="P78" s="16">
        <v>0</v>
      </c>
      <c r="Q78" s="17">
        <v>0</v>
      </c>
      <c r="R78" s="18" t="b">
        <v>1</v>
      </c>
      <c r="S78" s="18" t="b">
        <v>1</v>
      </c>
      <c r="T78" s="18" t="b">
        <v>1</v>
      </c>
      <c r="U78" s="14" t="s">
        <v>245</v>
      </c>
    </row>
    <row r="79" spans="1:21" x14ac:dyDescent="0.3">
      <c r="A79" s="14" t="s">
        <v>80</v>
      </c>
      <c r="B79" s="14" t="s">
        <v>334</v>
      </c>
      <c r="C79" s="22"/>
      <c r="D79" s="15">
        <v>0.25</v>
      </c>
      <c r="E79" s="16">
        <v>0.1</v>
      </c>
      <c r="F79" s="17">
        <v>0.05</v>
      </c>
      <c r="G79" s="18">
        <v>50</v>
      </c>
      <c r="H79" s="18">
        <v>2100000</v>
      </c>
      <c r="I79" s="18" t="b">
        <v>0</v>
      </c>
      <c r="J79" s="14" t="s">
        <v>244</v>
      </c>
      <c r="K79" s="15">
        <v>12</v>
      </c>
      <c r="L79" s="16">
        <v>5</v>
      </c>
      <c r="M79" s="17">
        <v>2</v>
      </c>
      <c r="N79" s="18">
        <v>42000</v>
      </c>
      <c r="O79" s="15">
        <v>504000</v>
      </c>
      <c r="P79" s="16">
        <v>210000</v>
      </c>
      <c r="Q79" s="17">
        <v>84000</v>
      </c>
      <c r="R79" s="18" t="b">
        <v>1</v>
      </c>
      <c r="S79" s="18" t="b">
        <v>1</v>
      </c>
      <c r="T79" s="18" t="b">
        <v>1</v>
      </c>
      <c r="U79" s="14" t="s">
        <v>245</v>
      </c>
    </row>
    <row r="80" spans="1:21" x14ac:dyDescent="0.3">
      <c r="A80" s="14" t="s">
        <v>80</v>
      </c>
      <c r="B80" s="14" t="s">
        <v>335</v>
      </c>
      <c r="C80" s="22"/>
      <c r="D80" s="15">
        <v>0.25</v>
      </c>
      <c r="E80" s="16">
        <v>0.25</v>
      </c>
      <c r="F80" s="17"/>
      <c r="G80" s="18">
        <v>4</v>
      </c>
      <c r="H80" s="18">
        <v>1200000</v>
      </c>
      <c r="I80" s="18" t="b">
        <v>0</v>
      </c>
      <c r="J80" s="14" t="s">
        <v>244</v>
      </c>
      <c r="K80" s="15">
        <v>1</v>
      </c>
      <c r="L80" s="16">
        <v>1</v>
      </c>
      <c r="M80" s="17"/>
      <c r="N80" s="18">
        <v>300000</v>
      </c>
      <c r="O80" s="15">
        <v>300000</v>
      </c>
      <c r="P80" s="16">
        <v>300000</v>
      </c>
      <c r="Q80" s="17"/>
      <c r="R80" s="18" t="b">
        <v>1</v>
      </c>
      <c r="S80" s="18" t="b">
        <v>1</v>
      </c>
      <c r="T80" s="18" t="b">
        <v>0</v>
      </c>
      <c r="U80" s="14" t="s">
        <v>245</v>
      </c>
    </row>
    <row r="81" spans="1:21" x14ac:dyDescent="0.3">
      <c r="A81" s="14" t="s">
        <v>80</v>
      </c>
      <c r="B81" s="14" t="s">
        <v>336</v>
      </c>
      <c r="C81" s="22"/>
      <c r="D81" s="15">
        <v>0.25</v>
      </c>
      <c r="E81" s="16">
        <v>0.1</v>
      </c>
      <c r="F81" s="17"/>
      <c r="G81" s="18">
        <v>4</v>
      </c>
      <c r="H81" s="18">
        <v>480000</v>
      </c>
      <c r="I81" s="18" t="b">
        <v>0</v>
      </c>
      <c r="J81" s="14" t="s">
        <v>244</v>
      </c>
      <c r="K81" s="15">
        <v>1</v>
      </c>
      <c r="L81" s="16">
        <v>0</v>
      </c>
      <c r="M81" s="17"/>
      <c r="N81" s="18">
        <v>120000</v>
      </c>
      <c r="O81" s="15">
        <v>120000</v>
      </c>
      <c r="P81" s="16">
        <v>0</v>
      </c>
      <c r="Q81" s="17"/>
      <c r="R81" s="18" t="b">
        <v>1</v>
      </c>
      <c r="S81" s="18" t="b">
        <v>1</v>
      </c>
      <c r="T81" s="18" t="b">
        <v>0</v>
      </c>
      <c r="U81" s="14" t="s">
        <v>245</v>
      </c>
    </row>
    <row r="82" spans="1:21" x14ac:dyDescent="0.3">
      <c r="A82" s="14" t="s">
        <v>80</v>
      </c>
      <c r="B82" s="14" t="s">
        <v>337</v>
      </c>
      <c r="C82" s="22"/>
      <c r="D82" s="15">
        <v>0.25</v>
      </c>
      <c r="E82" s="16">
        <v>0.1</v>
      </c>
      <c r="F82" s="17">
        <v>0.05</v>
      </c>
      <c r="G82" s="18">
        <v>20</v>
      </c>
      <c r="H82" s="18">
        <v>800000</v>
      </c>
      <c r="I82" s="18" t="b">
        <v>0</v>
      </c>
      <c r="J82" s="14" t="s">
        <v>244</v>
      </c>
      <c r="K82" s="15">
        <v>5</v>
      </c>
      <c r="L82" s="16">
        <v>2</v>
      </c>
      <c r="M82" s="17">
        <v>1</v>
      </c>
      <c r="N82" s="18">
        <v>40000</v>
      </c>
      <c r="O82" s="15">
        <v>200000</v>
      </c>
      <c r="P82" s="16">
        <v>80000</v>
      </c>
      <c r="Q82" s="17">
        <v>40000</v>
      </c>
      <c r="R82" s="18" t="b">
        <v>1</v>
      </c>
      <c r="S82" s="18" t="b">
        <v>1</v>
      </c>
      <c r="T82" s="18" t="b">
        <v>1</v>
      </c>
      <c r="U82" s="14" t="s">
        <v>248</v>
      </c>
    </row>
    <row r="83" spans="1:21" x14ac:dyDescent="0.3">
      <c r="A83" s="14" t="s">
        <v>80</v>
      </c>
      <c r="B83" s="14" t="s">
        <v>338</v>
      </c>
      <c r="C83" s="22"/>
      <c r="D83" s="15">
        <v>0.25</v>
      </c>
      <c r="E83" s="16">
        <v>0.1</v>
      </c>
      <c r="F83" s="17">
        <v>0.05</v>
      </c>
      <c r="G83" s="18">
        <v>56</v>
      </c>
      <c r="H83" s="18">
        <v>1120000</v>
      </c>
      <c r="I83" s="18" t="b">
        <v>0</v>
      </c>
      <c r="J83" s="14" t="s">
        <v>244</v>
      </c>
      <c r="K83" s="15">
        <v>14</v>
      </c>
      <c r="L83" s="16">
        <v>5</v>
      </c>
      <c r="M83" s="17">
        <v>2</v>
      </c>
      <c r="N83" s="18">
        <v>20000</v>
      </c>
      <c r="O83" s="15">
        <v>280000</v>
      </c>
      <c r="P83" s="16">
        <v>100000</v>
      </c>
      <c r="Q83" s="17">
        <v>40000</v>
      </c>
      <c r="R83" s="18" t="b">
        <v>1</v>
      </c>
      <c r="S83" s="18" t="b">
        <v>1</v>
      </c>
      <c r="T83" s="18" t="b">
        <v>1</v>
      </c>
      <c r="U83" s="14" t="s">
        <v>248</v>
      </c>
    </row>
    <row r="84" spans="1:21" x14ac:dyDescent="0.3">
      <c r="A84" s="14" t="s">
        <v>80</v>
      </c>
      <c r="B84" s="14" t="s">
        <v>339</v>
      </c>
      <c r="C84" s="22"/>
      <c r="D84" s="15">
        <v>0.25</v>
      </c>
      <c r="E84" s="16">
        <v>0.1</v>
      </c>
      <c r="F84" s="17">
        <v>0.05</v>
      </c>
      <c r="G84" s="18">
        <v>50</v>
      </c>
      <c r="H84" s="18">
        <v>2100000</v>
      </c>
      <c r="I84" s="18" t="b">
        <v>0</v>
      </c>
      <c r="J84" s="14" t="s">
        <v>244</v>
      </c>
      <c r="K84" s="15">
        <v>12</v>
      </c>
      <c r="L84" s="16">
        <v>5</v>
      </c>
      <c r="M84" s="17">
        <v>2</v>
      </c>
      <c r="N84" s="18">
        <v>42000</v>
      </c>
      <c r="O84" s="15">
        <v>504000</v>
      </c>
      <c r="P84" s="16">
        <v>210000</v>
      </c>
      <c r="Q84" s="17">
        <v>84000</v>
      </c>
      <c r="R84" s="18" t="b">
        <v>1</v>
      </c>
      <c r="S84" s="18" t="b">
        <v>1</v>
      </c>
      <c r="T84" s="18" t="b">
        <v>1</v>
      </c>
      <c r="U84" s="14" t="s">
        <v>248</v>
      </c>
    </row>
    <row r="85" spans="1:21" x14ac:dyDescent="0.3">
      <c r="A85" s="14" t="s">
        <v>80</v>
      </c>
      <c r="B85" s="14" t="s">
        <v>340</v>
      </c>
      <c r="C85" s="22"/>
      <c r="D85" s="15">
        <v>0.25</v>
      </c>
      <c r="E85" s="16">
        <v>0.1</v>
      </c>
      <c r="F85" s="17">
        <v>0.05</v>
      </c>
      <c r="G85" s="18">
        <v>10</v>
      </c>
      <c r="H85" s="18">
        <v>3200000</v>
      </c>
      <c r="I85" s="18" t="b">
        <v>0</v>
      </c>
      <c r="J85" s="14" t="s">
        <v>244</v>
      </c>
      <c r="K85" s="15">
        <v>2</v>
      </c>
      <c r="L85" s="16">
        <v>1</v>
      </c>
      <c r="M85" s="17">
        <v>0</v>
      </c>
      <c r="N85" s="18">
        <v>320000</v>
      </c>
      <c r="O85" s="15">
        <v>640000</v>
      </c>
      <c r="P85" s="16">
        <v>320000</v>
      </c>
      <c r="Q85" s="17">
        <v>0</v>
      </c>
      <c r="R85" s="18" t="b">
        <v>1</v>
      </c>
      <c r="S85" s="18" t="b">
        <v>1</v>
      </c>
      <c r="T85" s="18" t="b">
        <v>1</v>
      </c>
      <c r="U85" s="14" t="s">
        <v>248</v>
      </c>
    </row>
    <row r="86" spans="1:21" x14ac:dyDescent="0.3">
      <c r="A86" s="14" t="s">
        <v>80</v>
      </c>
      <c r="B86" s="14" t="s">
        <v>341</v>
      </c>
      <c r="C86" s="22"/>
      <c r="D86" s="15">
        <v>0.25</v>
      </c>
      <c r="E86" s="16">
        <v>0.1</v>
      </c>
      <c r="F86" s="17">
        <v>0.05</v>
      </c>
      <c r="G86" s="18">
        <v>50</v>
      </c>
      <c r="H86" s="18">
        <v>2500000</v>
      </c>
      <c r="I86" s="18" t="b">
        <v>0</v>
      </c>
      <c r="J86" s="14" t="s">
        <v>244</v>
      </c>
      <c r="K86" s="15">
        <v>12</v>
      </c>
      <c r="L86" s="16">
        <v>5</v>
      </c>
      <c r="M86" s="17">
        <v>2</v>
      </c>
      <c r="N86" s="18">
        <v>50000</v>
      </c>
      <c r="O86" s="15">
        <v>600000</v>
      </c>
      <c r="P86" s="16">
        <v>250000</v>
      </c>
      <c r="Q86" s="17">
        <v>100000</v>
      </c>
      <c r="R86" s="18" t="b">
        <v>1</v>
      </c>
      <c r="S86" s="18" t="b">
        <v>1</v>
      </c>
      <c r="T86" s="18" t="b">
        <v>1</v>
      </c>
      <c r="U86" s="14" t="s">
        <v>248</v>
      </c>
    </row>
    <row r="87" spans="1:21" x14ac:dyDescent="0.3">
      <c r="A87" s="14" t="s">
        <v>80</v>
      </c>
      <c r="B87" s="14" t="s">
        <v>342</v>
      </c>
      <c r="C87" s="22"/>
      <c r="D87" s="15">
        <v>0.25</v>
      </c>
      <c r="E87" s="16">
        <v>0.1</v>
      </c>
      <c r="F87" s="17">
        <v>0.05</v>
      </c>
      <c r="G87" s="18">
        <v>14</v>
      </c>
      <c r="H87" s="18">
        <v>560000</v>
      </c>
      <c r="I87" s="18" t="b">
        <v>0</v>
      </c>
      <c r="J87" s="14" t="s">
        <v>244</v>
      </c>
      <c r="K87" s="15">
        <v>3</v>
      </c>
      <c r="L87" s="16">
        <v>1</v>
      </c>
      <c r="M87" s="17">
        <v>0</v>
      </c>
      <c r="N87" s="18">
        <v>40000</v>
      </c>
      <c r="O87" s="15">
        <v>120000</v>
      </c>
      <c r="P87" s="16">
        <v>40000</v>
      </c>
      <c r="Q87" s="17">
        <v>0</v>
      </c>
      <c r="R87" s="18" t="b">
        <v>1</v>
      </c>
      <c r="S87" s="18" t="b">
        <v>1</v>
      </c>
      <c r="T87" s="18" t="b">
        <v>1</v>
      </c>
      <c r="U87" s="14" t="s">
        <v>248</v>
      </c>
    </row>
    <row r="88" spans="1:21" x14ac:dyDescent="0.3">
      <c r="A88" s="14" t="s">
        <v>80</v>
      </c>
      <c r="B88" s="14" t="s">
        <v>343</v>
      </c>
      <c r="C88" s="22"/>
      <c r="D88" s="15">
        <v>0.25</v>
      </c>
      <c r="E88" s="16">
        <v>0.1</v>
      </c>
      <c r="F88" s="17">
        <v>0.05</v>
      </c>
      <c r="G88" s="18">
        <v>33</v>
      </c>
      <c r="H88" s="18">
        <v>1700000</v>
      </c>
      <c r="I88" s="18" t="b">
        <v>0</v>
      </c>
      <c r="J88" s="14" t="s">
        <v>244</v>
      </c>
      <c r="K88" s="15">
        <v>8</v>
      </c>
      <c r="L88" s="16">
        <v>3</v>
      </c>
      <c r="M88" s="17">
        <v>1</v>
      </c>
      <c r="N88" s="18">
        <v>51515.151515151512</v>
      </c>
      <c r="O88" s="15">
        <v>412121.2121212121</v>
      </c>
      <c r="P88" s="16">
        <v>154545.4545454545</v>
      </c>
      <c r="Q88" s="17">
        <v>51515.151515151512</v>
      </c>
      <c r="R88" s="18" t="b">
        <v>1</v>
      </c>
      <c r="S88" s="18" t="b">
        <v>1</v>
      </c>
      <c r="T88" s="18" t="b">
        <v>1</v>
      </c>
      <c r="U88" s="14" t="s">
        <v>248</v>
      </c>
    </row>
    <row r="89" spans="1:21" x14ac:dyDescent="0.3">
      <c r="A89" s="14" t="s">
        <v>80</v>
      </c>
      <c r="B89" s="14" t="s">
        <v>344</v>
      </c>
      <c r="C89" s="22"/>
      <c r="D89" s="15">
        <v>0.25</v>
      </c>
      <c r="E89" s="16">
        <v>0.1</v>
      </c>
      <c r="F89" s="17">
        <v>0.05</v>
      </c>
      <c r="G89" s="18">
        <v>26</v>
      </c>
      <c r="H89" s="18">
        <v>1870000</v>
      </c>
      <c r="I89" s="18" t="b">
        <v>0</v>
      </c>
      <c r="J89" s="14" t="s">
        <v>244</v>
      </c>
      <c r="K89" s="15">
        <v>6</v>
      </c>
      <c r="L89" s="16">
        <v>2</v>
      </c>
      <c r="M89" s="17">
        <v>1</v>
      </c>
      <c r="N89" s="18">
        <v>71923.076923076922</v>
      </c>
      <c r="O89" s="15">
        <v>431538.4615384615</v>
      </c>
      <c r="P89" s="16">
        <v>143846.15384615379</v>
      </c>
      <c r="Q89" s="17">
        <v>71923.076923076922</v>
      </c>
      <c r="R89" s="18" t="b">
        <v>1</v>
      </c>
      <c r="S89" s="18" t="b">
        <v>1</v>
      </c>
      <c r="T89" s="18" t="b">
        <v>1</v>
      </c>
      <c r="U89" s="14" t="s">
        <v>248</v>
      </c>
    </row>
    <row r="90" spans="1:21" x14ac:dyDescent="0.3">
      <c r="A90" s="14" t="s">
        <v>80</v>
      </c>
      <c r="B90" s="14" t="s">
        <v>345</v>
      </c>
      <c r="C90" s="22"/>
      <c r="D90" s="15">
        <v>0.25</v>
      </c>
      <c r="E90" s="16">
        <v>0.1</v>
      </c>
      <c r="F90" s="17">
        <v>0.05</v>
      </c>
      <c r="G90" s="18">
        <v>57</v>
      </c>
      <c r="H90" s="18">
        <v>3870000</v>
      </c>
      <c r="I90" s="18" t="b">
        <v>0</v>
      </c>
      <c r="J90" s="14" t="s">
        <v>244</v>
      </c>
      <c r="K90" s="15">
        <v>14</v>
      </c>
      <c r="L90" s="16">
        <v>5</v>
      </c>
      <c r="M90" s="17">
        <v>2</v>
      </c>
      <c r="N90" s="18">
        <v>67894.736842105267</v>
      </c>
      <c r="O90" s="15">
        <v>950526.31578947371</v>
      </c>
      <c r="P90" s="16">
        <v>339473.68421052629</v>
      </c>
      <c r="Q90" s="17">
        <v>135789.4736842105</v>
      </c>
      <c r="R90" s="18" t="b">
        <v>1</v>
      </c>
      <c r="S90" s="18" t="b">
        <v>1</v>
      </c>
      <c r="T90" s="18" t="b">
        <v>1</v>
      </c>
      <c r="U90" s="14" t="s">
        <v>248</v>
      </c>
    </row>
    <row r="91" spans="1:21" x14ac:dyDescent="0.3">
      <c r="A91" s="14" t="s">
        <v>80</v>
      </c>
      <c r="B91" s="14" t="s">
        <v>346</v>
      </c>
      <c r="C91" s="22"/>
      <c r="D91" s="15">
        <v>0.25</v>
      </c>
      <c r="E91" s="16">
        <v>0.1</v>
      </c>
      <c r="F91" s="17">
        <v>0.05</v>
      </c>
      <c r="G91" s="18">
        <v>47</v>
      </c>
      <c r="H91" s="18">
        <v>1700000</v>
      </c>
      <c r="I91" s="18" t="b">
        <v>0</v>
      </c>
      <c r="J91" s="14" t="s">
        <v>244</v>
      </c>
      <c r="K91" s="15">
        <v>11</v>
      </c>
      <c r="L91" s="16">
        <v>4</v>
      </c>
      <c r="M91" s="17">
        <v>2</v>
      </c>
      <c r="N91" s="18">
        <v>36170.212765957447</v>
      </c>
      <c r="O91" s="15">
        <v>397872.3404255319</v>
      </c>
      <c r="P91" s="16">
        <v>144680.85106382979</v>
      </c>
      <c r="Q91" s="17">
        <v>72340.425531914894</v>
      </c>
      <c r="R91" s="18" t="b">
        <v>1</v>
      </c>
      <c r="S91" s="18" t="b">
        <v>1</v>
      </c>
      <c r="T91" s="18" t="b">
        <v>1</v>
      </c>
      <c r="U91" s="14" t="s">
        <v>248</v>
      </c>
    </row>
    <row r="92" spans="1:21" x14ac:dyDescent="0.3">
      <c r="A92" s="14" t="s">
        <v>80</v>
      </c>
      <c r="B92" s="14" t="s">
        <v>347</v>
      </c>
      <c r="C92" s="22"/>
      <c r="D92" s="15">
        <v>0.25</v>
      </c>
      <c r="E92" s="16">
        <v>0.1</v>
      </c>
      <c r="F92" s="17">
        <v>0.05</v>
      </c>
      <c r="G92" s="18">
        <v>25</v>
      </c>
      <c r="H92" s="18">
        <v>1050000</v>
      </c>
      <c r="I92" s="18" t="b">
        <v>0</v>
      </c>
      <c r="J92" s="14" t="s">
        <v>244</v>
      </c>
      <c r="K92" s="15">
        <v>6</v>
      </c>
      <c r="L92" s="16">
        <v>2</v>
      </c>
      <c r="M92" s="17">
        <v>1</v>
      </c>
      <c r="N92" s="18">
        <v>42000</v>
      </c>
      <c r="O92" s="15">
        <v>252000</v>
      </c>
      <c r="P92" s="16">
        <v>84000</v>
      </c>
      <c r="Q92" s="17">
        <v>42000</v>
      </c>
      <c r="R92" s="18" t="b">
        <v>1</v>
      </c>
      <c r="S92" s="18" t="b">
        <v>1</v>
      </c>
      <c r="T92" s="18" t="b">
        <v>1</v>
      </c>
      <c r="U92" s="14" t="s">
        <v>248</v>
      </c>
    </row>
    <row r="93" spans="1:21" x14ac:dyDescent="0.3">
      <c r="A93" s="14" t="s">
        <v>80</v>
      </c>
      <c r="B93" s="14" t="s">
        <v>348</v>
      </c>
      <c r="C93" s="22"/>
      <c r="D93" s="15">
        <v>0.25</v>
      </c>
      <c r="E93" s="16">
        <v>0.1</v>
      </c>
      <c r="F93" s="17">
        <v>0.05</v>
      </c>
      <c r="G93" s="18">
        <v>20</v>
      </c>
      <c r="H93" s="18">
        <v>880000</v>
      </c>
      <c r="I93" s="18" t="b">
        <v>0</v>
      </c>
      <c r="J93" s="14" t="s">
        <v>244</v>
      </c>
      <c r="K93" s="15">
        <v>5</v>
      </c>
      <c r="L93" s="16">
        <v>2</v>
      </c>
      <c r="M93" s="17">
        <v>1</v>
      </c>
      <c r="N93" s="18">
        <v>44000</v>
      </c>
      <c r="O93" s="15">
        <v>220000</v>
      </c>
      <c r="P93" s="16">
        <v>88000</v>
      </c>
      <c r="Q93" s="17">
        <v>44000</v>
      </c>
      <c r="R93" s="18" t="b">
        <v>1</v>
      </c>
      <c r="S93" s="18" t="b">
        <v>1</v>
      </c>
      <c r="T93" s="18" t="b">
        <v>1</v>
      </c>
      <c r="U93" s="14" t="s">
        <v>248</v>
      </c>
    </row>
    <row r="94" spans="1:21" x14ac:dyDescent="0.3">
      <c r="A94" s="14" t="s">
        <v>80</v>
      </c>
      <c r="B94" s="14" t="s">
        <v>349</v>
      </c>
      <c r="C94" s="22"/>
      <c r="D94" s="15">
        <v>0.25</v>
      </c>
      <c r="E94" s="16">
        <v>0.1</v>
      </c>
      <c r="F94" s="17">
        <v>0.05</v>
      </c>
      <c r="G94" s="18">
        <v>18</v>
      </c>
      <c r="H94" s="18">
        <v>5600000</v>
      </c>
      <c r="I94" s="18" t="b">
        <v>0</v>
      </c>
      <c r="J94" s="14" t="s">
        <v>244</v>
      </c>
      <c r="K94" s="15">
        <v>4</v>
      </c>
      <c r="L94" s="16">
        <v>1</v>
      </c>
      <c r="M94" s="17">
        <v>0</v>
      </c>
      <c r="N94" s="18">
        <v>311111.11111111112</v>
      </c>
      <c r="O94" s="15">
        <v>1244444.444444444</v>
      </c>
      <c r="P94" s="16">
        <v>311111.11111111112</v>
      </c>
      <c r="Q94" s="17">
        <v>0</v>
      </c>
      <c r="R94" s="18" t="b">
        <v>1</v>
      </c>
      <c r="S94" s="18" t="b">
        <v>1</v>
      </c>
      <c r="T94" s="18" t="b">
        <v>1</v>
      </c>
      <c r="U94" s="14" t="s">
        <v>248</v>
      </c>
    </row>
    <row r="95" spans="1:21" x14ac:dyDescent="0.3">
      <c r="A95" s="14" t="s">
        <v>80</v>
      </c>
      <c r="B95" s="14" t="s">
        <v>350</v>
      </c>
      <c r="C95" s="22"/>
      <c r="D95" s="15">
        <v>0.25</v>
      </c>
      <c r="E95" s="16">
        <v>0.1</v>
      </c>
      <c r="F95" s="17">
        <v>0.05</v>
      </c>
      <c r="G95" s="18">
        <v>30</v>
      </c>
      <c r="H95" s="18">
        <v>1300000</v>
      </c>
      <c r="I95" s="18" t="b">
        <v>0</v>
      </c>
      <c r="J95" s="14" t="s">
        <v>244</v>
      </c>
      <c r="K95" s="15">
        <v>7</v>
      </c>
      <c r="L95" s="16">
        <v>3</v>
      </c>
      <c r="M95" s="17">
        <v>1</v>
      </c>
      <c r="N95" s="18">
        <v>43333.333333333343</v>
      </c>
      <c r="O95" s="15">
        <v>303333.33333333337</v>
      </c>
      <c r="P95" s="16">
        <v>130000</v>
      </c>
      <c r="Q95" s="17">
        <v>43333.333333333343</v>
      </c>
      <c r="R95" s="18" t="b">
        <v>1</v>
      </c>
      <c r="S95" s="18" t="b">
        <v>1</v>
      </c>
      <c r="T95" s="18" t="b">
        <v>1</v>
      </c>
      <c r="U95" s="14" t="s">
        <v>248</v>
      </c>
    </row>
    <row r="96" spans="1:21" x14ac:dyDescent="0.3">
      <c r="A96" s="14" t="s">
        <v>80</v>
      </c>
      <c r="B96" s="14" t="s">
        <v>351</v>
      </c>
      <c r="C96" s="22"/>
      <c r="D96" s="15">
        <v>0.25</v>
      </c>
      <c r="E96" s="16">
        <v>0.1</v>
      </c>
      <c r="F96" s="17">
        <v>0.05</v>
      </c>
      <c r="G96" s="18">
        <v>5</v>
      </c>
      <c r="H96" s="18">
        <v>400000</v>
      </c>
      <c r="I96" s="18" t="b">
        <v>0</v>
      </c>
      <c r="J96" s="14" t="s">
        <v>244</v>
      </c>
      <c r="K96" s="15">
        <v>1</v>
      </c>
      <c r="L96" s="16">
        <v>0</v>
      </c>
      <c r="M96" s="17">
        <v>0</v>
      </c>
      <c r="N96" s="18">
        <v>80000</v>
      </c>
      <c r="O96" s="15">
        <v>80000</v>
      </c>
      <c r="P96" s="16">
        <v>0</v>
      </c>
      <c r="Q96" s="17">
        <v>0</v>
      </c>
      <c r="R96" s="18" t="b">
        <v>1</v>
      </c>
      <c r="S96" s="18" t="b">
        <v>1</v>
      </c>
      <c r="T96" s="18" t="b">
        <v>1</v>
      </c>
      <c r="U96" s="14" t="s">
        <v>248</v>
      </c>
    </row>
    <row r="97" spans="1:21" x14ac:dyDescent="0.3">
      <c r="A97" s="14" t="s">
        <v>80</v>
      </c>
      <c r="B97" s="14" t="s">
        <v>352</v>
      </c>
      <c r="C97" s="22"/>
      <c r="D97" s="15">
        <v>0.25</v>
      </c>
      <c r="E97" s="16">
        <v>0.1</v>
      </c>
      <c r="F97" s="17">
        <v>0.05</v>
      </c>
      <c r="G97" s="18">
        <v>20</v>
      </c>
      <c r="H97" s="18">
        <v>900000</v>
      </c>
      <c r="I97" s="18" t="b">
        <v>0</v>
      </c>
      <c r="J97" s="14" t="s">
        <v>244</v>
      </c>
      <c r="K97" s="15">
        <v>5</v>
      </c>
      <c r="L97" s="16">
        <v>2</v>
      </c>
      <c r="M97" s="17">
        <v>1</v>
      </c>
      <c r="N97" s="18">
        <v>45000</v>
      </c>
      <c r="O97" s="15">
        <v>225000</v>
      </c>
      <c r="P97" s="16">
        <v>90000</v>
      </c>
      <c r="Q97" s="17">
        <v>45000</v>
      </c>
      <c r="R97" s="18" t="b">
        <v>1</v>
      </c>
      <c r="S97" s="18" t="b">
        <v>1</v>
      </c>
      <c r="T97" s="18" t="b">
        <v>1</v>
      </c>
      <c r="U97" s="14" t="s">
        <v>248</v>
      </c>
    </row>
    <row r="98" spans="1:21" x14ac:dyDescent="0.3">
      <c r="A98" s="14" t="s">
        <v>80</v>
      </c>
      <c r="B98" s="14" t="s">
        <v>353</v>
      </c>
      <c r="C98" s="22"/>
      <c r="D98" s="15">
        <v>0.25</v>
      </c>
      <c r="E98" s="16">
        <v>0.1</v>
      </c>
      <c r="F98" s="17">
        <v>0.05</v>
      </c>
      <c r="G98" s="18">
        <v>30</v>
      </c>
      <c r="H98" s="18">
        <v>6000000</v>
      </c>
      <c r="I98" s="18" t="b">
        <v>0</v>
      </c>
      <c r="J98" s="14" t="s">
        <v>244</v>
      </c>
      <c r="K98" s="15">
        <v>7</v>
      </c>
      <c r="L98" s="16">
        <v>3</v>
      </c>
      <c r="M98" s="17">
        <v>1</v>
      </c>
      <c r="N98" s="18">
        <v>200000</v>
      </c>
      <c r="O98" s="15">
        <v>1400000</v>
      </c>
      <c r="P98" s="16">
        <v>600000</v>
      </c>
      <c r="Q98" s="17">
        <v>200000</v>
      </c>
      <c r="R98" s="18" t="b">
        <v>1</v>
      </c>
      <c r="S98" s="18" t="b">
        <v>1</v>
      </c>
      <c r="T98" s="18" t="b">
        <v>1</v>
      </c>
      <c r="U98" s="14" t="s">
        <v>257</v>
      </c>
    </row>
    <row r="99" spans="1:21" x14ac:dyDescent="0.3">
      <c r="A99" s="14" t="s">
        <v>104</v>
      </c>
      <c r="B99" s="14" t="s">
        <v>354</v>
      </c>
      <c r="C99" s="22"/>
      <c r="D99" s="15">
        <v>0.25</v>
      </c>
      <c r="E99" s="16">
        <v>0.1</v>
      </c>
      <c r="F99" s="17">
        <v>0.1</v>
      </c>
      <c r="G99" s="18">
        <v>40</v>
      </c>
      <c r="H99" s="18">
        <v>5400000</v>
      </c>
      <c r="I99" s="18" t="b">
        <v>0</v>
      </c>
      <c r="J99" s="14" t="s">
        <v>244</v>
      </c>
      <c r="K99" s="15">
        <v>10</v>
      </c>
      <c r="L99" s="16">
        <v>4</v>
      </c>
      <c r="M99" s="17">
        <v>4</v>
      </c>
      <c r="N99" s="18">
        <v>135000</v>
      </c>
      <c r="O99" s="15">
        <v>1350000</v>
      </c>
      <c r="P99" s="16">
        <v>540000</v>
      </c>
      <c r="Q99" s="17">
        <v>540000</v>
      </c>
      <c r="R99" s="18" t="b">
        <v>1</v>
      </c>
      <c r="S99" s="18" t="b">
        <v>1</v>
      </c>
      <c r="T99" s="18" t="b">
        <v>1</v>
      </c>
      <c r="U99" s="14" t="s">
        <v>245</v>
      </c>
    </row>
    <row r="100" spans="1:21" x14ac:dyDescent="0.3">
      <c r="A100" s="14" t="s">
        <v>104</v>
      </c>
      <c r="B100" s="14" t="s">
        <v>355</v>
      </c>
      <c r="C100" s="22"/>
      <c r="D100" s="15">
        <v>0.25</v>
      </c>
      <c r="E100" s="16">
        <v>0.1</v>
      </c>
      <c r="F100" s="17">
        <v>0.1</v>
      </c>
      <c r="G100" s="18">
        <v>2</v>
      </c>
      <c r="H100" s="18">
        <v>907000</v>
      </c>
      <c r="I100" s="18" t="b">
        <v>0</v>
      </c>
      <c r="J100" s="14" t="s">
        <v>244</v>
      </c>
      <c r="K100" s="15">
        <v>0</v>
      </c>
      <c r="L100" s="16">
        <v>0</v>
      </c>
      <c r="M100" s="17">
        <v>0</v>
      </c>
      <c r="N100" s="18">
        <v>453500</v>
      </c>
      <c r="O100" s="15">
        <v>0</v>
      </c>
      <c r="P100" s="16">
        <v>0</v>
      </c>
      <c r="Q100" s="17">
        <v>0</v>
      </c>
      <c r="R100" s="18" t="b">
        <v>1</v>
      </c>
      <c r="S100" s="18" t="b">
        <v>1</v>
      </c>
      <c r="T100" s="18" t="b">
        <v>1</v>
      </c>
      <c r="U100" s="14" t="s">
        <v>245</v>
      </c>
    </row>
    <row r="101" spans="1:21" x14ac:dyDescent="0.3">
      <c r="A101" s="14" t="s">
        <v>104</v>
      </c>
      <c r="B101" s="14" t="s">
        <v>356</v>
      </c>
      <c r="C101" s="22"/>
      <c r="D101" s="15">
        <v>0.25</v>
      </c>
      <c r="E101" s="16">
        <v>0.1</v>
      </c>
      <c r="F101" s="17">
        <v>0.1</v>
      </c>
      <c r="G101" s="18">
        <v>15</v>
      </c>
      <c r="H101" s="18">
        <v>1000000</v>
      </c>
      <c r="I101" s="18" t="b">
        <v>0</v>
      </c>
      <c r="J101" s="14" t="s">
        <v>244</v>
      </c>
      <c r="K101" s="15">
        <v>3</v>
      </c>
      <c r="L101" s="16">
        <v>1</v>
      </c>
      <c r="M101" s="17">
        <v>1</v>
      </c>
      <c r="N101" s="18">
        <v>66666.666666666672</v>
      </c>
      <c r="O101" s="15">
        <v>200000</v>
      </c>
      <c r="P101" s="16">
        <v>66666.666666666672</v>
      </c>
      <c r="Q101" s="17">
        <v>66666.666666666672</v>
      </c>
      <c r="R101" s="18" t="b">
        <v>1</v>
      </c>
      <c r="S101" s="18" t="b">
        <v>1</v>
      </c>
      <c r="T101" s="18" t="b">
        <v>1</v>
      </c>
      <c r="U101" s="14" t="s">
        <v>248</v>
      </c>
    </row>
    <row r="102" spans="1:21" x14ac:dyDescent="0.3">
      <c r="A102" s="14" t="s">
        <v>104</v>
      </c>
      <c r="B102" s="14" t="s">
        <v>357</v>
      </c>
      <c r="C102" s="22"/>
      <c r="D102" s="15">
        <v>0.25</v>
      </c>
      <c r="E102" s="16">
        <v>0.1</v>
      </c>
      <c r="F102" s="17">
        <v>0.1</v>
      </c>
      <c r="G102" s="18">
        <v>20</v>
      </c>
      <c r="H102" s="18">
        <v>2500000</v>
      </c>
      <c r="I102" s="18" t="b">
        <v>0</v>
      </c>
      <c r="J102" s="14" t="s">
        <v>244</v>
      </c>
      <c r="K102" s="15">
        <v>5</v>
      </c>
      <c r="L102" s="16">
        <v>2</v>
      </c>
      <c r="M102" s="17">
        <v>2</v>
      </c>
      <c r="N102" s="18">
        <v>125000</v>
      </c>
      <c r="O102" s="15">
        <v>625000</v>
      </c>
      <c r="P102" s="16">
        <v>250000</v>
      </c>
      <c r="Q102" s="17">
        <v>250000</v>
      </c>
      <c r="R102" s="18" t="b">
        <v>1</v>
      </c>
      <c r="S102" s="18" t="b">
        <v>1</v>
      </c>
      <c r="T102" s="18" t="b">
        <v>1</v>
      </c>
      <c r="U102" s="14" t="s">
        <v>248</v>
      </c>
    </row>
    <row r="103" spans="1:21" x14ac:dyDescent="0.3">
      <c r="A103" s="14" t="s">
        <v>104</v>
      </c>
      <c r="B103" s="14" t="s">
        <v>358</v>
      </c>
      <c r="C103" s="22"/>
      <c r="D103" s="15">
        <v>0.25</v>
      </c>
      <c r="E103" s="16">
        <v>0.1</v>
      </c>
      <c r="F103" s="17">
        <v>0.1</v>
      </c>
      <c r="G103" s="18">
        <v>36</v>
      </c>
      <c r="H103" s="18">
        <v>2500000</v>
      </c>
      <c r="I103" s="18" t="b">
        <v>0</v>
      </c>
      <c r="J103" s="14" t="s">
        <v>244</v>
      </c>
      <c r="K103" s="15">
        <v>9</v>
      </c>
      <c r="L103" s="16">
        <v>3</v>
      </c>
      <c r="M103" s="17">
        <v>3</v>
      </c>
      <c r="N103" s="18">
        <v>69444.444444444438</v>
      </c>
      <c r="O103" s="15">
        <v>625000</v>
      </c>
      <c r="P103" s="16">
        <v>208333.33333333331</v>
      </c>
      <c r="Q103" s="17">
        <v>208333.33333333331</v>
      </c>
      <c r="R103" s="18" t="b">
        <v>1</v>
      </c>
      <c r="S103" s="18" t="b">
        <v>1</v>
      </c>
      <c r="T103" s="18" t="b">
        <v>1</v>
      </c>
      <c r="U103" s="14" t="s">
        <v>248</v>
      </c>
    </row>
    <row r="104" spans="1:21" x14ac:dyDescent="0.3">
      <c r="A104" s="14" t="s">
        <v>104</v>
      </c>
      <c r="B104" s="14" t="s">
        <v>359</v>
      </c>
      <c r="C104" s="22"/>
      <c r="D104" s="15">
        <v>0.25</v>
      </c>
      <c r="E104" s="16">
        <v>0.1</v>
      </c>
      <c r="F104" s="17">
        <v>0.1</v>
      </c>
      <c r="G104" s="18">
        <v>39</v>
      </c>
      <c r="H104" s="18">
        <v>1000000</v>
      </c>
      <c r="I104" s="18" t="b">
        <v>0</v>
      </c>
      <c r="J104" s="14" t="s">
        <v>244</v>
      </c>
      <c r="K104" s="15">
        <v>9</v>
      </c>
      <c r="L104" s="16">
        <v>3</v>
      </c>
      <c r="M104" s="17">
        <v>3</v>
      </c>
      <c r="N104" s="18">
        <v>25641.025641025641</v>
      </c>
      <c r="O104" s="15">
        <v>230769.23076923081</v>
      </c>
      <c r="P104" s="16">
        <v>76923.076923076922</v>
      </c>
      <c r="Q104" s="17">
        <v>76923.076923076922</v>
      </c>
      <c r="R104" s="18" t="b">
        <v>1</v>
      </c>
      <c r="S104" s="18" t="b">
        <v>1</v>
      </c>
      <c r="T104" s="18" t="b">
        <v>1</v>
      </c>
      <c r="U104" s="14" t="s">
        <v>248</v>
      </c>
    </row>
    <row r="105" spans="1:21" x14ac:dyDescent="0.3">
      <c r="A105" s="14" t="s">
        <v>104</v>
      </c>
      <c r="B105" s="14" t="s">
        <v>360</v>
      </c>
      <c r="C105" s="22"/>
      <c r="D105" s="15">
        <v>0.25</v>
      </c>
      <c r="E105" s="16">
        <v>0.1</v>
      </c>
      <c r="F105" s="17">
        <v>0.1</v>
      </c>
      <c r="G105" s="18">
        <v>20</v>
      </c>
      <c r="H105" s="18">
        <v>2000000</v>
      </c>
      <c r="I105" s="18" t="b">
        <v>0</v>
      </c>
      <c r="J105" s="14" t="s">
        <v>244</v>
      </c>
      <c r="K105" s="15">
        <v>5</v>
      </c>
      <c r="L105" s="16">
        <v>2</v>
      </c>
      <c r="M105" s="17">
        <v>2</v>
      </c>
      <c r="N105" s="18">
        <v>100000</v>
      </c>
      <c r="O105" s="15">
        <v>500000</v>
      </c>
      <c r="P105" s="16">
        <v>200000</v>
      </c>
      <c r="Q105" s="17">
        <v>200000</v>
      </c>
      <c r="R105" s="18" t="b">
        <v>1</v>
      </c>
      <c r="S105" s="18" t="b">
        <v>1</v>
      </c>
      <c r="T105" s="18" t="b">
        <v>1</v>
      </c>
      <c r="U105" s="14" t="s">
        <v>248</v>
      </c>
    </row>
    <row r="106" spans="1:21" x14ac:dyDescent="0.3">
      <c r="A106" s="14" t="s">
        <v>104</v>
      </c>
      <c r="B106" s="14" t="s">
        <v>361</v>
      </c>
      <c r="C106" s="22"/>
      <c r="D106" s="15">
        <v>0.25</v>
      </c>
      <c r="E106" s="16">
        <v>0.1</v>
      </c>
      <c r="F106" s="17">
        <v>0.1</v>
      </c>
      <c r="G106" s="18">
        <v>13</v>
      </c>
      <c r="H106" s="18">
        <v>1000000</v>
      </c>
      <c r="I106" s="18" t="b">
        <v>0</v>
      </c>
      <c r="J106" s="14" t="s">
        <v>244</v>
      </c>
      <c r="K106" s="15">
        <v>3</v>
      </c>
      <c r="L106" s="16">
        <v>1</v>
      </c>
      <c r="M106" s="17">
        <v>1</v>
      </c>
      <c r="N106" s="18">
        <v>76923.076923076922</v>
      </c>
      <c r="O106" s="15">
        <v>230769.23076923081</v>
      </c>
      <c r="P106" s="16">
        <v>76923.076923076922</v>
      </c>
      <c r="Q106" s="17">
        <v>76923.076923076922</v>
      </c>
      <c r="R106" s="18" t="b">
        <v>1</v>
      </c>
      <c r="S106" s="18" t="b">
        <v>1</v>
      </c>
      <c r="T106" s="18" t="b">
        <v>1</v>
      </c>
      <c r="U106" s="14" t="s">
        <v>248</v>
      </c>
    </row>
    <row r="107" spans="1:21" x14ac:dyDescent="0.3">
      <c r="A107" s="14" t="s">
        <v>104</v>
      </c>
      <c r="B107" s="14" t="s">
        <v>362</v>
      </c>
      <c r="C107" s="22"/>
      <c r="D107" s="15">
        <v>0.25</v>
      </c>
      <c r="E107" s="16">
        <v>0.1</v>
      </c>
      <c r="F107" s="17">
        <v>0.1</v>
      </c>
      <c r="G107" s="18">
        <v>18</v>
      </c>
      <c r="H107" s="18">
        <v>1000000</v>
      </c>
      <c r="I107" s="18" t="b">
        <v>0</v>
      </c>
      <c r="J107" s="14" t="s">
        <v>244</v>
      </c>
      <c r="K107" s="15">
        <v>4</v>
      </c>
      <c r="L107" s="16">
        <v>1</v>
      </c>
      <c r="M107" s="17">
        <v>1</v>
      </c>
      <c r="N107" s="18">
        <v>55555.555555555547</v>
      </c>
      <c r="O107" s="15">
        <v>222222.22222222219</v>
      </c>
      <c r="P107" s="16">
        <v>55555.555555555547</v>
      </c>
      <c r="Q107" s="17">
        <v>55555.555555555547</v>
      </c>
      <c r="R107" s="18" t="b">
        <v>1</v>
      </c>
      <c r="S107" s="18" t="b">
        <v>1</v>
      </c>
      <c r="T107" s="18" t="b">
        <v>1</v>
      </c>
      <c r="U107" s="14" t="s">
        <v>248</v>
      </c>
    </row>
    <row r="108" spans="1:21" x14ac:dyDescent="0.3">
      <c r="A108" s="14" t="s">
        <v>104</v>
      </c>
      <c r="B108" s="14" t="s">
        <v>363</v>
      </c>
      <c r="C108" s="22"/>
      <c r="D108" s="15">
        <v>0.25</v>
      </c>
      <c r="E108" s="16">
        <v>0.1</v>
      </c>
      <c r="F108" s="17">
        <v>0.1</v>
      </c>
      <c r="G108" s="18">
        <v>22</v>
      </c>
      <c r="H108" s="18">
        <v>2000000</v>
      </c>
      <c r="I108" s="18" t="b">
        <v>0</v>
      </c>
      <c r="J108" s="14" t="s">
        <v>244</v>
      </c>
      <c r="K108" s="15">
        <v>5</v>
      </c>
      <c r="L108" s="16">
        <v>2</v>
      </c>
      <c r="M108" s="17">
        <v>2</v>
      </c>
      <c r="N108" s="18">
        <v>90909.090909090912</v>
      </c>
      <c r="O108" s="15">
        <v>454545.45454545459</v>
      </c>
      <c r="P108" s="16">
        <v>181818.18181818179</v>
      </c>
      <c r="Q108" s="17">
        <v>181818.18181818179</v>
      </c>
      <c r="R108" s="18" t="b">
        <v>1</v>
      </c>
      <c r="S108" s="18" t="b">
        <v>1</v>
      </c>
      <c r="T108" s="18" t="b">
        <v>1</v>
      </c>
      <c r="U108" s="14" t="s">
        <v>248</v>
      </c>
    </row>
    <row r="109" spans="1:21" x14ac:dyDescent="0.3">
      <c r="A109" s="14" t="s">
        <v>104</v>
      </c>
      <c r="B109" s="14" t="s">
        <v>364</v>
      </c>
      <c r="C109" s="22"/>
      <c r="D109" s="15">
        <v>0.25</v>
      </c>
      <c r="E109" s="16">
        <v>0.1</v>
      </c>
      <c r="F109" s="17">
        <v>0.1</v>
      </c>
      <c r="G109" s="18">
        <v>62</v>
      </c>
      <c r="H109" s="18">
        <v>2000000</v>
      </c>
      <c r="I109" s="18" t="b">
        <v>0</v>
      </c>
      <c r="J109" s="14" t="s">
        <v>244</v>
      </c>
      <c r="K109" s="15">
        <v>15</v>
      </c>
      <c r="L109" s="16">
        <v>6</v>
      </c>
      <c r="M109" s="17">
        <v>6</v>
      </c>
      <c r="N109" s="18">
        <v>32258.06451612903</v>
      </c>
      <c r="O109" s="15">
        <v>483870.96774193551</v>
      </c>
      <c r="P109" s="16">
        <v>193548.38709677421</v>
      </c>
      <c r="Q109" s="17">
        <v>193548.38709677421</v>
      </c>
      <c r="R109" s="18" t="b">
        <v>1</v>
      </c>
      <c r="S109" s="18" t="b">
        <v>1</v>
      </c>
      <c r="T109" s="18" t="b">
        <v>1</v>
      </c>
      <c r="U109" s="14" t="s">
        <v>248</v>
      </c>
    </row>
    <row r="110" spans="1:21" x14ac:dyDescent="0.3">
      <c r="A110" s="14" t="s">
        <v>104</v>
      </c>
      <c r="B110" s="14" t="s">
        <v>365</v>
      </c>
      <c r="C110" s="22"/>
      <c r="D110" s="15">
        <v>0.25</v>
      </c>
      <c r="E110" s="16">
        <v>0.1</v>
      </c>
      <c r="F110" s="17">
        <v>0.1</v>
      </c>
      <c r="G110" s="18">
        <v>73</v>
      </c>
      <c r="H110" s="18">
        <v>4000000</v>
      </c>
      <c r="I110" s="18" t="b">
        <v>0</v>
      </c>
      <c r="J110" s="14" t="s">
        <v>244</v>
      </c>
      <c r="K110" s="15">
        <v>18</v>
      </c>
      <c r="L110" s="16">
        <v>7</v>
      </c>
      <c r="M110" s="17">
        <v>7</v>
      </c>
      <c r="N110" s="18">
        <v>54794.520547945212</v>
      </c>
      <c r="O110" s="15">
        <v>986301.36986301374</v>
      </c>
      <c r="P110" s="16">
        <v>383561.64383561641</v>
      </c>
      <c r="Q110" s="17">
        <v>383561.64383561641</v>
      </c>
      <c r="R110" s="18" t="b">
        <v>1</v>
      </c>
      <c r="S110" s="18" t="b">
        <v>1</v>
      </c>
      <c r="T110" s="18" t="b">
        <v>1</v>
      </c>
      <c r="U110" s="14" t="s">
        <v>248</v>
      </c>
    </row>
    <row r="111" spans="1:21" x14ac:dyDescent="0.3">
      <c r="A111" s="14" t="s">
        <v>104</v>
      </c>
      <c r="B111" s="14" t="s">
        <v>366</v>
      </c>
      <c r="C111" s="22"/>
      <c r="D111" s="15">
        <v>0.25</v>
      </c>
      <c r="E111" s="16">
        <v>0.1</v>
      </c>
      <c r="F111" s="17">
        <v>0.1</v>
      </c>
      <c r="G111" s="18">
        <v>22</v>
      </c>
      <c r="H111" s="18">
        <v>2000000</v>
      </c>
      <c r="I111" s="18" t="b">
        <v>0</v>
      </c>
      <c r="J111" s="14" t="s">
        <v>244</v>
      </c>
      <c r="K111" s="15">
        <v>5</v>
      </c>
      <c r="L111" s="16">
        <v>2</v>
      </c>
      <c r="M111" s="17">
        <v>2</v>
      </c>
      <c r="N111" s="18">
        <v>90909.090909090912</v>
      </c>
      <c r="O111" s="15">
        <v>454545.45454545459</v>
      </c>
      <c r="P111" s="16">
        <v>181818.18181818179</v>
      </c>
      <c r="Q111" s="17">
        <v>181818.18181818179</v>
      </c>
      <c r="R111" s="18" t="b">
        <v>1</v>
      </c>
      <c r="S111" s="18" t="b">
        <v>1</v>
      </c>
      <c r="T111" s="18" t="b">
        <v>1</v>
      </c>
      <c r="U111" s="14" t="s">
        <v>248</v>
      </c>
    </row>
    <row r="112" spans="1:21" x14ac:dyDescent="0.3">
      <c r="A112" s="14" t="s">
        <v>104</v>
      </c>
      <c r="B112" s="14" t="s">
        <v>367</v>
      </c>
      <c r="C112" s="22"/>
      <c r="D112" s="15">
        <v>0.25</v>
      </c>
      <c r="E112" s="16">
        <v>0.1</v>
      </c>
      <c r="F112" s="17">
        <v>0.1</v>
      </c>
      <c r="G112" s="18">
        <v>12</v>
      </c>
      <c r="H112" s="18">
        <v>1500000</v>
      </c>
      <c r="I112" s="18" t="b">
        <v>0</v>
      </c>
      <c r="J112" s="14" t="s">
        <v>244</v>
      </c>
      <c r="K112" s="15">
        <v>3</v>
      </c>
      <c r="L112" s="16">
        <v>1</v>
      </c>
      <c r="M112" s="17">
        <v>1</v>
      </c>
      <c r="N112" s="18">
        <v>125000</v>
      </c>
      <c r="O112" s="15">
        <v>375000</v>
      </c>
      <c r="P112" s="16">
        <v>125000</v>
      </c>
      <c r="Q112" s="17">
        <v>125000</v>
      </c>
      <c r="R112" s="18" t="b">
        <v>1</v>
      </c>
      <c r="S112" s="18" t="b">
        <v>1</v>
      </c>
      <c r="T112" s="18" t="b">
        <v>1</v>
      </c>
      <c r="U112" s="14" t="s">
        <v>248</v>
      </c>
    </row>
    <row r="113" spans="1:21" x14ac:dyDescent="0.3">
      <c r="A113" s="14" t="s">
        <v>104</v>
      </c>
      <c r="B113" s="14" t="s">
        <v>368</v>
      </c>
      <c r="C113" s="22"/>
      <c r="D113" s="15">
        <v>0.25</v>
      </c>
      <c r="E113" s="16">
        <v>0.1</v>
      </c>
      <c r="F113" s="17">
        <v>0.1</v>
      </c>
      <c r="G113" s="18">
        <v>25</v>
      </c>
      <c r="H113" s="18">
        <v>1000000</v>
      </c>
      <c r="I113" s="18" t="b">
        <v>0</v>
      </c>
      <c r="J113" s="14" t="s">
        <v>244</v>
      </c>
      <c r="K113" s="15">
        <v>6</v>
      </c>
      <c r="L113" s="16">
        <v>2</v>
      </c>
      <c r="M113" s="17">
        <v>2</v>
      </c>
      <c r="N113" s="18">
        <v>40000</v>
      </c>
      <c r="O113" s="15">
        <v>240000</v>
      </c>
      <c r="P113" s="16">
        <v>80000</v>
      </c>
      <c r="Q113" s="17">
        <v>80000</v>
      </c>
      <c r="R113" s="18" t="b">
        <v>1</v>
      </c>
      <c r="S113" s="18" t="b">
        <v>1</v>
      </c>
      <c r="T113" s="18" t="b">
        <v>1</v>
      </c>
      <c r="U113" s="14" t="s">
        <v>248</v>
      </c>
    </row>
    <row r="114" spans="1:21" x14ac:dyDescent="0.3">
      <c r="A114" s="14" t="s">
        <v>104</v>
      </c>
      <c r="B114" s="14" t="s">
        <v>369</v>
      </c>
      <c r="C114" s="22"/>
      <c r="D114" s="15">
        <v>0.25</v>
      </c>
      <c r="E114" s="16">
        <v>0.1</v>
      </c>
      <c r="F114" s="17">
        <v>0.1</v>
      </c>
      <c r="G114" s="18">
        <v>27</v>
      </c>
      <c r="H114" s="18">
        <v>3500000</v>
      </c>
      <c r="I114" s="18" t="b">
        <v>0</v>
      </c>
      <c r="J114" s="14" t="s">
        <v>244</v>
      </c>
      <c r="K114" s="15">
        <v>6</v>
      </c>
      <c r="L114" s="16">
        <v>2</v>
      </c>
      <c r="M114" s="17">
        <v>2</v>
      </c>
      <c r="N114" s="18">
        <v>129629.62962962961</v>
      </c>
      <c r="O114" s="15">
        <v>777777.77777777775</v>
      </c>
      <c r="P114" s="16">
        <v>259259.2592592593</v>
      </c>
      <c r="Q114" s="17">
        <v>259259.2592592593</v>
      </c>
      <c r="R114" s="18" t="b">
        <v>1</v>
      </c>
      <c r="S114" s="18" t="b">
        <v>1</v>
      </c>
      <c r="T114" s="18" t="b">
        <v>1</v>
      </c>
      <c r="U114" s="14" t="s">
        <v>248</v>
      </c>
    </row>
    <row r="115" spans="1:21" x14ac:dyDescent="0.3">
      <c r="A115" s="14" t="s">
        <v>104</v>
      </c>
      <c r="B115" s="14" t="s">
        <v>370</v>
      </c>
      <c r="C115" s="22"/>
      <c r="D115" s="15">
        <v>0.25</v>
      </c>
      <c r="E115" s="16">
        <v>0.1</v>
      </c>
      <c r="F115" s="17">
        <v>0.1</v>
      </c>
      <c r="G115" s="18">
        <v>32</v>
      </c>
      <c r="H115" s="18">
        <v>6050000</v>
      </c>
      <c r="I115" s="18" t="b">
        <v>0</v>
      </c>
      <c r="J115" s="14" t="s">
        <v>244</v>
      </c>
      <c r="K115" s="15">
        <v>8</v>
      </c>
      <c r="L115" s="16">
        <v>3</v>
      </c>
      <c r="M115" s="17">
        <v>3</v>
      </c>
      <c r="N115" s="18">
        <v>189062.5</v>
      </c>
      <c r="O115" s="15">
        <v>1512500</v>
      </c>
      <c r="P115" s="16">
        <v>567187.5</v>
      </c>
      <c r="Q115" s="17">
        <v>567187.5</v>
      </c>
      <c r="R115" s="18" t="b">
        <v>1</v>
      </c>
      <c r="S115" s="18" t="b">
        <v>1</v>
      </c>
      <c r="T115" s="18" t="b">
        <v>1</v>
      </c>
      <c r="U115" s="14" t="s">
        <v>248</v>
      </c>
    </row>
    <row r="116" spans="1:21" x14ac:dyDescent="0.3">
      <c r="A116" s="14" t="s">
        <v>104</v>
      </c>
      <c r="B116" s="14" t="s">
        <v>371</v>
      </c>
      <c r="C116" s="22"/>
      <c r="D116" s="15">
        <v>0.25</v>
      </c>
      <c r="E116" s="16">
        <v>0.1</v>
      </c>
      <c r="F116" s="17">
        <v>0.1</v>
      </c>
      <c r="G116" s="18">
        <v>10</v>
      </c>
      <c r="H116" s="18">
        <v>1000000</v>
      </c>
      <c r="I116" s="18" t="b">
        <v>0</v>
      </c>
      <c r="J116" s="14" t="s">
        <v>244</v>
      </c>
      <c r="K116" s="15">
        <v>2</v>
      </c>
      <c r="L116" s="16">
        <v>1</v>
      </c>
      <c r="M116" s="17">
        <v>1</v>
      </c>
      <c r="N116" s="18">
        <v>100000</v>
      </c>
      <c r="O116" s="15">
        <v>200000</v>
      </c>
      <c r="P116" s="16">
        <v>100000</v>
      </c>
      <c r="Q116" s="17">
        <v>100000</v>
      </c>
      <c r="R116" s="18" t="b">
        <v>1</v>
      </c>
      <c r="S116" s="18" t="b">
        <v>1</v>
      </c>
      <c r="T116" s="18" t="b">
        <v>1</v>
      </c>
      <c r="U116" s="14" t="s">
        <v>248</v>
      </c>
    </row>
    <row r="117" spans="1:21" x14ac:dyDescent="0.3">
      <c r="A117" s="14" t="s">
        <v>92</v>
      </c>
      <c r="B117" s="14" t="s">
        <v>372</v>
      </c>
      <c r="C117" s="22"/>
      <c r="D117" s="15">
        <v>0.25</v>
      </c>
      <c r="E117" s="16">
        <v>0.1</v>
      </c>
      <c r="F117" s="17">
        <v>0.05</v>
      </c>
      <c r="G117" s="18">
        <v>209</v>
      </c>
      <c r="H117" s="18">
        <v>6450000</v>
      </c>
      <c r="I117" s="18" t="b">
        <v>0</v>
      </c>
      <c r="J117" s="14" t="s">
        <v>244</v>
      </c>
      <c r="K117" s="15">
        <v>52</v>
      </c>
      <c r="L117" s="16">
        <v>20</v>
      </c>
      <c r="M117" s="17">
        <v>10</v>
      </c>
      <c r="N117" s="18">
        <v>30861.244019138761</v>
      </c>
      <c r="O117" s="15">
        <v>1604784.6889952151</v>
      </c>
      <c r="P117" s="16">
        <v>617224.8803827751</v>
      </c>
      <c r="Q117" s="17">
        <v>308612.44019138749</v>
      </c>
      <c r="R117" s="18" t="b">
        <v>1</v>
      </c>
      <c r="S117" s="18" t="b">
        <v>1</v>
      </c>
      <c r="T117" s="18" t="b">
        <v>1</v>
      </c>
      <c r="U117" s="14" t="s">
        <v>245</v>
      </c>
    </row>
    <row r="118" spans="1:21" x14ac:dyDescent="0.3">
      <c r="A118" s="14" t="s">
        <v>92</v>
      </c>
      <c r="B118" s="14" t="s">
        <v>373</v>
      </c>
      <c r="C118" s="22"/>
      <c r="D118" s="15">
        <v>0.25</v>
      </c>
      <c r="E118" s="16">
        <v>0.1</v>
      </c>
      <c r="F118" s="17">
        <v>0.05</v>
      </c>
      <c r="G118" s="18">
        <v>30</v>
      </c>
      <c r="H118" s="18">
        <v>5700000</v>
      </c>
      <c r="I118" s="18" t="b">
        <v>0</v>
      </c>
      <c r="J118" s="14" t="s">
        <v>244</v>
      </c>
      <c r="K118" s="15">
        <v>7</v>
      </c>
      <c r="L118" s="16">
        <v>3</v>
      </c>
      <c r="M118" s="17">
        <v>1</v>
      </c>
      <c r="N118" s="18">
        <v>190000</v>
      </c>
      <c r="O118" s="15">
        <v>1330000</v>
      </c>
      <c r="P118" s="16">
        <v>570000</v>
      </c>
      <c r="Q118" s="17">
        <v>190000</v>
      </c>
      <c r="R118" s="18" t="b">
        <v>1</v>
      </c>
      <c r="S118" s="18" t="b">
        <v>1</v>
      </c>
      <c r="T118" s="18" t="b">
        <v>1</v>
      </c>
      <c r="U118" s="14" t="s">
        <v>248</v>
      </c>
    </row>
    <row r="119" spans="1:21" x14ac:dyDescent="0.3">
      <c r="A119" s="14" t="s">
        <v>92</v>
      </c>
      <c r="B119" s="14" t="s">
        <v>374</v>
      </c>
      <c r="C119" s="22"/>
      <c r="D119" s="15">
        <v>0.25</v>
      </c>
      <c r="E119" s="16">
        <v>0.1</v>
      </c>
      <c r="F119" s="17">
        <v>0.05</v>
      </c>
      <c r="G119" s="18">
        <v>35</v>
      </c>
      <c r="H119" s="18">
        <v>4900000</v>
      </c>
      <c r="I119" s="18" t="b">
        <v>0</v>
      </c>
      <c r="J119" s="14" t="s">
        <v>244</v>
      </c>
      <c r="K119" s="15">
        <v>8</v>
      </c>
      <c r="L119" s="16">
        <v>3</v>
      </c>
      <c r="M119" s="17">
        <v>1</v>
      </c>
      <c r="N119" s="18">
        <v>140000</v>
      </c>
      <c r="O119" s="15">
        <v>1120000</v>
      </c>
      <c r="P119" s="16">
        <v>420000</v>
      </c>
      <c r="Q119" s="17">
        <v>140000</v>
      </c>
      <c r="R119" s="18" t="b">
        <v>1</v>
      </c>
      <c r="S119" s="18" t="b">
        <v>1</v>
      </c>
      <c r="T119" s="18" t="b">
        <v>1</v>
      </c>
      <c r="U119" s="14" t="s">
        <v>248</v>
      </c>
    </row>
    <row r="120" spans="1:21" x14ac:dyDescent="0.3">
      <c r="A120" s="14" t="s">
        <v>92</v>
      </c>
      <c r="B120" s="14" t="s">
        <v>375</v>
      </c>
      <c r="C120" s="22"/>
      <c r="D120" s="15">
        <v>0.25</v>
      </c>
      <c r="E120" s="16">
        <v>0.1</v>
      </c>
      <c r="F120" s="17">
        <v>0.05</v>
      </c>
      <c r="G120" s="18">
        <v>310</v>
      </c>
      <c r="H120" s="18">
        <v>5700000</v>
      </c>
      <c r="I120" s="18" t="b">
        <v>0</v>
      </c>
      <c r="J120" s="14" t="s">
        <v>244</v>
      </c>
      <c r="K120" s="15">
        <v>77</v>
      </c>
      <c r="L120" s="16">
        <v>31</v>
      </c>
      <c r="M120" s="17">
        <v>15</v>
      </c>
      <c r="N120" s="18">
        <v>18387.096774193549</v>
      </c>
      <c r="O120" s="15">
        <v>1415806.451612903</v>
      </c>
      <c r="P120" s="16">
        <v>570000</v>
      </c>
      <c r="Q120" s="17">
        <v>275806.45161290321</v>
      </c>
      <c r="R120" s="18" t="b">
        <v>1</v>
      </c>
      <c r="S120" s="18" t="b">
        <v>1</v>
      </c>
      <c r="T120" s="18" t="b">
        <v>1</v>
      </c>
      <c r="U120" s="14" t="s">
        <v>253</v>
      </c>
    </row>
    <row r="121" spans="1:21" x14ac:dyDescent="0.3">
      <c r="A121" s="14" t="s">
        <v>273</v>
      </c>
      <c r="B121" s="14" t="s">
        <v>376</v>
      </c>
      <c r="C121" s="22"/>
      <c r="D121" s="15">
        <v>0.25</v>
      </c>
      <c r="E121" s="16">
        <v>0.1</v>
      </c>
      <c r="F121" s="17">
        <v>0.05</v>
      </c>
      <c r="G121" s="18">
        <v>23</v>
      </c>
      <c r="H121" s="18">
        <v>2760000</v>
      </c>
      <c r="I121" s="18" t="b">
        <v>0</v>
      </c>
      <c r="J121" s="14" t="s">
        <v>244</v>
      </c>
      <c r="K121" s="15">
        <v>5</v>
      </c>
      <c r="L121" s="16">
        <v>2</v>
      </c>
      <c r="M121" s="17">
        <v>1</v>
      </c>
      <c r="N121" s="18">
        <v>120000</v>
      </c>
      <c r="O121" s="15">
        <v>600000</v>
      </c>
      <c r="P121" s="16">
        <v>240000</v>
      </c>
      <c r="Q121" s="17">
        <v>120000</v>
      </c>
      <c r="R121" s="18" t="b">
        <v>1</v>
      </c>
      <c r="S121" s="18" t="b">
        <v>1</v>
      </c>
      <c r="T121" s="18" t="b">
        <v>1</v>
      </c>
      <c r="U121" s="14" t="s">
        <v>245</v>
      </c>
    </row>
    <row r="122" spans="1:21" x14ac:dyDescent="0.3">
      <c r="A122" s="14" t="s">
        <v>273</v>
      </c>
      <c r="B122" s="14" t="s">
        <v>377</v>
      </c>
      <c r="C122" s="22"/>
      <c r="D122" s="15">
        <v>0.25</v>
      </c>
      <c r="E122" s="16">
        <v>0.1</v>
      </c>
      <c r="F122" s="17">
        <v>0.05</v>
      </c>
      <c r="G122" s="18">
        <v>10</v>
      </c>
      <c r="H122" s="18">
        <v>1000000</v>
      </c>
      <c r="I122" s="18" t="b">
        <v>0</v>
      </c>
      <c r="J122" s="14" t="s">
        <v>244</v>
      </c>
      <c r="K122" s="15">
        <v>2</v>
      </c>
      <c r="L122" s="16">
        <v>1</v>
      </c>
      <c r="M122" s="17">
        <v>0</v>
      </c>
      <c r="N122" s="18">
        <v>100000</v>
      </c>
      <c r="O122" s="15">
        <v>200000</v>
      </c>
      <c r="P122" s="16">
        <v>100000</v>
      </c>
      <c r="Q122" s="17">
        <v>0</v>
      </c>
      <c r="R122" s="18" t="b">
        <v>1</v>
      </c>
      <c r="S122" s="18" t="b">
        <v>1</v>
      </c>
      <c r="T122" s="18" t="b">
        <v>1</v>
      </c>
      <c r="U122" s="14" t="s">
        <v>248</v>
      </c>
    </row>
    <row r="123" spans="1:21" x14ac:dyDescent="0.3">
      <c r="A123" s="14" t="s">
        <v>273</v>
      </c>
      <c r="B123" s="14" t="s">
        <v>378</v>
      </c>
      <c r="C123" s="22"/>
      <c r="D123" s="15">
        <v>0.25</v>
      </c>
      <c r="E123" s="16">
        <v>0.1</v>
      </c>
      <c r="F123" s="17">
        <v>0.05</v>
      </c>
      <c r="G123" s="18">
        <v>8</v>
      </c>
      <c r="H123" s="18">
        <v>640000</v>
      </c>
      <c r="I123" s="18" t="b">
        <v>0</v>
      </c>
      <c r="J123" s="14" t="s">
        <v>244</v>
      </c>
      <c r="K123" s="15">
        <v>2</v>
      </c>
      <c r="L123" s="16">
        <v>0</v>
      </c>
      <c r="M123" s="17">
        <v>0</v>
      </c>
      <c r="N123" s="18">
        <v>80000</v>
      </c>
      <c r="O123" s="15">
        <v>160000</v>
      </c>
      <c r="P123" s="16">
        <v>0</v>
      </c>
      <c r="Q123" s="17">
        <v>0</v>
      </c>
      <c r="R123" s="18" t="b">
        <v>1</v>
      </c>
      <c r="S123" s="18" t="b">
        <v>1</v>
      </c>
      <c r="T123" s="18" t="b">
        <v>1</v>
      </c>
      <c r="U123" s="14" t="s">
        <v>248</v>
      </c>
    </row>
    <row r="124" spans="1:21" x14ac:dyDescent="0.3">
      <c r="A124" s="14" t="s">
        <v>273</v>
      </c>
      <c r="B124" s="14" t="s">
        <v>379</v>
      </c>
      <c r="C124" s="22"/>
      <c r="D124" s="15">
        <v>0.25</v>
      </c>
      <c r="E124" s="16">
        <v>0.1</v>
      </c>
      <c r="F124" s="17">
        <v>0.05</v>
      </c>
      <c r="G124" s="18">
        <v>53</v>
      </c>
      <c r="H124" s="18">
        <v>4500000</v>
      </c>
      <c r="I124" s="18" t="b">
        <v>0</v>
      </c>
      <c r="J124" s="14" t="s">
        <v>244</v>
      </c>
      <c r="K124" s="15">
        <v>13</v>
      </c>
      <c r="L124" s="16">
        <v>5</v>
      </c>
      <c r="M124" s="17">
        <v>2</v>
      </c>
      <c r="N124" s="18">
        <v>84905.660377358494</v>
      </c>
      <c r="O124" s="15">
        <v>1103773.58490566</v>
      </c>
      <c r="P124" s="16">
        <v>424528.30188679253</v>
      </c>
      <c r="Q124" s="17">
        <v>169811.32075471699</v>
      </c>
      <c r="R124" s="18" t="b">
        <v>1</v>
      </c>
      <c r="S124" s="18" t="b">
        <v>1</v>
      </c>
      <c r="T124" s="18" t="b">
        <v>1</v>
      </c>
      <c r="U124" s="14" t="s">
        <v>248</v>
      </c>
    </row>
    <row r="125" spans="1:21" x14ac:dyDescent="0.3">
      <c r="A125" s="14" t="s">
        <v>273</v>
      </c>
      <c r="B125" s="14" t="s">
        <v>380</v>
      </c>
      <c r="C125" s="22"/>
      <c r="D125" s="15">
        <v>0.25</v>
      </c>
      <c r="E125" s="16">
        <v>0.1</v>
      </c>
      <c r="F125" s="17">
        <v>0.05</v>
      </c>
      <c r="G125" s="18">
        <v>23</v>
      </c>
      <c r="H125" s="18">
        <v>1400000</v>
      </c>
      <c r="I125" s="18" t="b">
        <v>0</v>
      </c>
      <c r="J125" s="14" t="s">
        <v>244</v>
      </c>
      <c r="K125" s="15">
        <v>5</v>
      </c>
      <c r="L125" s="16">
        <v>2</v>
      </c>
      <c r="M125" s="17">
        <v>1</v>
      </c>
      <c r="N125" s="18">
        <v>60869.565217391297</v>
      </c>
      <c r="O125" s="15">
        <v>304347.82608695648</v>
      </c>
      <c r="P125" s="16">
        <v>121739.13043478259</v>
      </c>
      <c r="Q125" s="17">
        <v>60869.565217391297</v>
      </c>
      <c r="R125" s="18" t="b">
        <v>1</v>
      </c>
      <c r="S125" s="18" t="b">
        <v>1</v>
      </c>
      <c r="T125" s="18" t="b">
        <v>1</v>
      </c>
      <c r="U125" s="14" t="s">
        <v>248</v>
      </c>
    </row>
    <row r="126" spans="1:21" x14ac:dyDescent="0.3">
      <c r="A126" s="14" t="s">
        <v>273</v>
      </c>
      <c r="B126" s="14" t="s">
        <v>381</v>
      </c>
      <c r="C126" s="22"/>
      <c r="D126" s="15">
        <v>0.25</v>
      </c>
      <c r="E126" s="16">
        <v>0.1</v>
      </c>
      <c r="F126" s="17">
        <v>0.05</v>
      </c>
      <c r="G126" s="18">
        <v>12</v>
      </c>
      <c r="H126" s="18">
        <v>360000</v>
      </c>
      <c r="I126" s="18" t="b">
        <v>0</v>
      </c>
      <c r="J126" s="14" t="s">
        <v>244</v>
      </c>
      <c r="K126" s="15">
        <v>3</v>
      </c>
      <c r="L126" s="16">
        <v>1</v>
      </c>
      <c r="M126" s="17">
        <v>0</v>
      </c>
      <c r="N126" s="18">
        <v>30000</v>
      </c>
      <c r="O126" s="15">
        <v>90000</v>
      </c>
      <c r="P126" s="16">
        <v>30000</v>
      </c>
      <c r="Q126" s="17">
        <v>0</v>
      </c>
      <c r="R126" s="18" t="b">
        <v>1</v>
      </c>
      <c r="S126" s="18" t="b">
        <v>1</v>
      </c>
      <c r="T126" s="18" t="b">
        <v>1</v>
      </c>
      <c r="U126" s="14" t="s">
        <v>253</v>
      </c>
    </row>
    <row r="127" spans="1:21" x14ac:dyDescent="0.3">
      <c r="A127" s="14" t="s">
        <v>125</v>
      </c>
      <c r="B127" s="14" t="s">
        <v>382</v>
      </c>
      <c r="C127" s="22"/>
      <c r="D127" s="15">
        <v>0.25</v>
      </c>
      <c r="E127" s="16">
        <v>0.1</v>
      </c>
      <c r="F127" s="17">
        <v>0.05</v>
      </c>
      <c r="G127" s="18">
        <v>32</v>
      </c>
      <c r="H127" s="18">
        <v>600000</v>
      </c>
      <c r="I127" s="18" t="b">
        <v>0</v>
      </c>
      <c r="J127" s="14" t="s">
        <v>244</v>
      </c>
      <c r="K127" s="15">
        <v>8</v>
      </c>
      <c r="L127" s="16">
        <v>3</v>
      </c>
      <c r="M127" s="17">
        <v>1</v>
      </c>
      <c r="N127" s="18">
        <v>18750</v>
      </c>
      <c r="O127" s="15">
        <v>150000</v>
      </c>
      <c r="P127" s="16">
        <v>56250</v>
      </c>
      <c r="Q127" s="17">
        <v>18750</v>
      </c>
      <c r="R127" s="18" t="b">
        <v>1</v>
      </c>
      <c r="S127" s="18" t="b">
        <v>1</v>
      </c>
      <c r="T127" s="18" t="b">
        <v>1</v>
      </c>
      <c r="U127" s="14" t="s">
        <v>383</v>
      </c>
    </row>
    <row r="128" spans="1:21" x14ac:dyDescent="0.3">
      <c r="A128" s="14" t="s">
        <v>125</v>
      </c>
      <c r="B128" s="14" t="s">
        <v>384</v>
      </c>
      <c r="C128" s="22"/>
      <c r="D128" s="15">
        <v>0.25</v>
      </c>
      <c r="E128" s="16">
        <v>0.15</v>
      </c>
      <c r="F128" s="17">
        <v>7.4999999999999997E-2</v>
      </c>
      <c r="G128" s="18">
        <v>40</v>
      </c>
      <c r="H128" s="18">
        <v>2428000</v>
      </c>
      <c r="I128" s="18" t="b">
        <v>0</v>
      </c>
      <c r="J128" s="14" t="s">
        <v>244</v>
      </c>
      <c r="K128" s="15">
        <v>10</v>
      </c>
      <c r="L128" s="16">
        <v>6</v>
      </c>
      <c r="M128" s="17">
        <v>3</v>
      </c>
      <c r="N128" s="18">
        <v>60700</v>
      </c>
      <c r="O128" s="15">
        <v>607000</v>
      </c>
      <c r="P128" s="16">
        <v>364200</v>
      </c>
      <c r="Q128" s="17">
        <v>182100</v>
      </c>
      <c r="R128" s="18" t="b">
        <v>1</v>
      </c>
      <c r="S128" s="18" t="b">
        <v>1</v>
      </c>
      <c r="T128" s="18" t="b">
        <v>1</v>
      </c>
      <c r="U128" s="14" t="s">
        <v>245</v>
      </c>
    </row>
    <row r="129" spans="1:21" x14ac:dyDescent="0.3">
      <c r="A129" s="14" t="s">
        <v>125</v>
      </c>
      <c r="B129" s="14" t="s">
        <v>385</v>
      </c>
      <c r="C129" s="22"/>
      <c r="D129" s="15">
        <v>0.25</v>
      </c>
      <c r="E129" s="16">
        <v>0.1</v>
      </c>
      <c r="F129" s="17">
        <v>0.05</v>
      </c>
      <c r="G129" s="18">
        <v>2</v>
      </c>
      <c r="H129" s="18">
        <v>600000</v>
      </c>
      <c r="I129" s="18" t="b">
        <v>0</v>
      </c>
      <c r="J129" s="14" t="s">
        <v>244</v>
      </c>
      <c r="K129" s="15">
        <v>0</v>
      </c>
      <c r="L129" s="16">
        <v>0</v>
      </c>
      <c r="M129" s="17">
        <v>0</v>
      </c>
      <c r="N129" s="18">
        <v>300000</v>
      </c>
      <c r="O129" s="15">
        <v>0</v>
      </c>
      <c r="P129" s="16">
        <v>0</v>
      </c>
      <c r="Q129" s="17">
        <v>0</v>
      </c>
      <c r="R129" s="18" t="b">
        <v>1</v>
      </c>
      <c r="S129" s="18" t="b">
        <v>1</v>
      </c>
      <c r="T129" s="18" t="b">
        <v>1</v>
      </c>
      <c r="U129" s="14" t="s">
        <v>245</v>
      </c>
    </row>
    <row r="130" spans="1:21" x14ac:dyDescent="0.3">
      <c r="A130" s="14" t="s">
        <v>125</v>
      </c>
      <c r="B130" s="14" t="s">
        <v>386</v>
      </c>
      <c r="C130" s="22"/>
      <c r="D130" s="15">
        <v>0.25</v>
      </c>
      <c r="E130" s="16">
        <v>0.1</v>
      </c>
      <c r="F130" s="17">
        <v>0.05</v>
      </c>
      <c r="G130" s="18">
        <v>4</v>
      </c>
      <c r="H130" s="18">
        <v>400000</v>
      </c>
      <c r="I130" s="18" t="b">
        <v>0</v>
      </c>
      <c r="J130" s="14" t="s">
        <v>244</v>
      </c>
      <c r="K130" s="15">
        <v>1</v>
      </c>
      <c r="L130" s="16">
        <v>0</v>
      </c>
      <c r="M130" s="17">
        <v>0</v>
      </c>
      <c r="N130" s="18">
        <v>100000</v>
      </c>
      <c r="O130" s="15">
        <v>100000</v>
      </c>
      <c r="P130" s="16">
        <v>0</v>
      </c>
      <c r="Q130" s="17">
        <v>0</v>
      </c>
      <c r="R130" s="18" t="b">
        <v>1</v>
      </c>
      <c r="S130" s="18" t="b">
        <v>1</v>
      </c>
      <c r="T130" s="18" t="b">
        <v>1</v>
      </c>
      <c r="U130" s="14" t="s">
        <v>248</v>
      </c>
    </row>
    <row r="131" spans="1:21" x14ac:dyDescent="0.3">
      <c r="A131" s="14" t="s">
        <v>125</v>
      </c>
      <c r="B131" s="14" t="s">
        <v>387</v>
      </c>
      <c r="C131" s="22"/>
      <c r="D131" s="15">
        <v>0.25</v>
      </c>
      <c r="E131" s="16">
        <v>0.1</v>
      </c>
      <c r="F131" s="17">
        <v>0.05</v>
      </c>
      <c r="G131" s="18">
        <v>50</v>
      </c>
      <c r="H131" s="18">
        <v>750000</v>
      </c>
      <c r="I131" s="18" t="b">
        <v>0</v>
      </c>
      <c r="J131" s="14" t="s">
        <v>244</v>
      </c>
      <c r="K131" s="15">
        <v>12</v>
      </c>
      <c r="L131" s="16">
        <v>5</v>
      </c>
      <c r="M131" s="17">
        <v>2</v>
      </c>
      <c r="N131" s="18">
        <v>15000</v>
      </c>
      <c r="O131" s="15">
        <v>180000</v>
      </c>
      <c r="P131" s="16">
        <v>75000</v>
      </c>
      <c r="Q131" s="17">
        <v>30000</v>
      </c>
      <c r="R131" s="18" t="b">
        <v>1</v>
      </c>
      <c r="S131" s="18" t="b">
        <v>1</v>
      </c>
      <c r="T131" s="18" t="b">
        <v>1</v>
      </c>
      <c r="U131" s="14" t="s">
        <v>248</v>
      </c>
    </row>
    <row r="132" spans="1:21" x14ac:dyDescent="0.3">
      <c r="A132" s="14" t="s">
        <v>125</v>
      </c>
      <c r="B132" s="14" t="s">
        <v>388</v>
      </c>
      <c r="C132" s="22"/>
      <c r="D132" s="15">
        <v>0.25</v>
      </c>
      <c r="E132" s="16">
        <v>0.1</v>
      </c>
      <c r="F132" s="17">
        <v>0.05</v>
      </c>
      <c r="G132" s="18">
        <v>39</v>
      </c>
      <c r="H132" s="18">
        <v>500000</v>
      </c>
      <c r="I132" s="18" t="b">
        <v>0</v>
      </c>
      <c r="J132" s="14" t="s">
        <v>244</v>
      </c>
      <c r="K132" s="15">
        <v>9</v>
      </c>
      <c r="L132" s="16">
        <v>3</v>
      </c>
      <c r="M132" s="17">
        <v>1</v>
      </c>
      <c r="N132" s="18">
        <v>12820.51282051282</v>
      </c>
      <c r="O132" s="15">
        <v>115384.6153846154</v>
      </c>
      <c r="P132" s="16">
        <v>38461.538461538461</v>
      </c>
      <c r="Q132" s="17">
        <v>12820.51282051282</v>
      </c>
      <c r="R132" s="18" t="b">
        <v>1</v>
      </c>
      <c r="S132" s="18" t="b">
        <v>1</v>
      </c>
      <c r="T132" s="18" t="b">
        <v>1</v>
      </c>
      <c r="U132" s="14" t="s">
        <v>248</v>
      </c>
    </row>
    <row r="133" spans="1:21" x14ac:dyDescent="0.3">
      <c r="A133" s="14" t="s">
        <v>125</v>
      </c>
      <c r="B133" s="14" t="s">
        <v>389</v>
      </c>
      <c r="C133" s="22"/>
      <c r="D133" s="15">
        <v>0.25</v>
      </c>
      <c r="E133" s="16">
        <v>0.1</v>
      </c>
      <c r="F133" s="17">
        <v>0.05</v>
      </c>
      <c r="G133" s="18">
        <v>32</v>
      </c>
      <c r="H133" s="18">
        <v>700000</v>
      </c>
      <c r="I133" s="18" t="b">
        <v>0</v>
      </c>
      <c r="J133" s="14" t="s">
        <v>244</v>
      </c>
      <c r="K133" s="15">
        <v>8</v>
      </c>
      <c r="L133" s="16">
        <v>3</v>
      </c>
      <c r="M133" s="17">
        <v>1</v>
      </c>
      <c r="N133" s="18">
        <v>21875</v>
      </c>
      <c r="O133" s="15">
        <v>175000</v>
      </c>
      <c r="P133" s="16">
        <v>65625</v>
      </c>
      <c r="Q133" s="17">
        <v>21875</v>
      </c>
      <c r="R133" s="18" t="b">
        <v>1</v>
      </c>
      <c r="S133" s="18" t="b">
        <v>1</v>
      </c>
      <c r="T133" s="18" t="b">
        <v>1</v>
      </c>
      <c r="U133" s="14" t="s">
        <v>248</v>
      </c>
    </row>
    <row r="134" spans="1:21" x14ac:dyDescent="0.3">
      <c r="A134" s="14" t="s">
        <v>125</v>
      </c>
      <c r="B134" s="14" t="s">
        <v>390</v>
      </c>
      <c r="C134" s="22"/>
      <c r="D134" s="15">
        <v>0.25</v>
      </c>
      <c r="E134" s="16">
        <v>0.1</v>
      </c>
      <c r="F134" s="17">
        <v>0.05</v>
      </c>
      <c r="G134" s="18">
        <v>90</v>
      </c>
      <c r="H134" s="18">
        <v>300000</v>
      </c>
      <c r="I134" s="18" t="b">
        <v>0</v>
      </c>
      <c r="J134" s="14" t="s">
        <v>244</v>
      </c>
      <c r="K134" s="15">
        <v>22</v>
      </c>
      <c r="L134" s="16">
        <v>9</v>
      </c>
      <c r="M134" s="17">
        <v>4</v>
      </c>
      <c r="N134" s="18">
        <v>3333.333333333333</v>
      </c>
      <c r="O134" s="15">
        <v>73333.333333333343</v>
      </c>
      <c r="P134" s="16">
        <v>30000</v>
      </c>
      <c r="Q134" s="17">
        <v>13333.33333333333</v>
      </c>
      <c r="R134" s="18" t="b">
        <v>1</v>
      </c>
      <c r="S134" s="18" t="b">
        <v>1</v>
      </c>
      <c r="T134" s="18" t="b">
        <v>1</v>
      </c>
      <c r="U134" s="14" t="s">
        <v>248</v>
      </c>
    </row>
    <row r="135" spans="1:21" x14ac:dyDescent="0.3">
      <c r="A135" s="14" t="s">
        <v>125</v>
      </c>
      <c r="B135" s="30" t="s">
        <v>391</v>
      </c>
      <c r="C135" s="22" t="s">
        <v>392</v>
      </c>
      <c r="D135" s="31">
        <v>0.28499999999999998</v>
      </c>
      <c r="E135" s="31">
        <v>0.14199999999999999</v>
      </c>
      <c r="F135" s="31">
        <v>0.14199999999999999</v>
      </c>
      <c r="G135" s="18">
        <v>7</v>
      </c>
      <c r="H135" s="18">
        <v>2100000</v>
      </c>
      <c r="I135" s="18" t="b">
        <v>0</v>
      </c>
      <c r="J135" s="14" t="s">
        <v>244</v>
      </c>
      <c r="K135" s="15">
        <v>1</v>
      </c>
      <c r="L135" s="16">
        <v>0</v>
      </c>
      <c r="M135" s="17">
        <v>0</v>
      </c>
      <c r="N135" s="18">
        <v>300000</v>
      </c>
      <c r="O135" s="15">
        <v>300000</v>
      </c>
      <c r="P135" s="16">
        <v>0</v>
      </c>
      <c r="Q135" s="17">
        <v>0</v>
      </c>
      <c r="R135" s="18" t="b">
        <v>1</v>
      </c>
      <c r="S135" s="18" t="b">
        <v>1</v>
      </c>
      <c r="T135" s="18" t="b">
        <v>1</v>
      </c>
      <c r="U135" s="14" t="s">
        <v>248</v>
      </c>
    </row>
    <row r="136" spans="1:21" x14ac:dyDescent="0.3">
      <c r="A136" s="14" t="s">
        <v>125</v>
      </c>
      <c r="B136" s="14" t="s">
        <v>393</v>
      </c>
      <c r="C136" s="22"/>
      <c r="D136" s="15">
        <v>0.25</v>
      </c>
      <c r="E136" s="16">
        <v>0.1</v>
      </c>
      <c r="F136" s="17">
        <v>0.05</v>
      </c>
      <c r="G136" s="18">
        <v>40</v>
      </c>
      <c r="H136" s="18">
        <v>400</v>
      </c>
      <c r="I136" s="18" t="b">
        <v>0</v>
      </c>
      <c r="J136" s="14" t="s">
        <v>244</v>
      </c>
      <c r="K136" s="15">
        <v>10</v>
      </c>
      <c r="L136" s="16">
        <v>4</v>
      </c>
      <c r="M136" s="17">
        <v>2</v>
      </c>
      <c r="N136" s="18">
        <v>10</v>
      </c>
      <c r="O136" s="15">
        <v>100</v>
      </c>
      <c r="P136" s="16">
        <v>40</v>
      </c>
      <c r="Q136" s="17">
        <v>20</v>
      </c>
      <c r="R136" s="18" t="b">
        <v>1</v>
      </c>
      <c r="S136" s="18" t="b">
        <v>1</v>
      </c>
      <c r="T136" s="18" t="b">
        <v>1</v>
      </c>
      <c r="U136" s="14" t="s">
        <v>248</v>
      </c>
    </row>
    <row r="137" spans="1:21" x14ac:dyDescent="0.3">
      <c r="A137" s="14" t="s">
        <v>125</v>
      </c>
      <c r="B137" s="14" t="s">
        <v>394</v>
      </c>
      <c r="C137" s="22"/>
      <c r="D137" s="15">
        <v>0.25</v>
      </c>
      <c r="E137" s="16">
        <v>0.1</v>
      </c>
      <c r="F137" s="17">
        <v>0.05</v>
      </c>
      <c r="G137" s="18">
        <v>12</v>
      </c>
      <c r="H137" s="18">
        <v>200000</v>
      </c>
      <c r="I137" s="18" t="b">
        <v>0</v>
      </c>
      <c r="J137" s="14" t="s">
        <v>244</v>
      </c>
      <c r="K137" s="15">
        <v>3</v>
      </c>
      <c r="L137" s="16">
        <v>1</v>
      </c>
      <c r="M137" s="17">
        <v>0</v>
      </c>
      <c r="N137" s="18">
        <v>16666.666666666672</v>
      </c>
      <c r="O137" s="15">
        <v>50000</v>
      </c>
      <c r="P137" s="16">
        <v>16666.666666666672</v>
      </c>
      <c r="Q137" s="17">
        <v>0</v>
      </c>
      <c r="R137" s="18" t="b">
        <v>1</v>
      </c>
      <c r="S137" s="18" t="b">
        <v>1</v>
      </c>
      <c r="T137" s="18" t="b">
        <v>1</v>
      </c>
      <c r="U137" s="14" t="s">
        <v>248</v>
      </c>
    </row>
    <row r="138" spans="1:21" x14ac:dyDescent="0.3">
      <c r="A138" s="14" t="s">
        <v>125</v>
      </c>
      <c r="B138" s="14" t="s">
        <v>395</v>
      </c>
      <c r="C138" s="22"/>
      <c r="D138" s="15">
        <v>0.25</v>
      </c>
      <c r="E138" s="16">
        <v>0.1</v>
      </c>
      <c r="F138" s="17">
        <v>0.05</v>
      </c>
      <c r="G138" s="18"/>
      <c r="H138" s="18">
        <v>600</v>
      </c>
      <c r="I138" s="18" t="b">
        <v>0</v>
      </c>
      <c r="J138" s="14" t="s">
        <v>244</v>
      </c>
      <c r="K138" s="15"/>
      <c r="L138" s="16"/>
      <c r="M138" s="17"/>
      <c r="N138" s="18"/>
      <c r="O138" s="15"/>
      <c r="P138" s="16"/>
      <c r="Q138" s="17"/>
      <c r="R138" s="18" t="b">
        <v>1</v>
      </c>
      <c r="S138" s="18" t="b">
        <v>1</v>
      </c>
      <c r="T138" s="18" t="b">
        <v>1</v>
      </c>
      <c r="U138" s="14" t="s">
        <v>248</v>
      </c>
    </row>
    <row r="139" spans="1:21" x14ac:dyDescent="0.3">
      <c r="A139" s="14" t="s">
        <v>125</v>
      </c>
      <c r="B139" s="14" t="s">
        <v>396</v>
      </c>
      <c r="C139" s="22"/>
      <c r="D139" s="15">
        <v>0.25</v>
      </c>
      <c r="E139" s="16">
        <v>0.1</v>
      </c>
      <c r="F139" s="17">
        <v>0.05</v>
      </c>
      <c r="G139" s="18"/>
      <c r="H139" s="18">
        <v>900</v>
      </c>
      <c r="I139" s="18" t="b">
        <v>0</v>
      </c>
      <c r="J139" s="14" t="s">
        <v>244</v>
      </c>
      <c r="K139" s="15"/>
      <c r="L139" s="16"/>
      <c r="M139" s="17"/>
      <c r="N139" s="18"/>
      <c r="O139" s="15"/>
      <c r="P139" s="16"/>
      <c r="Q139" s="17"/>
      <c r="R139" s="18" t="b">
        <v>1</v>
      </c>
      <c r="S139" s="18" t="b">
        <v>1</v>
      </c>
      <c r="T139" s="18" t="b">
        <v>1</v>
      </c>
      <c r="U139" s="14" t="s">
        <v>248</v>
      </c>
    </row>
    <row r="140" spans="1:21" x14ac:dyDescent="0.3">
      <c r="A140" s="14" t="s">
        <v>125</v>
      </c>
      <c r="B140" s="14" t="s">
        <v>397</v>
      </c>
      <c r="C140" s="22"/>
      <c r="D140" s="15">
        <v>0.25</v>
      </c>
      <c r="E140" s="16">
        <v>0.1</v>
      </c>
      <c r="F140" s="17">
        <v>0.05</v>
      </c>
      <c r="G140" s="18">
        <v>20</v>
      </c>
      <c r="H140" s="18">
        <v>1500000</v>
      </c>
      <c r="I140" s="18" t="b">
        <v>0</v>
      </c>
      <c r="J140" s="14" t="s">
        <v>244</v>
      </c>
      <c r="K140" s="15">
        <v>5</v>
      </c>
      <c r="L140" s="16">
        <v>2</v>
      </c>
      <c r="M140" s="17">
        <v>1</v>
      </c>
      <c r="N140" s="18">
        <v>75000</v>
      </c>
      <c r="O140" s="15">
        <v>375000</v>
      </c>
      <c r="P140" s="16">
        <v>150000</v>
      </c>
      <c r="Q140" s="17">
        <v>75000</v>
      </c>
      <c r="R140" s="18" t="b">
        <v>1</v>
      </c>
      <c r="S140" s="18" t="b">
        <v>1</v>
      </c>
      <c r="T140" s="18" t="b">
        <v>1</v>
      </c>
      <c r="U140" s="14" t="s">
        <v>248</v>
      </c>
    </row>
    <row r="141" spans="1:21" x14ac:dyDescent="0.3">
      <c r="A141" s="14" t="s">
        <v>125</v>
      </c>
      <c r="B141" s="14" t="s">
        <v>398</v>
      </c>
      <c r="C141" s="22"/>
      <c r="D141" s="15">
        <v>0.25</v>
      </c>
      <c r="E141" s="16">
        <v>0.1</v>
      </c>
      <c r="F141" s="17">
        <v>0.05</v>
      </c>
      <c r="G141" s="18">
        <v>20</v>
      </c>
      <c r="H141" s="18">
        <v>1000000</v>
      </c>
      <c r="I141" s="18" t="b">
        <v>0</v>
      </c>
      <c r="J141" s="14" t="s">
        <v>244</v>
      </c>
      <c r="K141" s="15">
        <v>5</v>
      </c>
      <c r="L141" s="16">
        <v>2</v>
      </c>
      <c r="M141" s="17">
        <v>1</v>
      </c>
      <c r="N141" s="18">
        <v>50000</v>
      </c>
      <c r="O141" s="15">
        <v>250000</v>
      </c>
      <c r="P141" s="16">
        <v>100000</v>
      </c>
      <c r="Q141" s="17">
        <v>50000</v>
      </c>
      <c r="R141" s="18" t="b">
        <v>1</v>
      </c>
      <c r="S141" s="18" t="b">
        <v>1</v>
      </c>
      <c r="T141" s="18" t="b">
        <v>1</v>
      </c>
      <c r="U141" s="14" t="s">
        <v>248</v>
      </c>
    </row>
    <row r="142" spans="1:21" x14ac:dyDescent="0.3">
      <c r="A142" s="14" t="s">
        <v>125</v>
      </c>
      <c r="B142" s="14" t="s">
        <v>399</v>
      </c>
      <c r="C142" s="22"/>
      <c r="D142" s="15">
        <v>0.25</v>
      </c>
      <c r="E142" s="16">
        <v>0.1</v>
      </c>
      <c r="F142" s="17">
        <v>0.05</v>
      </c>
      <c r="G142" s="18">
        <v>18</v>
      </c>
      <c r="H142" s="18">
        <v>1500</v>
      </c>
      <c r="I142" s="18" t="b">
        <v>0</v>
      </c>
      <c r="J142" s="14" t="s">
        <v>244</v>
      </c>
      <c r="K142" s="15">
        <v>4</v>
      </c>
      <c r="L142" s="16">
        <v>1</v>
      </c>
      <c r="M142" s="17">
        <v>0</v>
      </c>
      <c r="N142" s="18">
        <v>83.333333333333329</v>
      </c>
      <c r="O142" s="15">
        <v>333.33333333333331</v>
      </c>
      <c r="P142" s="16">
        <v>83.333333333333329</v>
      </c>
      <c r="Q142" s="17">
        <v>0</v>
      </c>
      <c r="R142" s="18" t="b">
        <v>1</v>
      </c>
      <c r="S142" s="18" t="b">
        <v>1</v>
      </c>
      <c r="T142" s="18" t="b">
        <v>1</v>
      </c>
      <c r="U142" s="14" t="s">
        <v>248</v>
      </c>
    </row>
    <row r="143" spans="1:21" x14ac:dyDescent="0.3">
      <c r="A143" s="14" t="s">
        <v>125</v>
      </c>
      <c r="B143" s="14" t="s">
        <v>400</v>
      </c>
      <c r="C143" s="22"/>
      <c r="D143" s="15">
        <v>0.25</v>
      </c>
      <c r="E143" s="16">
        <v>0.1</v>
      </c>
      <c r="F143" s="17">
        <v>0.05</v>
      </c>
      <c r="G143" s="18">
        <v>14</v>
      </c>
      <c r="H143" s="18">
        <v>1000000</v>
      </c>
      <c r="I143" s="18" t="b">
        <v>0</v>
      </c>
      <c r="J143" s="14" t="s">
        <v>244</v>
      </c>
      <c r="K143" s="15">
        <v>3</v>
      </c>
      <c r="L143" s="16">
        <v>1</v>
      </c>
      <c r="M143" s="17">
        <v>0</v>
      </c>
      <c r="N143" s="18">
        <v>71428.571428571435</v>
      </c>
      <c r="O143" s="15">
        <v>214285.71428571429</v>
      </c>
      <c r="P143" s="16">
        <v>71428.571428571435</v>
      </c>
      <c r="Q143" s="17">
        <v>0</v>
      </c>
      <c r="R143" s="18" t="b">
        <v>1</v>
      </c>
      <c r="S143" s="18" t="b">
        <v>1</v>
      </c>
      <c r="T143" s="18" t="b">
        <v>1</v>
      </c>
      <c r="U143" s="14" t="s">
        <v>248</v>
      </c>
    </row>
    <row r="144" spans="1:21" x14ac:dyDescent="0.3">
      <c r="A144" s="14" t="s">
        <v>125</v>
      </c>
      <c r="B144" s="14" t="s">
        <v>401</v>
      </c>
      <c r="C144" s="22"/>
      <c r="D144" s="15">
        <v>0.25</v>
      </c>
      <c r="E144" s="16">
        <v>0.1</v>
      </c>
      <c r="F144" s="17"/>
      <c r="G144" s="18">
        <v>20</v>
      </c>
      <c r="H144" s="18">
        <v>100000</v>
      </c>
      <c r="I144" s="18" t="b">
        <v>0</v>
      </c>
      <c r="J144" s="14" t="s">
        <v>244</v>
      </c>
      <c r="K144" s="15">
        <v>5</v>
      </c>
      <c r="L144" s="16">
        <v>2</v>
      </c>
      <c r="M144" s="17"/>
      <c r="N144" s="18">
        <v>5000</v>
      </c>
      <c r="O144" s="15">
        <v>25000</v>
      </c>
      <c r="P144" s="16">
        <v>10000</v>
      </c>
      <c r="Q144" s="17"/>
      <c r="R144" s="18" t="b">
        <v>1</v>
      </c>
      <c r="S144" s="18" t="b">
        <v>1</v>
      </c>
      <c r="T144" s="18" t="b">
        <v>0</v>
      </c>
      <c r="U144" s="14" t="s">
        <v>253</v>
      </c>
    </row>
    <row r="145" spans="1:21" x14ac:dyDescent="0.3">
      <c r="A145" s="14" t="s">
        <v>99</v>
      </c>
      <c r="B145" s="14" t="s">
        <v>402</v>
      </c>
      <c r="C145" s="22"/>
      <c r="D145" s="15">
        <v>0.25</v>
      </c>
      <c r="E145" s="16">
        <v>0.1</v>
      </c>
      <c r="F145" s="17">
        <v>0.05</v>
      </c>
      <c r="G145" s="18">
        <v>147</v>
      </c>
      <c r="H145" s="18">
        <v>12600000</v>
      </c>
      <c r="I145" s="18" t="b">
        <v>0</v>
      </c>
      <c r="J145" s="14" t="s">
        <v>244</v>
      </c>
      <c r="K145" s="15">
        <v>36</v>
      </c>
      <c r="L145" s="16">
        <v>14</v>
      </c>
      <c r="M145" s="17">
        <v>7</v>
      </c>
      <c r="N145" s="18">
        <v>85714.28571428571</v>
      </c>
      <c r="O145" s="15">
        <v>3085714.285714285</v>
      </c>
      <c r="P145" s="16">
        <v>1200000</v>
      </c>
      <c r="Q145" s="17">
        <v>600000</v>
      </c>
      <c r="R145" s="18" t="b">
        <v>1</v>
      </c>
      <c r="S145" s="18" t="b">
        <v>1</v>
      </c>
      <c r="T145" s="18" t="b">
        <v>1</v>
      </c>
      <c r="U145" s="14" t="s">
        <v>245</v>
      </c>
    </row>
    <row r="146" spans="1:21" x14ac:dyDescent="0.3">
      <c r="A146" s="14" t="s">
        <v>99</v>
      </c>
      <c r="B146" s="14" t="s">
        <v>403</v>
      </c>
      <c r="C146" s="22"/>
      <c r="D146" s="15">
        <v>0.25</v>
      </c>
      <c r="E146" s="16">
        <v>0.1</v>
      </c>
      <c r="F146" s="17">
        <v>0.05</v>
      </c>
      <c r="G146" s="18">
        <v>144</v>
      </c>
      <c r="H146" s="18">
        <v>4320000</v>
      </c>
      <c r="I146" s="18" t="b">
        <v>0</v>
      </c>
      <c r="J146" s="14" t="s">
        <v>244</v>
      </c>
      <c r="K146" s="15">
        <v>36</v>
      </c>
      <c r="L146" s="16">
        <v>14</v>
      </c>
      <c r="M146" s="17">
        <v>7</v>
      </c>
      <c r="N146" s="18">
        <v>30000</v>
      </c>
      <c r="O146" s="15">
        <v>1080000</v>
      </c>
      <c r="P146" s="16">
        <v>420000</v>
      </c>
      <c r="Q146" s="17">
        <v>210000</v>
      </c>
      <c r="R146" s="18" t="b">
        <v>1</v>
      </c>
      <c r="S146" s="18" t="b">
        <v>1</v>
      </c>
      <c r="T146" s="18" t="b">
        <v>1</v>
      </c>
      <c r="U146" s="14" t="s">
        <v>245</v>
      </c>
    </row>
    <row r="147" spans="1:21" x14ac:dyDescent="0.3">
      <c r="A147" s="14" t="s">
        <v>99</v>
      </c>
      <c r="B147" s="14" t="s">
        <v>404</v>
      </c>
      <c r="C147" s="22"/>
      <c r="D147" s="15">
        <v>0.25</v>
      </c>
      <c r="E147" s="16">
        <v>0.1</v>
      </c>
      <c r="F147" s="17">
        <v>0.05</v>
      </c>
      <c r="G147" s="18">
        <v>2114</v>
      </c>
      <c r="H147" s="18">
        <v>39787500</v>
      </c>
      <c r="I147" s="18" t="b">
        <v>0</v>
      </c>
      <c r="J147" s="14" t="s">
        <v>244</v>
      </c>
      <c r="K147" s="15">
        <v>528</v>
      </c>
      <c r="L147" s="16">
        <v>211</v>
      </c>
      <c r="M147" s="17">
        <v>105</v>
      </c>
      <c r="N147" s="18">
        <v>18820.955534531691</v>
      </c>
      <c r="O147" s="15">
        <v>9937464.5222327355</v>
      </c>
      <c r="P147" s="16">
        <v>3971221.6177861881</v>
      </c>
      <c r="Q147" s="17">
        <v>1976200.331125828</v>
      </c>
      <c r="R147" s="18" t="b">
        <v>1</v>
      </c>
      <c r="S147" s="18" t="b">
        <v>1</v>
      </c>
      <c r="T147" s="18" t="b">
        <v>1</v>
      </c>
      <c r="U147" s="14" t="s">
        <v>253</v>
      </c>
    </row>
    <row r="148" spans="1:21" x14ac:dyDescent="0.3">
      <c r="A148" s="14" t="s">
        <v>405</v>
      </c>
      <c r="B148" s="14" t="s">
        <v>406</v>
      </c>
      <c r="C148" s="22"/>
      <c r="D148" s="15">
        <v>0.25</v>
      </c>
      <c r="E148" s="16">
        <v>0.1</v>
      </c>
      <c r="F148" s="17">
        <v>0.05</v>
      </c>
      <c r="G148" s="18">
        <v>24</v>
      </c>
      <c r="H148" s="18">
        <v>5825997.2400000002</v>
      </c>
      <c r="I148" s="18" t="b">
        <v>0</v>
      </c>
      <c r="J148" s="14" t="s">
        <v>244</v>
      </c>
      <c r="K148" s="15">
        <v>6</v>
      </c>
      <c r="L148" s="16">
        <v>2</v>
      </c>
      <c r="M148" s="17">
        <v>1</v>
      </c>
      <c r="N148" s="18">
        <v>242749.88500000001</v>
      </c>
      <c r="O148" s="15">
        <v>1456499.31</v>
      </c>
      <c r="P148" s="16">
        <v>485499.77</v>
      </c>
      <c r="Q148" s="17">
        <v>242749.88500000001</v>
      </c>
      <c r="R148" s="18" t="b">
        <v>1</v>
      </c>
      <c r="S148" s="18" t="b">
        <v>1</v>
      </c>
      <c r="T148" s="18" t="b">
        <v>1</v>
      </c>
      <c r="U148" s="14" t="s">
        <v>245</v>
      </c>
    </row>
    <row r="149" spans="1:21" x14ac:dyDescent="0.3">
      <c r="A149" s="14" t="s">
        <v>405</v>
      </c>
      <c r="B149" s="14" t="s">
        <v>407</v>
      </c>
      <c r="C149" s="22"/>
      <c r="D149" s="15">
        <v>0.25</v>
      </c>
      <c r="E149" s="16">
        <v>0.1</v>
      </c>
      <c r="F149" s="17">
        <v>0.05</v>
      </c>
      <c r="G149" s="18">
        <v>38</v>
      </c>
      <c r="H149" s="18">
        <v>5475586.3399999999</v>
      </c>
      <c r="I149" s="18" t="b">
        <v>0</v>
      </c>
      <c r="J149" s="14" t="s">
        <v>244</v>
      </c>
      <c r="K149" s="15">
        <v>9</v>
      </c>
      <c r="L149" s="16">
        <v>3</v>
      </c>
      <c r="M149" s="17">
        <v>1</v>
      </c>
      <c r="N149" s="18">
        <v>144094.37736842109</v>
      </c>
      <c r="O149" s="15">
        <v>1296849.39631579</v>
      </c>
      <c r="P149" s="16">
        <v>432283.13210526318</v>
      </c>
      <c r="Q149" s="17">
        <v>144094.37736842109</v>
      </c>
      <c r="R149" s="18" t="b">
        <v>1</v>
      </c>
      <c r="S149" s="18" t="b">
        <v>1</v>
      </c>
      <c r="T149" s="18" t="b">
        <v>1</v>
      </c>
      <c r="U149" s="14" t="s">
        <v>245</v>
      </c>
    </row>
    <row r="150" spans="1:21" x14ac:dyDescent="0.3">
      <c r="A150" s="14" t="s">
        <v>405</v>
      </c>
      <c r="B150" s="14" t="s">
        <v>408</v>
      </c>
      <c r="C150" s="22"/>
      <c r="D150" s="15">
        <v>0.25</v>
      </c>
      <c r="E150" s="16">
        <v>0.1</v>
      </c>
      <c r="F150" s="17">
        <v>0.05</v>
      </c>
      <c r="G150" s="18">
        <v>60</v>
      </c>
      <c r="H150" s="18">
        <v>3300000</v>
      </c>
      <c r="I150" s="18" t="b">
        <v>0</v>
      </c>
      <c r="J150" s="14" t="s">
        <v>244</v>
      </c>
      <c r="K150" s="15">
        <v>15</v>
      </c>
      <c r="L150" s="16">
        <v>6</v>
      </c>
      <c r="M150" s="17">
        <v>3</v>
      </c>
      <c r="N150" s="18">
        <v>55000</v>
      </c>
      <c r="O150" s="15">
        <v>825000</v>
      </c>
      <c r="P150" s="16">
        <v>330000</v>
      </c>
      <c r="Q150" s="17">
        <v>165000</v>
      </c>
      <c r="R150" s="18" t="b">
        <v>1</v>
      </c>
      <c r="S150" s="18" t="b">
        <v>1</v>
      </c>
      <c r="T150" s="18" t="b">
        <v>1</v>
      </c>
      <c r="U150" s="14" t="s">
        <v>245</v>
      </c>
    </row>
    <row r="151" spans="1:21" x14ac:dyDescent="0.3">
      <c r="A151" s="14" t="s">
        <v>405</v>
      </c>
      <c r="B151" s="14" t="s">
        <v>409</v>
      </c>
      <c r="C151" s="22"/>
      <c r="D151" s="15">
        <v>0.25</v>
      </c>
      <c r="E151" s="16">
        <v>0.1</v>
      </c>
      <c r="F151" s="17">
        <v>0.05</v>
      </c>
      <c r="G151" s="18"/>
      <c r="H151" s="18">
        <v>34050000</v>
      </c>
      <c r="I151" s="18" t="b">
        <v>0</v>
      </c>
      <c r="J151" s="14" t="s">
        <v>244</v>
      </c>
      <c r="K151" s="15"/>
      <c r="L151" s="16"/>
      <c r="M151" s="17"/>
      <c r="N151" s="18"/>
      <c r="O151" s="15"/>
      <c r="P151" s="16"/>
      <c r="Q151" s="17"/>
      <c r="R151" s="18" t="b">
        <v>1</v>
      </c>
      <c r="S151" s="18" t="b">
        <v>1</v>
      </c>
      <c r="T151" s="18" t="b">
        <v>1</v>
      </c>
      <c r="U151" s="14" t="s">
        <v>248</v>
      </c>
    </row>
    <row r="152" spans="1:21" x14ac:dyDescent="0.3">
      <c r="A152" s="14" t="s">
        <v>405</v>
      </c>
      <c r="B152" s="14" t="s">
        <v>410</v>
      </c>
      <c r="C152" s="22"/>
      <c r="D152" s="15">
        <v>0.25</v>
      </c>
      <c r="E152" s="16">
        <v>0.1</v>
      </c>
      <c r="F152" s="17">
        <v>0.05</v>
      </c>
      <c r="G152" s="18">
        <v>120</v>
      </c>
      <c r="H152" s="18">
        <v>571428.56000000006</v>
      </c>
      <c r="I152" s="18" t="b">
        <v>0</v>
      </c>
      <c r="J152" s="14" t="s">
        <v>244</v>
      </c>
      <c r="K152" s="15">
        <v>30</v>
      </c>
      <c r="L152" s="16">
        <v>12</v>
      </c>
      <c r="M152" s="17">
        <v>6</v>
      </c>
      <c r="N152" s="18">
        <v>4761.9046666666673</v>
      </c>
      <c r="O152" s="15">
        <v>142857.14000000001</v>
      </c>
      <c r="P152" s="16">
        <v>57142.856000000007</v>
      </c>
      <c r="Q152" s="17">
        <v>28571.428</v>
      </c>
      <c r="R152" s="18" t="b">
        <v>1</v>
      </c>
      <c r="S152" s="18" t="b">
        <v>1</v>
      </c>
      <c r="T152" s="18" t="b">
        <v>1</v>
      </c>
      <c r="U152" s="14" t="s">
        <v>248</v>
      </c>
    </row>
    <row r="153" spans="1:21" x14ac:dyDescent="0.3">
      <c r="A153" s="14" t="s">
        <v>405</v>
      </c>
      <c r="B153" s="14" t="s">
        <v>411</v>
      </c>
      <c r="C153" s="22"/>
      <c r="D153" s="15">
        <v>0.25</v>
      </c>
      <c r="E153" s="16">
        <v>0.1</v>
      </c>
      <c r="F153" s="17">
        <v>0.05</v>
      </c>
      <c r="G153" s="18"/>
      <c r="H153" s="18">
        <v>8750000</v>
      </c>
      <c r="I153" s="18" t="b">
        <v>0</v>
      </c>
      <c r="J153" s="14" t="s">
        <v>244</v>
      </c>
      <c r="K153" s="15"/>
      <c r="L153" s="16"/>
      <c r="M153" s="17"/>
      <c r="N153" s="18"/>
      <c r="O153" s="15"/>
      <c r="P153" s="16"/>
      <c r="Q153" s="17"/>
      <c r="R153" s="18" t="b">
        <v>1</v>
      </c>
      <c r="S153" s="18" t="b">
        <v>1</v>
      </c>
      <c r="T153" s="18" t="b">
        <v>1</v>
      </c>
      <c r="U153" s="14" t="s">
        <v>248</v>
      </c>
    </row>
    <row r="154" spans="1:21" x14ac:dyDescent="0.3">
      <c r="A154" s="14" t="s">
        <v>405</v>
      </c>
      <c r="B154" s="14" t="s">
        <v>412</v>
      </c>
      <c r="C154" s="22"/>
      <c r="D154" s="15">
        <v>0.25</v>
      </c>
      <c r="E154" s="16">
        <v>0.1</v>
      </c>
      <c r="F154" s="17">
        <v>0.05</v>
      </c>
      <c r="G154" s="18">
        <v>50</v>
      </c>
      <c r="H154" s="18">
        <v>1500000</v>
      </c>
      <c r="I154" s="18" t="b">
        <v>0</v>
      </c>
      <c r="J154" s="14" t="s">
        <v>244</v>
      </c>
      <c r="K154" s="15">
        <v>12</v>
      </c>
      <c r="L154" s="16">
        <v>5</v>
      </c>
      <c r="M154" s="17">
        <v>2</v>
      </c>
      <c r="N154" s="18">
        <v>30000</v>
      </c>
      <c r="O154" s="15">
        <v>360000</v>
      </c>
      <c r="P154" s="16">
        <v>150000</v>
      </c>
      <c r="Q154" s="17">
        <v>60000</v>
      </c>
      <c r="R154" s="18" t="b">
        <v>1</v>
      </c>
      <c r="S154" s="18" t="b">
        <v>1</v>
      </c>
      <c r="T154" s="18" t="b">
        <v>1</v>
      </c>
      <c r="U154" s="14" t="s">
        <v>253</v>
      </c>
    </row>
    <row r="155" spans="1:21" x14ac:dyDescent="0.3">
      <c r="A155" s="14" t="s">
        <v>405</v>
      </c>
      <c r="B155" s="14" t="s">
        <v>413</v>
      </c>
      <c r="C155" s="22"/>
      <c r="D155" s="15">
        <v>0.25</v>
      </c>
      <c r="E155" s="16">
        <v>0.1</v>
      </c>
      <c r="F155" s="17">
        <v>0.05</v>
      </c>
      <c r="G155" s="18">
        <v>16</v>
      </c>
      <c r="H155" s="18">
        <v>3300000</v>
      </c>
      <c r="I155" s="18" t="b">
        <v>0</v>
      </c>
      <c r="J155" s="14" t="s">
        <v>244</v>
      </c>
      <c r="K155" s="15">
        <v>4</v>
      </c>
      <c r="L155" s="16">
        <v>1</v>
      </c>
      <c r="M155" s="17">
        <v>0</v>
      </c>
      <c r="N155" s="18">
        <v>206250</v>
      </c>
      <c r="O155" s="15">
        <v>825000</v>
      </c>
      <c r="P155" s="16">
        <v>206250</v>
      </c>
      <c r="Q155" s="17">
        <v>0</v>
      </c>
      <c r="R155" s="18" t="b">
        <v>1</v>
      </c>
      <c r="S155" s="18" t="b">
        <v>1</v>
      </c>
      <c r="T155" s="18" t="b">
        <v>1</v>
      </c>
      <c r="U155" s="14" t="s">
        <v>257</v>
      </c>
    </row>
    <row r="156" spans="1:21" x14ac:dyDescent="0.3">
      <c r="A156" s="14" t="s">
        <v>414</v>
      </c>
      <c r="B156" s="14" t="s">
        <v>415</v>
      </c>
      <c r="C156" s="22"/>
      <c r="D156" s="15">
        <v>0.25</v>
      </c>
      <c r="E156" s="16">
        <v>0.1</v>
      </c>
      <c r="F156" s="17">
        <v>0.05</v>
      </c>
      <c r="G156" s="18">
        <v>75</v>
      </c>
      <c r="H156" s="18">
        <v>4250000</v>
      </c>
      <c r="I156" s="18" t="b">
        <v>0</v>
      </c>
      <c r="J156" s="14" t="s">
        <v>244</v>
      </c>
      <c r="K156" s="15">
        <v>18</v>
      </c>
      <c r="L156" s="16">
        <v>7</v>
      </c>
      <c r="M156" s="17">
        <v>3</v>
      </c>
      <c r="N156" s="18">
        <v>56666.666666666657</v>
      </c>
      <c r="O156" s="15">
        <v>1020000</v>
      </c>
      <c r="P156" s="16">
        <v>396666.66666666663</v>
      </c>
      <c r="Q156" s="17">
        <v>170000</v>
      </c>
      <c r="R156" s="18" t="b">
        <v>1</v>
      </c>
      <c r="S156" s="18" t="b">
        <v>1</v>
      </c>
      <c r="T156" s="18" t="b">
        <v>1</v>
      </c>
      <c r="U156" s="14" t="s">
        <v>245</v>
      </c>
    </row>
    <row r="157" spans="1:21" x14ac:dyDescent="0.3">
      <c r="A157" s="14" t="s">
        <v>414</v>
      </c>
      <c r="B157" s="14" t="s">
        <v>416</v>
      </c>
      <c r="C157" s="22"/>
      <c r="D157" s="15">
        <v>0.25</v>
      </c>
      <c r="E157" s="16">
        <v>0.1</v>
      </c>
      <c r="F157" s="17">
        <v>0.05</v>
      </c>
      <c r="G157" s="18">
        <v>350</v>
      </c>
      <c r="H157" s="18">
        <v>3500000</v>
      </c>
      <c r="I157" s="18" t="b">
        <v>0</v>
      </c>
      <c r="J157" s="14" t="s">
        <v>244</v>
      </c>
      <c r="K157" s="15">
        <v>87</v>
      </c>
      <c r="L157" s="16">
        <v>35</v>
      </c>
      <c r="M157" s="17">
        <v>17</v>
      </c>
      <c r="N157" s="18">
        <v>10000</v>
      </c>
      <c r="O157" s="15">
        <v>870000</v>
      </c>
      <c r="P157" s="16">
        <v>350000</v>
      </c>
      <c r="Q157" s="17">
        <v>170000</v>
      </c>
      <c r="R157" s="18" t="b">
        <v>1</v>
      </c>
      <c r="S157" s="18" t="b">
        <v>1</v>
      </c>
      <c r="T157" s="18" t="b">
        <v>1</v>
      </c>
      <c r="U157" s="14" t="s">
        <v>383</v>
      </c>
    </row>
    <row r="158" spans="1:21" x14ac:dyDescent="0.3">
      <c r="A158" s="14" t="s">
        <v>414</v>
      </c>
      <c r="B158" s="14" t="s">
        <v>417</v>
      </c>
      <c r="C158" s="22"/>
      <c r="D158" s="15">
        <v>0.25</v>
      </c>
      <c r="E158" s="16">
        <v>0.1</v>
      </c>
      <c r="F158" s="17">
        <v>0.05</v>
      </c>
      <c r="G158" s="18">
        <v>35</v>
      </c>
      <c r="H158" s="18">
        <v>1995000</v>
      </c>
      <c r="I158" s="18" t="b">
        <v>0</v>
      </c>
      <c r="J158" s="14" t="s">
        <v>244</v>
      </c>
      <c r="K158" s="15">
        <v>8</v>
      </c>
      <c r="L158" s="16">
        <v>3</v>
      </c>
      <c r="M158" s="17">
        <v>1</v>
      </c>
      <c r="N158" s="18">
        <v>57000</v>
      </c>
      <c r="O158" s="15">
        <v>456000</v>
      </c>
      <c r="P158" s="16">
        <v>171000</v>
      </c>
      <c r="Q158" s="17">
        <v>57000</v>
      </c>
      <c r="R158" s="18" t="b">
        <v>1</v>
      </c>
      <c r="S158" s="18" t="b">
        <v>1</v>
      </c>
      <c r="T158" s="18" t="b">
        <v>1</v>
      </c>
      <c r="U158" s="14" t="s">
        <v>253</v>
      </c>
    </row>
    <row r="159" spans="1:21" x14ac:dyDescent="0.3">
      <c r="A159" s="14" t="s">
        <v>414</v>
      </c>
      <c r="B159" s="14" t="s">
        <v>418</v>
      </c>
      <c r="C159" s="22"/>
      <c r="D159" s="15">
        <v>0.25</v>
      </c>
      <c r="E159" s="16">
        <v>0.1</v>
      </c>
      <c r="F159" s="17">
        <v>0.05</v>
      </c>
      <c r="G159" s="18">
        <v>120</v>
      </c>
      <c r="H159" s="18">
        <v>600000</v>
      </c>
      <c r="I159" s="18" t="b">
        <v>0</v>
      </c>
      <c r="J159" s="14" t="s">
        <v>244</v>
      </c>
      <c r="K159" s="15">
        <v>30</v>
      </c>
      <c r="L159" s="16">
        <v>12</v>
      </c>
      <c r="M159" s="17">
        <v>6</v>
      </c>
      <c r="N159" s="18">
        <v>5000</v>
      </c>
      <c r="O159" s="15">
        <v>150000</v>
      </c>
      <c r="P159" s="16">
        <v>60000</v>
      </c>
      <c r="Q159" s="17">
        <v>30000</v>
      </c>
      <c r="R159" s="18" t="b">
        <v>1</v>
      </c>
      <c r="S159" s="18" t="b">
        <v>1</v>
      </c>
      <c r="T159" s="18" t="b">
        <v>1</v>
      </c>
      <c r="U159" s="14" t="s">
        <v>253</v>
      </c>
    </row>
    <row r="160" spans="1:21" x14ac:dyDescent="0.3">
      <c r="A160" s="14" t="s">
        <v>414</v>
      </c>
      <c r="B160" s="14" t="s">
        <v>419</v>
      </c>
      <c r="C160" s="22"/>
      <c r="D160" s="15">
        <v>0.25</v>
      </c>
      <c r="E160" s="16">
        <v>0.1</v>
      </c>
      <c r="F160" s="17">
        <v>0.05</v>
      </c>
      <c r="G160" s="18">
        <v>160</v>
      </c>
      <c r="H160" s="18">
        <v>1000000</v>
      </c>
      <c r="I160" s="18" t="b">
        <v>0</v>
      </c>
      <c r="J160" s="14" t="s">
        <v>244</v>
      </c>
      <c r="K160" s="15">
        <v>40</v>
      </c>
      <c r="L160" s="16">
        <v>16</v>
      </c>
      <c r="M160" s="17">
        <v>8</v>
      </c>
      <c r="N160" s="18">
        <v>6250</v>
      </c>
      <c r="O160" s="15">
        <v>250000</v>
      </c>
      <c r="P160" s="16">
        <v>100000</v>
      </c>
      <c r="Q160" s="17">
        <v>50000</v>
      </c>
      <c r="R160" s="18" t="b">
        <v>1</v>
      </c>
      <c r="S160" s="18" t="b">
        <v>1</v>
      </c>
      <c r="T160" s="18" t="b">
        <v>1</v>
      </c>
      <c r="U160" s="14" t="s">
        <v>253</v>
      </c>
    </row>
    <row r="161" spans="1:21" x14ac:dyDescent="0.3">
      <c r="A161" s="14" t="s">
        <v>414</v>
      </c>
      <c r="B161" s="14" t="s">
        <v>420</v>
      </c>
      <c r="C161" s="22"/>
      <c r="D161" s="15">
        <v>0.25</v>
      </c>
      <c r="E161" s="16">
        <v>0.1</v>
      </c>
      <c r="F161" s="17">
        <v>0.05</v>
      </c>
      <c r="G161" s="18">
        <v>240</v>
      </c>
      <c r="H161" s="18">
        <v>2400000</v>
      </c>
      <c r="I161" s="18" t="b">
        <v>0</v>
      </c>
      <c r="J161" s="14" t="s">
        <v>244</v>
      </c>
      <c r="K161" s="15">
        <v>60</v>
      </c>
      <c r="L161" s="16">
        <v>24</v>
      </c>
      <c r="M161" s="17">
        <v>12</v>
      </c>
      <c r="N161" s="18">
        <v>10000</v>
      </c>
      <c r="O161" s="15">
        <v>600000</v>
      </c>
      <c r="P161" s="16">
        <v>240000</v>
      </c>
      <c r="Q161" s="17">
        <v>120000</v>
      </c>
      <c r="R161" s="18" t="b">
        <v>1</v>
      </c>
      <c r="S161" s="18" t="b">
        <v>1</v>
      </c>
      <c r="T161" s="18" t="b">
        <v>1</v>
      </c>
      <c r="U161" s="14" t="s">
        <v>253</v>
      </c>
    </row>
    <row r="162" spans="1:21" x14ac:dyDescent="0.3">
      <c r="A162" s="14" t="s">
        <v>414</v>
      </c>
      <c r="B162" s="14" t="s">
        <v>421</v>
      </c>
      <c r="C162" s="22"/>
      <c r="D162" s="15">
        <v>0.25</v>
      </c>
      <c r="E162" s="16">
        <v>0.1</v>
      </c>
      <c r="F162" s="17">
        <v>0.05</v>
      </c>
      <c r="G162" s="18">
        <v>120</v>
      </c>
      <c r="H162" s="18">
        <v>2400000</v>
      </c>
      <c r="I162" s="18" t="b">
        <v>0</v>
      </c>
      <c r="J162" s="14" t="s">
        <v>244</v>
      </c>
      <c r="K162" s="15">
        <v>30</v>
      </c>
      <c r="L162" s="16">
        <v>12</v>
      </c>
      <c r="M162" s="17">
        <v>6</v>
      </c>
      <c r="N162" s="18">
        <v>20000</v>
      </c>
      <c r="O162" s="15">
        <v>600000</v>
      </c>
      <c r="P162" s="16">
        <v>240000</v>
      </c>
      <c r="Q162" s="17">
        <v>120000</v>
      </c>
      <c r="R162" s="18" t="b">
        <v>1</v>
      </c>
      <c r="S162" s="18" t="b">
        <v>1</v>
      </c>
      <c r="T162" s="18" t="b">
        <v>1</v>
      </c>
      <c r="U162" s="14" t="s">
        <v>253</v>
      </c>
    </row>
    <row r="163" spans="1:21" x14ac:dyDescent="0.3">
      <c r="A163" s="14" t="s">
        <v>414</v>
      </c>
      <c r="B163" s="14" t="s">
        <v>422</v>
      </c>
      <c r="C163" s="22"/>
      <c r="D163" s="15">
        <v>0.25</v>
      </c>
      <c r="E163" s="16">
        <v>0.1</v>
      </c>
      <c r="F163" s="17">
        <v>0.05</v>
      </c>
      <c r="G163" s="18">
        <v>222</v>
      </c>
      <c r="H163" s="18">
        <v>8500000</v>
      </c>
      <c r="I163" s="18" t="b">
        <v>0</v>
      </c>
      <c r="J163" s="14" t="s">
        <v>244</v>
      </c>
      <c r="K163" s="15">
        <v>55</v>
      </c>
      <c r="L163" s="16">
        <v>22</v>
      </c>
      <c r="M163" s="17">
        <v>11</v>
      </c>
      <c r="N163" s="18">
        <v>38288.288288288291</v>
      </c>
      <c r="O163" s="15">
        <v>2105855.8558558561</v>
      </c>
      <c r="P163" s="16">
        <v>842342.34234234237</v>
      </c>
      <c r="Q163" s="17">
        <v>421171.17117117118</v>
      </c>
      <c r="R163" s="18" t="b">
        <v>1</v>
      </c>
      <c r="S163" s="18" t="b">
        <v>1</v>
      </c>
      <c r="T163" s="18" t="b">
        <v>1</v>
      </c>
      <c r="U163" s="14" t="s">
        <v>248</v>
      </c>
    </row>
    <row r="164" spans="1:21" x14ac:dyDescent="0.3">
      <c r="A164" s="14" t="s">
        <v>414</v>
      </c>
      <c r="B164" s="14" t="s">
        <v>423</v>
      </c>
      <c r="C164" s="22"/>
      <c r="D164" s="15">
        <v>0.25</v>
      </c>
      <c r="E164" s="16">
        <v>0.1</v>
      </c>
      <c r="F164" s="17">
        <v>0.05</v>
      </c>
      <c r="G164" s="18">
        <v>90</v>
      </c>
      <c r="H164" s="18">
        <v>1800000</v>
      </c>
      <c r="I164" s="18" t="b">
        <v>0</v>
      </c>
      <c r="J164" s="14" t="s">
        <v>244</v>
      </c>
      <c r="K164" s="15">
        <v>22</v>
      </c>
      <c r="L164" s="16">
        <v>9</v>
      </c>
      <c r="M164" s="17">
        <v>4</v>
      </c>
      <c r="N164" s="18">
        <v>20000</v>
      </c>
      <c r="O164" s="15">
        <v>440000</v>
      </c>
      <c r="P164" s="16">
        <v>180000</v>
      </c>
      <c r="Q164" s="17">
        <v>80000</v>
      </c>
      <c r="R164" s="18" t="b">
        <v>1</v>
      </c>
      <c r="S164" s="18" t="b">
        <v>1</v>
      </c>
      <c r="T164" s="18" t="b">
        <v>1</v>
      </c>
      <c r="U164" s="14" t="s">
        <v>248</v>
      </c>
    </row>
    <row r="165" spans="1:21" x14ac:dyDescent="0.3">
      <c r="A165" s="14" t="s">
        <v>414</v>
      </c>
      <c r="B165" s="14" t="s">
        <v>424</v>
      </c>
      <c r="C165" s="22"/>
      <c r="D165" s="15">
        <v>0.25</v>
      </c>
      <c r="E165" s="16">
        <v>0.1</v>
      </c>
      <c r="F165" s="17">
        <v>0.05</v>
      </c>
      <c r="G165" s="18">
        <v>120</v>
      </c>
      <c r="H165" s="18">
        <v>600000</v>
      </c>
      <c r="I165" s="18" t="b">
        <v>0</v>
      </c>
      <c r="J165" s="14" t="s">
        <v>244</v>
      </c>
      <c r="K165" s="15">
        <v>30</v>
      </c>
      <c r="L165" s="16">
        <v>12</v>
      </c>
      <c r="M165" s="17">
        <v>6</v>
      </c>
      <c r="N165" s="18">
        <v>5000</v>
      </c>
      <c r="O165" s="15">
        <v>150000</v>
      </c>
      <c r="P165" s="16">
        <v>60000</v>
      </c>
      <c r="Q165" s="17">
        <v>30000</v>
      </c>
      <c r="R165" s="18" t="b">
        <v>1</v>
      </c>
      <c r="S165" s="18" t="b">
        <v>1</v>
      </c>
      <c r="T165" s="18" t="b">
        <v>1</v>
      </c>
      <c r="U165" s="14" t="s">
        <v>253</v>
      </c>
    </row>
    <row r="166" spans="1:21" x14ac:dyDescent="0.3">
      <c r="A166" s="14" t="s">
        <v>414</v>
      </c>
      <c r="B166" s="14" t="s">
        <v>425</v>
      </c>
      <c r="C166" s="22"/>
      <c r="D166" s="15">
        <v>0.25</v>
      </c>
      <c r="E166" s="16">
        <v>0.1</v>
      </c>
      <c r="F166" s="17">
        <v>0.05</v>
      </c>
      <c r="G166" s="18">
        <v>131</v>
      </c>
      <c r="H166" s="18">
        <v>1355000</v>
      </c>
      <c r="I166" s="18" t="b">
        <v>0</v>
      </c>
      <c r="J166" s="14" t="s">
        <v>244</v>
      </c>
      <c r="K166" s="15">
        <v>32</v>
      </c>
      <c r="L166" s="16">
        <v>13</v>
      </c>
      <c r="M166" s="17">
        <v>6</v>
      </c>
      <c r="N166" s="18">
        <v>10343.51145038168</v>
      </c>
      <c r="O166" s="15">
        <v>330992.36641221371</v>
      </c>
      <c r="P166" s="16">
        <v>134465.64885496179</v>
      </c>
      <c r="Q166" s="17">
        <v>62061.068702290067</v>
      </c>
      <c r="R166" s="18" t="b">
        <v>1</v>
      </c>
      <c r="S166" s="18" t="b">
        <v>1</v>
      </c>
      <c r="T166" s="18" t="b">
        <v>1</v>
      </c>
      <c r="U166" s="14" t="s">
        <v>253</v>
      </c>
    </row>
    <row r="167" spans="1:21" x14ac:dyDescent="0.3">
      <c r="A167" s="14" t="s">
        <v>414</v>
      </c>
      <c r="B167" s="14" t="s">
        <v>426</v>
      </c>
      <c r="C167" s="22"/>
      <c r="D167" s="15">
        <v>0.25</v>
      </c>
      <c r="E167" s="16">
        <v>0.1</v>
      </c>
      <c r="F167" s="17">
        <v>0.05</v>
      </c>
      <c r="G167" s="18">
        <v>80</v>
      </c>
      <c r="H167" s="18">
        <v>2400000</v>
      </c>
      <c r="I167" s="18" t="b">
        <v>0</v>
      </c>
      <c r="J167" s="14" t="s">
        <v>244</v>
      </c>
      <c r="K167" s="15">
        <v>20</v>
      </c>
      <c r="L167" s="16">
        <v>8</v>
      </c>
      <c r="M167" s="17">
        <v>4</v>
      </c>
      <c r="N167" s="18">
        <v>30000</v>
      </c>
      <c r="O167" s="15">
        <v>600000</v>
      </c>
      <c r="P167" s="16">
        <v>240000</v>
      </c>
      <c r="Q167" s="17">
        <v>120000</v>
      </c>
      <c r="R167" s="18" t="b">
        <v>1</v>
      </c>
      <c r="S167" s="18" t="b">
        <v>1</v>
      </c>
      <c r="T167" s="18" t="b">
        <v>1</v>
      </c>
      <c r="U167" s="14" t="s">
        <v>253</v>
      </c>
    </row>
    <row r="168" spans="1:21" x14ac:dyDescent="0.3">
      <c r="A168" s="14" t="s">
        <v>414</v>
      </c>
      <c r="B168" s="14" t="s">
        <v>427</v>
      </c>
      <c r="C168" s="22"/>
      <c r="D168" s="15">
        <v>0.25</v>
      </c>
      <c r="E168" s="16">
        <v>0.1</v>
      </c>
      <c r="F168" s="17">
        <v>0.05</v>
      </c>
      <c r="G168" s="18">
        <v>120</v>
      </c>
      <c r="H168" s="18">
        <v>2400000</v>
      </c>
      <c r="I168" s="18" t="b">
        <v>0</v>
      </c>
      <c r="J168" s="14" t="s">
        <v>244</v>
      </c>
      <c r="K168" s="15">
        <v>30</v>
      </c>
      <c r="L168" s="16">
        <v>12</v>
      </c>
      <c r="M168" s="17">
        <v>6</v>
      </c>
      <c r="N168" s="18">
        <v>20000</v>
      </c>
      <c r="O168" s="15">
        <v>600000</v>
      </c>
      <c r="P168" s="16">
        <v>240000</v>
      </c>
      <c r="Q168" s="17">
        <v>120000</v>
      </c>
      <c r="R168" s="18" t="b">
        <v>1</v>
      </c>
      <c r="S168" s="18" t="b">
        <v>1</v>
      </c>
      <c r="T168" s="18" t="b">
        <v>1</v>
      </c>
      <c r="U168" s="14" t="s">
        <v>253</v>
      </c>
    </row>
    <row r="169" spans="1:21" x14ac:dyDescent="0.3">
      <c r="A169" s="14" t="s">
        <v>428</v>
      </c>
      <c r="B169" s="14" t="s">
        <v>429</v>
      </c>
      <c r="C169" s="22"/>
      <c r="D169" s="15">
        <v>0.25</v>
      </c>
      <c r="E169" s="16">
        <v>0.1</v>
      </c>
      <c r="F169" s="17">
        <v>0.05</v>
      </c>
      <c r="G169" s="18">
        <v>40</v>
      </c>
      <c r="H169" s="18">
        <v>5000000</v>
      </c>
      <c r="I169" s="18" t="b">
        <v>0</v>
      </c>
      <c r="J169" s="14" t="s">
        <v>244</v>
      </c>
      <c r="K169" s="15">
        <v>10</v>
      </c>
      <c r="L169" s="16">
        <v>4</v>
      </c>
      <c r="M169" s="17">
        <v>2</v>
      </c>
      <c r="N169" s="18">
        <v>125000</v>
      </c>
      <c r="O169" s="15">
        <v>1250000</v>
      </c>
      <c r="P169" s="16">
        <v>500000</v>
      </c>
      <c r="Q169" s="17">
        <v>250000</v>
      </c>
      <c r="R169" s="18" t="b">
        <v>1</v>
      </c>
      <c r="S169" s="18" t="b">
        <v>1</v>
      </c>
      <c r="T169" s="18" t="b">
        <v>1</v>
      </c>
      <c r="U169" s="14" t="s">
        <v>245</v>
      </c>
    </row>
    <row r="170" spans="1:21" x14ac:dyDescent="0.3">
      <c r="A170" s="14" t="s">
        <v>428</v>
      </c>
      <c r="B170" s="14" t="s">
        <v>430</v>
      </c>
      <c r="C170" s="22"/>
      <c r="D170" s="15">
        <v>0.25</v>
      </c>
      <c r="E170" s="16">
        <v>0.1</v>
      </c>
      <c r="F170" s="17">
        <v>0.1</v>
      </c>
      <c r="G170" s="18">
        <v>474</v>
      </c>
      <c r="H170" s="18">
        <v>18487819</v>
      </c>
      <c r="I170" s="18" t="b">
        <v>0</v>
      </c>
      <c r="J170" s="14" t="s">
        <v>244</v>
      </c>
      <c r="K170" s="15">
        <v>118</v>
      </c>
      <c r="L170" s="16">
        <v>47</v>
      </c>
      <c r="M170" s="17">
        <v>47</v>
      </c>
      <c r="N170" s="18">
        <v>39003.837552742618</v>
      </c>
      <c r="O170" s="15">
        <v>4602452.8312236276</v>
      </c>
      <c r="P170" s="16">
        <v>1833180.364978903</v>
      </c>
      <c r="Q170" s="17">
        <v>1833180.364978903</v>
      </c>
      <c r="R170" s="18" t="b">
        <v>1</v>
      </c>
      <c r="S170" s="18" t="b">
        <v>1</v>
      </c>
      <c r="T170" s="18" t="b">
        <v>1</v>
      </c>
      <c r="U170" s="14" t="s">
        <v>248</v>
      </c>
    </row>
    <row r="171" spans="1:21" x14ac:dyDescent="0.3">
      <c r="A171" s="14" t="s">
        <v>428</v>
      </c>
      <c r="B171" s="14" t="s">
        <v>431</v>
      </c>
      <c r="C171" s="22"/>
      <c r="D171" s="15">
        <v>0.25</v>
      </c>
      <c r="E171" s="16">
        <v>0.1</v>
      </c>
      <c r="F171" s="17">
        <v>0.1</v>
      </c>
      <c r="G171" s="18">
        <v>252</v>
      </c>
      <c r="H171" s="18">
        <v>4621949.37</v>
      </c>
      <c r="I171" s="18" t="b">
        <v>0</v>
      </c>
      <c r="J171" s="14" t="s">
        <v>244</v>
      </c>
      <c r="K171" s="15">
        <v>63</v>
      </c>
      <c r="L171" s="16">
        <v>25</v>
      </c>
      <c r="M171" s="17">
        <v>25</v>
      </c>
      <c r="N171" s="18">
        <v>18341.068928571429</v>
      </c>
      <c r="O171" s="15">
        <v>1155487.3425</v>
      </c>
      <c r="P171" s="16">
        <v>458526.72321428568</v>
      </c>
      <c r="Q171" s="17">
        <v>458526.72321428568</v>
      </c>
      <c r="R171" s="18" t="b">
        <v>1</v>
      </c>
      <c r="S171" s="18" t="b">
        <v>1</v>
      </c>
      <c r="T171" s="18" t="b">
        <v>1</v>
      </c>
      <c r="U171" s="14" t="s">
        <v>248</v>
      </c>
    </row>
    <row r="172" spans="1:21" x14ac:dyDescent="0.3">
      <c r="A172" s="14" t="s">
        <v>428</v>
      </c>
      <c r="B172" s="14" t="s">
        <v>432</v>
      </c>
      <c r="C172" s="22"/>
      <c r="D172" s="15">
        <v>0.25</v>
      </c>
      <c r="E172" s="16">
        <v>0.1</v>
      </c>
      <c r="F172" s="17">
        <v>0.1</v>
      </c>
      <c r="G172" s="18">
        <v>308</v>
      </c>
      <c r="H172" s="18">
        <v>18487819</v>
      </c>
      <c r="I172" s="18" t="b">
        <v>0</v>
      </c>
      <c r="J172" s="14" t="s">
        <v>244</v>
      </c>
      <c r="K172" s="15">
        <v>77</v>
      </c>
      <c r="L172" s="16">
        <v>30</v>
      </c>
      <c r="M172" s="17">
        <v>30</v>
      </c>
      <c r="N172" s="18">
        <v>60025.38636363636</v>
      </c>
      <c r="O172" s="15">
        <v>4621954.75</v>
      </c>
      <c r="P172" s="16">
        <v>1800761.5909090911</v>
      </c>
      <c r="Q172" s="17">
        <v>1800761.5909090911</v>
      </c>
      <c r="R172" s="18" t="b">
        <v>1</v>
      </c>
      <c r="S172" s="18" t="b">
        <v>1</v>
      </c>
      <c r="T172" s="18" t="b">
        <v>1</v>
      </c>
      <c r="U172" s="14" t="s">
        <v>248</v>
      </c>
    </row>
    <row r="173" spans="1:21" x14ac:dyDescent="0.3">
      <c r="A173" s="14" t="s">
        <v>428</v>
      </c>
      <c r="B173" s="14" t="s">
        <v>433</v>
      </c>
      <c r="C173" s="22"/>
      <c r="D173" s="15">
        <v>0.25</v>
      </c>
      <c r="E173" s="16">
        <v>0.1</v>
      </c>
      <c r="F173" s="17">
        <v>0.05</v>
      </c>
      <c r="G173" s="18">
        <v>183</v>
      </c>
      <c r="H173" s="18">
        <v>5490000</v>
      </c>
      <c r="I173" s="18" t="b">
        <v>0</v>
      </c>
      <c r="J173" s="14" t="s">
        <v>244</v>
      </c>
      <c r="K173" s="15">
        <v>45</v>
      </c>
      <c r="L173" s="16">
        <v>18</v>
      </c>
      <c r="M173" s="17">
        <v>9</v>
      </c>
      <c r="N173" s="18">
        <v>30000</v>
      </c>
      <c r="O173" s="15">
        <v>1350000</v>
      </c>
      <c r="P173" s="16">
        <v>540000</v>
      </c>
      <c r="Q173" s="17">
        <v>270000</v>
      </c>
      <c r="R173" s="18" t="b">
        <v>1</v>
      </c>
      <c r="S173" s="18" t="b">
        <v>1</v>
      </c>
      <c r="T173" s="18" t="b">
        <v>1</v>
      </c>
      <c r="U173" s="14" t="s">
        <v>253</v>
      </c>
    </row>
    <row r="174" spans="1:21" x14ac:dyDescent="0.3">
      <c r="A174" s="14" t="s">
        <v>428</v>
      </c>
      <c r="B174" s="14" t="s">
        <v>434</v>
      </c>
      <c r="C174" s="22"/>
      <c r="D174" s="15">
        <v>0.25</v>
      </c>
      <c r="E174" s="16">
        <v>0.1</v>
      </c>
      <c r="F174" s="17">
        <v>0.05</v>
      </c>
      <c r="G174" s="18">
        <v>200</v>
      </c>
      <c r="H174" s="18">
        <v>4621954.74</v>
      </c>
      <c r="I174" s="18" t="b">
        <v>0</v>
      </c>
      <c r="J174" s="14" t="s">
        <v>244</v>
      </c>
      <c r="K174" s="15">
        <v>50</v>
      </c>
      <c r="L174" s="16">
        <v>20</v>
      </c>
      <c r="M174" s="17">
        <v>10</v>
      </c>
      <c r="N174" s="18">
        <v>23109.773700000002</v>
      </c>
      <c r="O174" s="15">
        <v>1155488.6850000001</v>
      </c>
      <c r="P174" s="16">
        <v>462195.47399999999</v>
      </c>
      <c r="Q174" s="17">
        <v>231097.73699999999</v>
      </c>
      <c r="R174" s="18" t="b">
        <v>1</v>
      </c>
      <c r="S174" s="18" t="b">
        <v>1</v>
      </c>
      <c r="T174" s="18" t="b">
        <v>1</v>
      </c>
      <c r="U174" s="14" t="s">
        <v>253</v>
      </c>
    </row>
    <row r="175" spans="1:21" x14ac:dyDescent="0.3">
      <c r="A175" s="14" t="s">
        <v>428</v>
      </c>
      <c r="B175" s="14" t="s">
        <v>435</v>
      </c>
      <c r="C175" s="22"/>
      <c r="D175" s="15">
        <v>0.25</v>
      </c>
      <c r="E175" s="16">
        <v>0.1</v>
      </c>
      <c r="F175" s="17">
        <v>0.05</v>
      </c>
      <c r="G175" s="18">
        <v>30</v>
      </c>
      <c r="H175" s="18">
        <v>2731708.8</v>
      </c>
      <c r="I175" s="18" t="b">
        <v>0</v>
      </c>
      <c r="J175" s="14" t="s">
        <v>244</v>
      </c>
      <c r="K175" s="15">
        <v>7</v>
      </c>
      <c r="L175" s="16">
        <v>3</v>
      </c>
      <c r="M175" s="17">
        <v>1</v>
      </c>
      <c r="N175" s="18">
        <v>91056.959999999992</v>
      </c>
      <c r="O175" s="15">
        <v>637398.72</v>
      </c>
      <c r="P175" s="16">
        <v>273170.88</v>
      </c>
      <c r="Q175" s="17">
        <v>91056.959999999992</v>
      </c>
      <c r="R175" s="18" t="b">
        <v>1</v>
      </c>
      <c r="S175" s="18" t="b">
        <v>1</v>
      </c>
      <c r="T175" s="18" t="b">
        <v>1</v>
      </c>
      <c r="U175" s="14" t="s">
        <v>257</v>
      </c>
    </row>
    <row r="176" spans="1:21" x14ac:dyDescent="0.3">
      <c r="A176" s="14" t="s">
        <v>436</v>
      </c>
      <c r="B176" s="14" t="s">
        <v>437</v>
      </c>
      <c r="C176" s="22"/>
      <c r="D176" s="15">
        <v>0.25</v>
      </c>
      <c r="E176" s="16">
        <v>0.1</v>
      </c>
      <c r="F176" s="17">
        <v>0.05</v>
      </c>
      <c r="G176" s="18">
        <v>260</v>
      </c>
      <c r="H176" s="18">
        <v>9800000</v>
      </c>
      <c r="I176" s="18" t="b">
        <v>0</v>
      </c>
      <c r="J176" s="14" t="s">
        <v>244</v>
      </c>
      <c r="K176" s="15">
        <v>65</v>
      </c>
      <c r="L176" s="16">
        <v>26</v>
      </c>
      <c r="M176" s="17">
        <v>13</v>
      </c>
      <c r="N176" s="18">
        <v>37692.307692307702</v>
      </c>
      <c r="O176" s="15">
        <v>2450000</v>
      </c>
      <c r="P176" s="16">
        <v>980000.00000000012</v>
      </c>
      <c r="Q176" s="17">
        <v>490000.00000000012</v>
      </c>
      <c r="R176" s="18" t="b">
        <v>1</v>
      </c>
      <c r="S176" s="18" t="b">
        <v>1</v>
      </c>
      <c r="T176" s="18" t="b">
        <v>1</v>
      </c>
      <c r="U176" s="14" t="s">
        <v>383</v>
      </c>
    </row>
    <row r="177" spans="1:21" x14ac:dyDescent="0.3">
      <c r="A177" s="14" t="s">
        <v>436</v>
      </c>
      <c r="B177" s="14" t="s">
        <v>438</v>
      </c>
      <c r="C177" s="22"/>
      <c r="D177" s="15">
        <v>0.25</v>
      </c>
      <c r="E177" s="16">
        <v>0.1</v>
      </c>
      <c r="F177" s="17">
        <v>0.05</v>
      </c>
      <c r="G177" s="18">
        <v>900</v>
      </c>
      <c r="H177" s="18">
        <v>33950000</v>
      </c>
      <c r="I177" s="18" t="b">
        <v>0</v>
      </c>
      <c r="J177" s="14" t="s">
        <v>244</v>
      </c>
      <c r="K177" s="15">
        <v>225</v>
      </c>
      <c r="L177" s="16">
        <v>90</v>
      </c>
      <c r="M177" s="17">
        <v>45</v>
      </c>
      <c r="N177" s="18">
        <v>37722.222222222219</v>
      </c>
      <c r="O177" s="15">
        <v>8487500</v>
      </c>
      <c r="P177" s="16">
        <v>3395000</v>
      </c>
      <c r="Q177" s="17">
        <v>1697500</v>
      </c>
      <c r="R177" s="18" t="b">
        <v>1</v>
      </c>
      <c r="S177" s="18" t="b">
        <v>1</v>
      </c>
      <c r="T177" s="18" t="b">
        <v>1</v>
      </c>
      <c r="U177" s="14" t="s">
        <v>248</v>
      </c>
    </row>
    <row r="178" spans="1:21" x14ac:dyDescent="0.3">
      <c r="A178" s="14" t="s">
        <v>436</v>
      </c>
      <c r="B178" s="14" t="s">
        <v>439</v>
      </c>
      <c r="C178" s="22"/>
      <c r="D178" s="15">
        <v>0.25</v>
      </c>
      <c r="E178" s="16">
        <v>0.1</v>
      </c>
      <c r="F178" s="17">
        <v>0.05</v>
      </c>
      <c r="G178" s="18">
        <v>780</v>
      </c>
      <c r="H178" s="18">
        <v>9177166.5999999996</v>
      </c>
      <c r="I178" s="18" t="b">
        <v>0</v>
      </c>
      <c r="J178" s="14" t="s">
        <v>244</v>
      </c>
      <c r="K178" s="15">
        <v>195</v>
      </c>
      <c r="L178" s="16">
        <v>78</v>
      </c>
      <c r="M178" s="17">
        <v>39</v>
      </c>
      <c r="N178" s="18">
        <v>11765.598205128201</v>
      </c>
      <c r="O178" s="15">
        <v>2294291.65</v>
      </c>
      <c r="P178" s="16">
        <v>917716.65999999992</v>
      </c>
      <c r="Q178" s="17">
        <v>458858.33</v>
      </c>
      <c r="R178" s="18" t="b">
        <v>1</v>
      </c>
      <c r="S178" s="18" t="b">
        <v>1</v>
      </c>
      <c r="T178" s="18" t="b">
        <v>1</v>
      </c>
      <c r="U178" s="14" t="s">
        <v>253</v>
      </c>
    </row>
    <row r="179" spans="1:21" x14ac:dyDescent="0.3">
      <c r="A179" s="14" t="s">
        <v>436</v>
      </c>
      <c r="B179" s="14" t="s">
        <v>440</v>
      </c>
      <c r="C179" s="22"/>
      <c r="D179" s="15">
        <v>0.25</v>
      </c>
      <c r="E179" s="16">
        <v>0.1</v>
      </c>
      <c r="F179" s="17">
        <v>0.05</v>
      </c>
      <c r="G179" s="18">
        <v>100</v>
      </c>
      <c r="H179" s="18">
        <v>2500000</v>
      </c>
      <c r="I179" s="18" t="b">
        <v>0</v>
      </c>
      <c r="J179" s="14" t="s">
        <v>244</v>
      </c>
      <c r="K179" s="15">
        <v>25</v>
      </c>
      <c r="L179" s="16">
        <v>10</v>
      </c>
      <c r="M179" s="17">
        <v>5</v>
      </c>
      <c r="N179" s="18">
        <v>25000</v>
      </c>
      <c r="O179" s="15">
        <v>625000</v>
      </c>
      <c r="P179" s="16">
        <v>250000</v>
      </c>
      <c r="Q179" s="17">
        <v>125000</v>
      </c>
      <c r="R179" s="18" t="b">
        <v>1</v>
      </c>
      <c r="S179" s="18" t="b">
        <v>1</v>
      </c>
      <c r="T179" s="18" t="b">
        <v>1</v>
      </c>
      <c r="U179" s="14" t="s">
        <v>253</v>
      </c>
    </row>
    <row r="180" spans="1:21" x14ac:dyDescent="0.3">
      <c r="A180" s="14" t="s">
        <v>436</v>
      </c>
      <c r="B180" s="14" t="s">
        <v>441</v>
      </c>
      <c r="C180" s="22"/>
      <c r="D180" s="15">
        <v>0.25</v>
      </c>
      <c r="E180" s="16">
        <v>0.1</v>
      </c>
      <c r="F180" s="17">
        <v>0.05</v>
      </c>
      <c r="G180" s="18">
        <v>80</v>
      </c>
      <c r="H180" s="18">
        <v>7700000</v>
      </c>
      <c r="I180" s="18" t="b">
        <v>0</v>
      </c>
      <c r="J180" s="14" t="s">
        <v>244</v>
      </c>
      <c r="K180" s="15">
        <v>20</v>
      </c>
      <c r="L180" s="16">
        <v>8</v>
      </c>
      <c r="M180" s="17">
        <v>4</v>
      </c>
      <c r="N180" s="18">
        <v>96250</v>
      </c>
      <c r="O180" s="15">
        <v>1925000</v>
      </c>
      <c r="P180" s="16">
        <v>770000</v>
      </c>
      <c r="Q180" s="17">
        <v>385000</v>
      </c>
      <c r="R180" s="18" t="b">
        <v>1</v>
      </c>
      <c r="S180" s="18" t="b">
        <v>1</v>
      </c>
      <c r="T180" s="18" t="b">
        <v>1</v>
      </c>
      <c r="U180" s="14" t="s">
        <v>245</v>
      </c>
    </row>
    <row r="181" spans="1:21" x14ac:dyDescent="0.3">
      <c r="A181" s="14" t="s">
        <v>436</v>
      </c>
      <c r="B181" s="14" t="s">
        <v>442</v>
      </c>
      <c r="C181" s="22"/>
      <c r="D181" s="15">
        <v>0.25</v>
      </c>
      <c r="E181" s="16">
        <v>0.1</v>
      </c>
      <c r="F181" s="17">
        <v>0.05</v>
      </c>
      <c r="G181" s="18">
        <v>6</v>
      </c>
      <c r="H181" s="18">
        <v>1800000</v>
      </c>
      <c r="I181" s="18" t="b">
        <v>0</v>
      </c>
      <c r="J181" s="14" t="s">
        <v>244</v>
      </c>
      <c r="K181" s="15">
        <v>1</v>
      </c>
      <c r="L181" s="16">
        <v>0</v>
      </c>
      <c r="M181" s="17">
        <v>0</v>
      </c>
      <c r="N181" s="18">
        <v>300000</v>
      </c>
      <c r="O181" s="15">
        <v>300000</v>
      </c>
      <c r="P181" s="16">
        <v>0</v>
      </c>
      <c r="Q181" s="17">
        <v>0</v>
      </c>
      <c r="R181" s="18" t="b">
        <v>1</v>
      </c>
      <c r="S181" s="18" t="b">
        <v>1</v>
      </c>
      <c r="T181" s="18" t="b">
        <v>1</v>
      </c>
      <c r="U181" s="14" t="s">
        <v>245</v>
      </c>
    </row>
    <row r="182" spans="1:21" x14ac:dyDescent="0.3">
      <c r="A182" s="14" t="s">
        <v>443</v>
      </c>
      <c r="B182" s="14" t="s">
        <v>444</v>
      </c>
      <c r="C182" s="22"/>
      <c r="D182" s="15">
        <v>0.25</v>
      </c>
      <c r="E182" s="16">
        <v>0.1</v>
      </c>
      <c r="F182" s="17">
        <v>0.05</v>
      </c>
      <c r="G182" s="18">
        <v>130</v>
      </c>
      <c r="H182" s="18">
        <v>6500000</v>
      </c>
      <c r="I182" s="18" t="b">
        <v>0</v>
      </c>
      <c r="J182" s="14" t="s">
        <v>244</v>
      </c>
      <c r="K182" s="15">
        <v>32</v>
      </c>
      <c r="L182" s="16">
        <v>13</v>
      </c>
      <c r="M182" s="17">
        <v>6</v>
      </c>
      <c r="N182" s="18">
        <v>50000</v>
      </c>
      <c r="O182" s="15">
        <v>1600000</v>
      </c>
      <c r="P182" s="16">
        <v>650000</v>
      </c>
      <c r="Q182" s="17">
        <v>300000</v>
      </c>
      <c r="R182" s="18" t="b">
        <v>1</v>
      </c>
      <c r="S182" s="18" t="b">
        <v>1</v>
      </c>
      <c r="T182" s="18" t="b">
        <v>1</v>
      </c>
      <c r="U182" s="14" t="s">
        <v>248</v>
      </c>
    </row>
    <row r="183" spans="1:21" x14ac:dyDescent="0.3">
      <c r="A183" s="14" t="s">
        <v>443</v>
      </c>
      <c r="B183" s="14" t="s">
        <v>445</v>
      </c>
      <c r="C183" s="22"/>
      <c r="D183" s="15">
        <v>0.25</v>
      </c>
      <c r="E183" s="16">
        <v>0.1</v>
      </c>
      <c r="F183" s="17">
        <v>0.05</v>
      </c>
      <c r="G183" s="18">
        <v>110</v>
      </c>
      <c r="H183" s="18">
        <v>12000000</v>
      </c>
      <c r="I183" s="18" t="b">
        <v>0</v>
      </c>
      <c r="J183" s="14" t="s">
        <v>244</v>
      </c>
      <c r="K183" s="15">
        <v>27</v>
      </c>
      <c r="L183" s="16">
        <v>11</v>
      </c>
      <c r="M183" s="17">
        <v>5</v>
      </c>
      <c r="N183" s="18">
        <v>109090.9090909091</v>
      </c>
      <c r="O183" s="15">
        <v>2945454.5454545449</v>
      </c>
      <c r="P183" s="16">
        <v>1200000</v>
      </c>
      <c r="Q183" s="17">
        <v>545454.54545454541</v>
      </c>
      <c r="R183" s="18" t="b">
        <v>1</v>
      </c>
      <c r="S183" s="18" t="b">
        <v>1</v>
      </c>
      <c r="T183" s="18" t="b">
        <v>1</v>
      </c>
      <c r="U183" s="14" t="s">
        <v>248</v>
      </c>
    </row>
    <row r="184" spans="1:21" x14ac:dyDescent="0.3">
      <c r="A184" s="14" t="s">
        <v>443</v>
      </c>
      <c r="B184" s="14" t="s">
        <v>446</v>
      </c>
      <c r="C184" s="22"/>
      <c r="D184" s="15">
        <v>0.25</v>
      </c>
      <c r="E184" s="16">
        <v>0.1</v>
      </c>
      <c r="F184" s="17">
        <v>0.05</v>
      </c>
      <c r="G184" s="18">
        <v>251</v>
      </c>
      <c r="H184" s="18">
        <v>2248000</v>
      </c>
      <c r="I184" s="18" t="b">
        <v>0</v>
      </c>
      <c r="J184" s="14" t="s">
        <v>244</v>
      </c>
      <c r="K184" s="15">
        <v>62</v>
      </c>
      <c r="L184" s="16">
        <v>25</v>
      </c>
      <c r="M184" s="17">
        <v>12</v>
      </c>
      <c r="N184" s="18">
        <v>8956.1752988047811</v>
      </c>
      <c r="O184" s="15">
        <v>555282.86852589645</v>
      </c>
      <c r="P184" s="16">
        <v>223904.38247011951</v>
      </c>
      <c r="Q184" s="17">
        <v>107474.1035856574</v>
      </c>
      <c r="R184" s="18" t="b">
        <v>1</v>
      </c>
      <c r="S184" s="18" t="b">
        <v>1</v>
      </c>
      <c r="T184" s="18" t="b">
        <v>1</v>
      </c>
      <c r="U184" s="14" t="s">
        <v>253</v>
      </c>
    </row>
    <row r="185" spans="1:21" x14ac:dyDescent="0.3">
      <c r="A185" s="14" t="s">
        <v>443</v>
      </c>
      <c r="B185" s="14" t="s">
        <v>447</v>
      </c>
      <c r="C185" s="22"/>
      <c r="D185" s="15">
        <v>0.25</v>
      </c>
      <c r="E185" s="16">
        <v>0.1</v>
      </c>
      <c r="F185" s="17">
        <v>0.05</v>
      </c>
      <c r="G185" s="18">
        <v>27</v>
      </c>
      <c r="H185" s="18">
        <v>2700000</v>
      </c>
      <c r="I185" s="18" t="b">
        <v>0</v>
      </c>
      <c r="J185" s="14" t="s">
        <v>244</v>
      </c>
      <c r="K185" s="15">
        <v>6</v>
      </c>
      <c r="L185" s="16">
        <v>2</v>
      </c>
      <c r="M185" s="17">
        <v>1</v>
      </c>
      <c r="N185" s="18">
        <v>100000</v>
      </c>
      <c r="O185" s="15">
        <v>600000</v>
      </c>
      <c r="P185" s="16">
        <v>200000</v>
      </c>
      <c r="Q185" s="17">
        <v>100000</v>
      </c>
      <c r="R185" s="18" t="b">
        <v>1</v>
      </c>
      <c r="S185" s="18" t="b">
        <v>1</v>
      </c>
      <c r="T185" s="18" t="b">
        <v>1</v>
      </c>
      <c r="U185" s="14" t="s">
        <v>245</v>
      </c>
    </row>
    <row r="186" spans="1:21" x14ac:dyDescent="0.3">
      <c r="A186" s="14" t="s">
        <v>443</v>
      </c>
      <c r="B186" s="14" t="s">
        <v>448</v>
      </c>
      <c r="C186" s="22"/>
      <c r="D186" s="15">
        <v>0.25</v>
      </c>
      <c r="E186" s="16">
        <v>0.1</v>
      </c>
      <c r="F186" s="17">
        <v>0.05</v>
      </c>
      <c r="G186" s="18">
        <v>2</v>
      </c>
      <c r="H186" s="18">
        <v>600000</v>
      </c>
      <c r="I186" s="18" t="b">
        <v>0</v>
      </c>
      <c r="J186" s="14" t="s">
        <v>244</v>
      </c>
      <c r="K186" s="15">
        <v>0</v>
      </c>
      <c r="L186" s="16">
        <v>0</v>
      </c>
      <c r="M186" s="17">
        <v>0</v>
      </c>
      <c r="N186" s="18">
        <v>300000</v>
      </c>
      <c r="O186" s="15">
        <v>0</v>
      </c>
      <c r="P186" s="16">
        <v>0</v>
      </c>
      <c r="Q186" s="17">
        <v>0</v>
      </c>
      <c r="R186" s="18" t="b">
        <v>1</v>
      </c>
      <c r="S186" s="18" t="b">
        <v>1</v>
      </c>
      <c r="T186" s="18" t="b">
        <v>1</v>
      </c>
      <c r="U186" s="14" t="s">
        <v>245</v>
      </c>
    </row>
    <row r="187" spans="1:21" x14ac:dyDescent="0.3">
      <c r="A187" s="14" t="s">
        <v>211</v>
      </c>
      <c r="B187" s="14" t="s">
        <v>449</v>
      </c>
      <c r="C187" s="22"/>
      <c r="D187" s="15">
        <v>0.25</v>
      </c>
      <c r="E187" s="16">
        <v>0.1</v>
      </c>
      <c r="F187" s="17">
        <v>0.05</v>
      </c>
      <c r="G187" s="18">
        <v>373</v>
      </c>
      <c r="H187" s="18">
        <v>17730000</v>
      </c>
      <c r="I187" s="18" t="b">
        <v>0</v>
      </c>
      <c r="J187" s="14" t="s">
        <v>244</v>
      </c>
      <c r="K187" s="15">
        <v>93</v>
      </c>
      <c r="L187" s="16">
        <v>37</v>
      </c>
      <c r="M187" s="17">
        <v>18</v>
      </c>
      <c r="N187" s="18">
        <v>47533.512064343173</v>
      </c>
      <c r="O187" s="15">
        <v>4420616.6219839146</v>
      </c>
      <c r="P187" s="16">
        <v>1758739.946380697</v>
      </c>
      <c r="Q187" s="17">
        <v>855603.21715817694</v>
      </c>
      <c r="R187" s="18" t="b">
        <v>1</v>
      </c>
      <c r="S187" s="18" t="b">
        <v>1</v>
      </c>
      <c r="T187" s="18" t="b">
        <v>1</v>
      </c>
      <c r="U187" s="14" t="s">
        <v>245</v>
      </c>
    </row>
    <row r="188" spans="1:21" x14ac:dyDescent="0.3">
      <c r="A188" s="14" t="s">
        <v>211</v>
      </c>
      <c r="B188" s="14" t="s">
        <v>450</v>
      </c>
      <c r="C188" s="22"/>
      <c r="D188" s="15">
        <v>0.25</v>
      </c>
      <c r="E188" s="16">
        <v>0.1</v>
      </c>
      <c r="F188" s="17">
        <v>0.05</v>
      </c>
      <c r="G188" s="18">
        <v>55</v>
      </c>
      <c r="H188" s="18">
        <v>5000000</v>
      </c>
      <c r="I188" s="18" t="b">
        <v>0</v>
      </c>
      <c r="J188" s="14" t="s">
        <v>244</v>
      </c>
      <c r="K188" s="15">
        <v>13</v>
      </c>
      <c r="L188" s="16">
        <v>5</v>
      </c>
      <c r="M188" s="17">
        <v>2</v>
      </c>
      <c r="N188" s="18">
        <v>90909.090909090912</v>
      </c>
      <c r="O188" s="15">
        <v>1181818.1818181821</v>
      </c>
      <c r="P188" s="16">
        <v>454545.45454545459</v>
      </c>
      <c r="Q188" s="17">
        <v>181818.18181818179</v>
      </c>
      <c r="R188" s="18" t="b">
        <v>1</v>
      </c>
      <c r="S188" s="18" t="b">
        <v>1</v>
      </c>
      <c r="T188" s="18" t="b">
        <v>1</v>
      </c>
      <c r="U188" s="14" t="s">
        <v>248</v>
      </c>
    </row>
    <row r="189" spans="1:21" x14ac:dyDescent="0.3">
      <c r="A189" s="14" t="s">
        <v>211</v>
      </c>
      <c r="B189" s="14" t="s">
        <v>451</v>
      </c>
      <c r="C189" s="22"/>
      <c r="D189" s="15">
        <v>0.25</v>
      </c>
      <c r="E189" s="16">
        <v>0.1</v>
      </c>
      <c r="F189" s="17">
        <v>0.05</v>
      </c>
      <c r="G189" s="18">
        <v>300</v>
      </c>
      <c r="H189" s="18">
        <v>21000000</v>
      </c>
      <c r="I189" s="18" t="b">
        <v>0</v>
      </c>
      <c r="J189" s="14" t="s">
        <v>244</v>
      </c>
      <c r="K189" s="15">
        <v>75</v>
      </c>
      <c r="L189" s="16">
        <v>30</v>
      </c>
      <c r="M189" s="17">
        <v>15</v>
      </c>
      <c r="N189" s="18">
        <v>70000</v>
      </c>
      <c r="O189" s="15">
        <v>5250000</v>
      </c>
      <c r="P189" s="16">
        <v>2100000</v>
      </c>
      <c r="Q189" s="17">
        <v>1050000</v>
      </c>
      <c r="R189" s="18" t="b">
        <v>1</v>
      </c>
      <c r="S189" s="18" t="b">
        <v>1</v>
      </c>
      <c r="T189" s="18" t="b">
        <v>1</v>
      </c>
      <c r="U189" s="14" t="s">
        <v>248</v>
      </c>
    </row>
    <row r="190" spans="1:21" x14ac:dyDescent="0.3">
      <c r="A190" s="14" t="s">
        <v>211</v>
      </c>
      <c r="B190" s="14" t="s">
        <v>452</v>
      </c>
      <c r="C190" s="22"/>
      <c r="D190" s="15">
        <v>0.25</v>
      </c>
      <c r="E190" s="16">
        <v>0.1</v>
      </c>
      <c r="F190" s="17">
        <v>0.05</v>
      </c>
      <c r="G190" s="18">
        <v>92</v>
      </c>
      <c r="H190" s="18">
        <v>21000000</v>
      </c>
      <c r="I190" s="18" t="b">
        <v>0</v>
      </c>
      <c r="J190" s="14" t="s">
        <v>244</v>
      </c>
      <c r="K190" s="15">
        <v>23</v>
      </c>
      <c r="L190" s="16">
        <v>9</v>
      </c>
      <c r="M190" s="17">
        <v>4</v>
      </c>
      <c r="N190" s="18">
        <v>228260.86956521741</v>
      </c>
      <c r="O190" s="15">
        <v>5250000</v>
      </c>
      <c r="P190" s="16">
        <v>2054347.8260869561</v>
      </c>
      <c r="Q190" s="17">
        <v>913043.47826086951</v>
      </c>
      <c r="R190" s="18" t="b">
        <v>1</v>
      </c>
      <c r="S190" s="18" t="b">
        <v>1</v>
      </c>
      <c r="T190" s="18" t="b">
        <v>1</v>
      </c>
      <c r="U190" s="14" t="s">
        <v>248</v>
      </c>
    </row>
    <row r="191" spans="1:21" x14ac:dyDescent="0.3">
      <c r="A191" s="14" t="s">
        <v>211</v>
      </c>
      <c r="B191" s="14" t="s">
        <v>453</v>
      </c>
      <c r="C191" s="22"/>
      <c r="D191" s="15">
        <v>0.25</v>
      </c>
      <c r="E191" s="16">
        <v>0.1</v>
      </c>
      <c r="F191" s="17">
        <v>0.05</v>
      </c>
      <c r="G191" s="18">
        <v>30</v>
      </c>
      <c r="H191" s="18">
        <v>6500000</v>
      </c>
      <c r="I191" s="18" t="b">
        <v>0</v>
      </c>
      <c r="J191" s="14" t="s">
        <v>244</v>
      </c>
      <c r="K191" s="15">
        <v>7</v>
      </c>
      <c r="L191" s="16">
        <v>3</v>
      </c>
      <c r="M191" s="17">
        <v>1</v>
      </c>
      <c r="N191" s="18">
        <v>216666.66666666669</v>
      </c>
      <c r="O191" s="15">
        <v>1516666.666666667</v>
      </c>
      <c r="P191" s="16">
        <v>650000</v>
      </c>
      <c r="Q191" s="17">
        <v>216666.66666666669</v>
      </c>
      <c r="R191" s="18" t="b">
        <v>1</v>
      </c>
      <c r="S191" s="18" t="b">
        <v>1</v>
      </c>
      <c r="T191" s="18" t="b">
        <v>1</v>
      </c>
      <c r="U191" s="14" t="s">
        <v>248</v>
      </c>
    </row>
    <row r="192" spans="1:21" x14ac:dyDescent="0.3">
      <c r="A192" s="14" t="s">
        <v>211</v>
      </c>
      <c r="B192" s="14" t="s">
        <v>454</v>
      </c>
      <c r="C192" s="22"/>
      <c r="D192" s="15">
        <v>0.25</v>
      </c>
      <c r="E192" s="16">
        <v>0.1</v>
      </c>
      <c r="F192" s="17">
        <v>0.05</v>
      </c>
      <c r="G192" s="18">
        <v>200</v>
      </c>
      <c r="H192" s="18">
        <v>11000000</v>
      </c>
      <c r="I192" s="18" t="b">
        <v>0</v>
      </c>
      <c r="J192" s="14" t="s">
        <v>244</v>
      </c>
      <c r="K192" s="15">
        <v>50</v>
      </c>
      <c r="L192" s="16">
        <v>20</v>
      </c>
      <c r="M192" s="17">
        <v>10</v>
      </c>
      <c r="N192" s="18">
        <v>55000</v>
      </c>
      <c r="O192" s="15">
        <v>2750000</v>
      </c>
      <c r="P192" s="16">
        <v>1100000</v>
      </c>
      <c r="Q192" s="17">
        <v>550000</v>
      </c>
      <c r="R192" s="18" t="b">
        <v>1</v>
      </c>
      <c r="S192" s="18" t="b">
        <v>1</v>
      </c>
      <c r="T192" s="18" t="b">
        <v>1</v>
      </c>
      <c r="U192" s="14" t="s">
        <v>248</v>
      </c>
    </row>
    <row r="193" spans="1:21" x14ac:dyDescent="0.3">
      <c r="A193" s="14" t="s">
        <v>455</v>
      </c>
      <c r="B193" s="14" t="s">
        <v>456</v>
      </c>
      <c r="C193" s="22"/>
      <c r="D193" s="15">
        <v>0.25</v>
      </c>
      <c r="E193" s="16">
        <v>0.1</v>
      </c>
      <c r="F193" s="17">
        <v>0.05</v>
      </c>
      <c r="G193" s="18">
        <v>34</v>
      </c>
      <c r="H193" s="18">
        <v>1480000</v>
      </c>
      <c r="I193" s="18" t="b">
        <v>0</v>
      </c>
      <c r="J193" s="14" t="s">
        <v>244</v>
      </c>
      <c r="K193" s="15">
        <v>8</v>
      </c>
      <c r="L193" s="16">
        <v>3</v>
      </c>
      <c r="M193" s="17">
        <v>1</v>
      </c>
      <c r="N193" s="18">
        <v>43529.411764705881</v>
      </c>
      <c r="O193" s="15">
        <v>348235.29411764699</v>
      </c>
      <c r="P193" s="16">
        <v>130588.23529411769</v>
      </c>
      <c r="Q193" s="17">
        <v>43529.411764705881</v>
      </c>
      <c r="R193" s="18" t="b">
        <v>1</v>
      </c>
      <c r="S193" s="18" t="b">
        <v>1</v>
      </c>
      <c r="T193" s="18" t="b">
        <v>1</v>
      </c>
      <c r="U193" s="14" t="s">
        <v>248</v>
      </c>
    </row>
    <row r="194" spans="1:21" x14ac:dyDescent="0.3">
      <c r="A194" s="14" t="s">
        <v>455</v>
      </c>
      <c r="B194" s="14" t="s">
        <v>457</v>
      </c>
      <c r="C194" s="22"/>
      <c r="D194" s="15">
        <v>0.25</v>
      </c>
      <c r="E194" s="16">
        <v>0.1</v>
      </c>
      <c r="F194" s="17">
        <v>0.05</v>
      </c>
      <c r="G194" s="18">
        <v>34</v>
      </c>
      <c r="H194" s="18">
        <v>1240000</v>
      </c>
      <c r="I194" s="18" t="b">
        <v>0</v>
      </c>
      <c r="J194" s="14" t="s">
        <v>244</v>
      </c>
      <c r="K194" s="15">
        <v>8</v>
      </c>
      <c r="L194" s="16">
        <v>3</v>
      </c>
      <c r="M194" s="17">
        <v>1</v>
      </c>
      <c r="N194" s="18">
        <v>36470.588235294119</v>
      </c>
      <c r="O194" s="15">
        <v>291764.70588235301</v>
      </c>
      <c r="P194" s="16">
        <v>109411.76470588231</v>
      </c>
      <c r="Q194" s="17">
        <v>36470.588235294119</v>
      </c>
      <c r="R194" s="18" t="b">
        <v>1</v>
      </c>
      <c r="S194" s="18" t="b">
        <v>1</v>
      </c>
      <c r="T194" s="18" t="b">
        <v>1</v>
      </c>
      <c r="U194" s="14" t="s">
        <v>248</v>
      </c>
    </row>
    <row r="195" spans="1:21" x14ac:dyDescent="0.3">
      <c r="A195" s="14" t="s">
        <v>455</v>
      </c>
      <c r="B195" s="14" t="s">
        <v>458</v>
      </c>
      <c r="C195" s="22"/>
      <c r="D195" s="15">
        <v>0.25</v>
      </c>
      <c r="E195" s="16">
        <v>0.1</v>
      </c>
      <c r="F195" s="17">
        <v>0.05</v>
      </c>
      <c r="G195" s="18">
        <v>66</v>
      </c>
      <c r="H195" s="18">
        <v>1360000</v>
      </c>
      <c r="I195" s="18" t="b">
        <v>0</v>
      </c>
      <c r="J195" s="14" t="s">
        <v>244</v>
      </c>
      <c r="K195" s="15">
        <v>16</v>
      </c>
      <c r="L195" s="16">
        <v>6</v>
      </c>
      <c r="M195" s="17">
        <v>3</v>
      </c>
      <c r="N195" s="18">
        <v>20606.060606060611</v>
      </c>
      <c r="O195" s="15">
        <v>329696.96969696973</v>
      </c>
      <c r="P195" s="16">
        <v>123636.3636363636</v>
      </c>
      <c r="Q195" s="17">
        <v>61818.181818181823</v>
      </c>
      <c r="R195" s="18" t="b">
        <v>1</v>
      </c>
      <c r="S195" s="18" t="b">
        <v>1</v>
      </c>
      <c r="T195" s="18" t="b">
        <v>1</v>
      </c>
      <c r="U195" s="14" t="s">
        <v>248</v>
      </c>
    </row>
    <row r="196" spans="1:21" x14ac:dyDescent="0.3">
      <c r="A196" s="14" t="s">
        <v>455</v>
      </c>
      <c r="B196" s="14" t="s">
        <v>459</v>
      </c>
      <c r="C196" s="22"/>
      <c r="D196" s="15">
        <v>0.25</v>
      </c>
      <c r="E196" s="16">
        <v>0.1</v>
      </c>
      <c r="F196" s="17">
        <v>0.05</v>
      </c>
      <c r="G196" s="18">
        <v>47</v>
      </c>
      <c r="H196" s="18">
        <v>1800000</v>
      </c>
      <c r="I196" s="18" t="b">
        <v>0</v>
      </c>
      <c r="J196" s="14" t="s">
        <v>244</v>
      </c>
      <c r="K196" s="15">
        <v>11</v>
      </c>
      <c r="L196" s="16">
        <v>4</v>
      </c>
      <c r="M196" s="17">
        <v>2</v>
      </c>
      <c r="N196" s="18">
        <v>38297.872340425529</v>
      </c>
      <c r="O196" s="15">
        <v>421276.59574468079</v>
      </c>
      <c r="P196" s="16">
        <v>153191.48936170209</v>
      </c>
      <c r="Q196" s="17">
        <v>76595.744680851058</v>
      </c>
      <c r="R196" s="18" t="b">
        <v>1</v>
      </c>
      <c r="S196" s="18" t="b">
        <v>1</v>
      </c>
      <c r="T196" s="18" t="b">
        <v>1</v>
      </c>
      <c r="U196" s="14" t="s">
        <v>248</v>
      </c>
    </row>
    <row r="197" spans="1:21" x14ac:dyDescent="0.3">
      <c r="A197" s="14" t="s">
        <v>455</v>
      </c>
      <c r="B197" s="14" t="s">
        <v>460</v>
      </c>
      <c r="C197" s="22"/>
      <c r="D197" s="15">
        <v>0.25</v>
      </c>
      <c r="E197" s="16">
        <v>0.1</v>
      </c>
      <c r="F197" s="17">
        <v>0.05</v>
      </c>
      <c r="G197" s="18">
        <v>38</v>
      </c>
      <c r="H197" s="18">
        <v>920000</v>
      </c>
      <c r="I197" s="18" t="b">
        <v>0</v>
      </c>
      <c r="J197" s="14" t="s">
        <v>244</v>
      </c>
      <c r="K197" s="15">
        <v>9</v>
      </c>
      <c r="L197" s="16">
        <v>3</v>
      </c>
      <c r="M197" s="17">
        <v>1</v>
      </c>
      <c r="N197" s="18">
        <v>24210.52631578947</v>
      </c>
      <c r="O197" s="15">
        <v>217894.73684210531</v>
      </c>
      <c r="P197" s="16">
        <v>72631.578947368427</v>
      </c>
      <c r="Q197" s="17">
        <v>24210.52631578947</v>
      </c>
      <c r="R197" s="18" t="b">
        <v>1</v>
      </c>
      <c r="S197" s="18" t="b">
        <v>1</v>
      </c>
      <c r="T197" s="18" t="b">
        <v>1</v>
      </c>
      <c r="U197" s="14" t="s">
        <v>248</v>
      </c>
    </row>
    <row r="198" spans="1:21" x14ac:dyDescent="0.3">
      <c r="A198" s="14" t="s">
        <v>455</v>
      </c>
      <c r="B198" s="14" t="s">
        <v>461</v>
      </c>
      <c r="C198" s="22"/>
      <c r="D198" s="15">
        <v>0.25</v>
      </c>
      <c r="E198" s="16">
        <v>0.1</v>
      </c>
      <c r="F198" s="17">
        <v>0.05</v>
      </c>
      <c r="G198" s="18">
        <v>58</v>
      </c>
      <c r="H198" s="18">
        <v>1680000</v>
      </c>
      <c r="I198" s="18" t="b">
        <v>0</v>
      </c>
      <c r="J198" s="14" t="s">
        <v>244</v>
      </c>
      <c r="K198" s="15">
        <v>14</v>
      </c>
      <c r="L198" s="16">
        <v>5</v>
      </c>
      <c r="M198" s="17">
        <v>2</v>
      </c>
      <c r="N198" s="18">
        <v>28965.517241379312</v>
      </c>
      <c r="O198" s="15">
        <v>405517.24137931038</v>
      </c>
      <c r="P198" s="16">
        <v>144827.58620689661</v>
      </c>
      <c r="Q198" s="17">
        <v>57931.034482758623</v>
      </c>
      <c r="R198" s="18" t="b">
        <v>1</v>
      </c>
      <c r="S198" s="18" t="b">
        <v>1</v>
      </c>
      <c r="T198" s="18" t="b">
        <v>1</v>
      </c>
      <c r="U198" s="14" t="s">
        <v>248</v>
      </c>
    </row>
    <row r="199" spans="1:21" x14ac:dyDescent="0.3">
      <c r="A199" s="14" t="s">
        <v>455</v>
      </c>
      <c r="B199" s="14" t="s">
        <v>462</v>
      </c>
      <c r="C199" s="22"/>
      <c r="D199" s="15">
        <v>0.25</v>
      </c>
      <c r="E199" s="16">
        <v>0.1</v>
      </c>
      <c r="F199" s="17">
        <v>0.05</v>
      </c>
      <c r="G199" s="18">
        <v>62</v>
      </c>
      <c r="H199" s="18">
        <v>1480000</v>
      </c>
      <c r="I199" s="18" t="b">
        <v>0</v>
      </c>
      <c r="J199" s="14" t="s">
        <v>244</v>
      </c>
      <c r="K199" s="15">
        <v>15</v>
      </c>
      <c r="L199" s="16">
        <v>6</v>
      </c>
      <c r="M199" s="17">
        <v>3</v>
      </c>
      <c r="N199" s="18">
        <v>23870.967741935481</v>
      </c>
      <c r="O199" s="15">
        <v>358064.51612903218</v>
      </c>
      <c r="P199" s="16">
        <v>143225.80645161291</v>
      </c>
      <c r="Q199" s="17">
        <v>71612.903225806454</v>
      </c>
      <c r="R199" s="18" t="b">
        <v>1</v>
      </c>
      <c r="S199" s="18" t="b">
        <v>1</v>
      </c>
      <c r="T199" s="18" t="b">
        <v>1</v>
      </c>
      <c r="U199" s="14" t="s">
        <v>248</v>
      </c>
    </row>
    <row r="200" spans="1:21" x14ac:dyDescent="0.3">
      <c r="A200" s="14" t="s">
        <v>455</v>
      </c>
      <c r="B200" s="14" t="s">
        <v>463</v>
      </c>
      <c r="C200" s="22"/>
      <c r="D200" s="15">
        <v>0.25</v>
      </c>
      <c r="E200" s="16">
        <v>0.1</v>
      </c>
      <c r="F200" s="17">
        <v>0.05</v>
      </c>
      <c r="G200" s="18"/>
      <c r="H200" s="18">
        <v>1200000</v>
      </c>
      <c r="I200" s="18" t="b">
        <v>0</v>
      </c>
      <c r="J200" s="14" t="s">
        <v>244</v>
      </c>
      <c r="K200" s="15"/>
      <c r="L200" s="16"/>
      <c r="M200" s="17"/>
      <c r="N200" s="18"/>
      <c r="O200" s="15"/>
      <c r="P200" s="16"/>
      <c r="Q200" s="17"/>
      <c r="R200" s="18" t="b">
        <v>1</v>
      </c>
      <c r="S200" s="18" t="b">
        <v>1</v>
      </c>
      <c r="T200" s="18" t="b">
        <v>1</v>
      </c>
      <c r="U200" s="14" t="s">
        <v>253</v>
      </c>
    </row>
    <row r="201" spans="1:21" x14ac:dyDescent="0.3">
      <c r="A201" s="14" t="s">
        <v>455</v>
      </c>
      <c r="B201" s="14" t="s">
        <v>464</v>
      </c>
      <c r="C201" s="22"/>
      <c r="D201" s="15">
        <v>0.25</v>
      </c>
      <c r="E201" s="16">
        <v>0.1</v>
      </c>
      <c r="F201" s="17">
        <v>0.05</v>
      </c>
      <c r="G201" s="18"/>
      <c r="H201" s="18">
        <v>1125000</v>
      </c>
      <c r="I201" s="18" t="b">
        <v>0</v>
      </c>
      <c r="J201" s="14" t="s">
        <v>244</v>
      </c>
      <c r="K201" s="15"/>
      <c r="L201" s="16"/>
      <c r="M201" s="17"/>
      <c r="N201" s="18"/>
      <c r="O201" s="15"/>
      <c r="P201" s="16"/>
      <c r="Q201" s="17"/>
      <c r="R201" s="18" t="b">
        <v>1</v>
      </c>
      <c r="S201" s="18" t="b">
        <v>1</v>
      </c>
      <c r="T201" s="18" t="b">
        <v>1</v>
      </c>
      <c r="U201" s="14" t="s">
        <v>253</v>
      </c>
    </row>
    <row r="202" spans="1:21" x14ac:dyDescent="0.3">
      <c r="A202" s="14" t="s">
        <v>455</v>
      </c>
      <c r="B202" s="14" t="s">
        <v>465</v>
      </c>
      <c r="C202" s="22"/>
      <c r="D202" s="15">
        <v>0.25</v>
      </c>
      <c r="E202" s="16">
        <v>0.1</v>
      </c>
      <c r="F202" s="17">
        <v>0.05</v>
      </c>
      <c r="G202" s="18">
        <v>84</v>
      </c>
      <c r="H202" s="18">
        <v>3360000</v>
      </c>
      <c r="I202" s="18" t="b">
        <v>0</v>
      </c>
      <c r="J202" s="14" t="s">
        <v>244</v>
      </c>
      <c r="K202" s="15">
        <v>21</v>
      </c>
      <c r="L202" s="16">
        <v>8</v>
      </c>
      <c r="M202" s="17">
        <v>4</v>
      </c>
      <c r="N202" s="18">
        <v>40000</v>
      </c>
      <c r="O202" s="15">
        <v>840000</v>
      </c>
      <c r="P202" s="16">
        <v>320000</v>
      </c>
      <c r="Q202" s="17">
        <v>160000</v>
      </c>
      <c r="R202" s="18" t="b">
        <v>1</v>
      </c>
      <c r="S202" s="18" t="b">
        <v>1</v>
      </c>
      <c r="T202" s="18" t="b">
        <v>1</v>
      </c>
      <c r="U202" s="14" t="s">
        <v>245</v>
      </c>
    </row>
    <row r="203" spans="1:21" x14ac:dyDescent="0.3">
      <c r="A203" s="14" t="s">
        <v>455</v>
      </c>
      <c r="B203" s="14" t="s">
        <v>466</v>
      </c>
      <c r="C203" s="22"/>
      <c r="D203" s="15">
        <v>0.25</v>
      </c>
      <c r="E203" s="16">
        <v>0.1</v>
      </c>
      <c r="F203" s="17">
        <v>0.05</v>
      </c>
      <c r="G203" s="18">
        <v>46</v>
      </c>
      <c r="H203" s="18">
        <v>920000</v>
      </c>
      <c r="I203" s="18" t="b">
        <v>0</v>
      </c>
      <c r="J203" s="14" t="s">
        <v>244</v>
      </c>
      <c r="K203" s="15">
        <v>11</v>
      </c>
      <c r="L203" s="16">
        <v>4</v>
      </c>
      <c r="M203" s="17">
        <v>2</v>
      </c>
      <c r="N203" s="18">
        <v>20000</v>
      </c>
      <c r="O203" s="15">
        <v>220000</v>
      </c>
      <c r="P203" s="16">
        <v>80000</v>
      </c>
      <c r="Q203" s="17">
        <v>40000</v>
      </c>
      <c r="R203" s="18" t="b">
        <v>1</v>
      </c>
      <c r="S203" s="18" t="b">
        <v>1</v>
      </c>
      <c r="T203" s="18" t="b">
        <v>1</v>
      </c>
      <c r="U203" s="14" t="s">
        <v>248</v>
      </c>
    </row>
    <row r="204" spans="1:21" x14ac:dyDescent="0.3">
      <c r="A204" s="14" t="s">
        <v>455</v>
      </c>
      <c r="B204" s="14" t="s">
        <v>467</v>
      </c>
      <c r="C204" s="22"/>
      <c r="D204" s="15">
        <v>0.25</v>
      </c>
      <c r="E204" s="16">
        <v>0.1</v>
      </c>
      <c r="F204" s="17">
        <v>0.05</v>
      </c>
      <c r="G204" s="18">
        <v>110</v>
      </c>
      <c r="H204" s="18">
        <v>750000</v>
      </c>
      <c r="I204" s="18" t="b">
        <v>0</v>
      </c>
      <c r="J204" s="14" t="s">
        <v>244</v>
      </c>
      <c r="K204" s="15">
        <v>27</v>
      </c>
      <c r="L204" s="16">
        <v>11</v>
      </c>
      <c r="M204" s="17">
        <v>5</v>
      </c>
      <c r="N204" s="18">
        <v>6818.181818181818</v>
      </c>
      <c r="O204" s="15">
        <v>184090.90909090909</v>
      </c>
      <c r="P204" s="16">
        <v>75000</v>
      </c>
      <c r="Q204" s="17">
        <v>34090.909090909088</v>
      </c>
      <c r="R204" s="18" t="b">
        <v>1</v>
      </c>
      <c r="S204" s="18" t="b">
        <v>1</v>
      </c>
      <c r="T204" s="18" t="b">
        <v>1</v>
      </c>
      <c r="U204" s="14" t="s">
        <v>248</v>
      </c>
    </row>
    <row r="205" spans="1:21" x14ac:dyDescent="0.3">
      <c r="A205" s="14" t="s">
        <v>455</v>
      </c>
      <c r="B205" s="14" t="s">
        <v>468</v>
      </c>
      <c r="C205" s="22"/>
      <c r="D205" s="15">
        <v>0.25</v>
      </c>
      <c r="E205" s="16">
        <v>0.1</v>
      </c>
      <c r="F205" s="17">
        <v>0.05</v>
      </c>
      <c r="G205" s="18">
        <v>30</v>
      </c>
      <c r="H205" s="18">
        <v>620000</v>
      </c>
      <c r="I205" s="18" t="b">
        <v>0</v>
      </c>
      <c r="J205" s="14" t="s">
        <v>244</v>
      </c>
      <c r="K205" s="15">
        <v>7</v>
      </c>
      <c r="L205" s="16">
        <v>3</v>
      </c>
      <c r="M205" s="17">
        <v>1</v>
      </c>
      <c r="N205" s="18">
        <v>20666.666666666672</v>
      </c>
      <c r="O205" s="15">
        <v>144666.66666666669</v>
      </c>
      <c r="P205" s="16">
        <v>62000</v>
      </c>
      <c r="Q205" s="17">
        <v>20666.666666666672</v>
      </c>
      <c r="R205" s="18" t="b">
        <v>1</v>
      </c>
      <c r="S205" s="18" t="b">
        <v>1</v>
      </c>
      <c r="T205" s="18" t="b">
        <v>1</v>
      </c>
      <c r="U205" s="14" t="s">
        <v>248</v>
      </c>
    </row>
    <row r="206" spans="1:21" x14ac:dyDescent="0.3">
      <c r="A206" s="14" t="s">
        <v>455</v>
      </c>
      <c r="B206" s="14" t="s">
        <v>469</v>
      </c>
      <c r="C206" s="22"/>
      <c r="D206" s="15">
        <v>0.25</v>
      </c>
      <c r="E206" s="16">
        <v>0.1</v>
      </c>
      <c r="F206" s="17">
        <v>0.05</v>
      </c>
      <c r="G206" s="18">
        <v>140</v>
      </c>
      <c r="H206" s="18">
        <v>3660000</v>
      </c>
      <c r="I206" s="18" t="b">
        <v>0</v>
      </c>
      <c r="J206" s="14" t="s">
        <v>244</v>
      </c>
      <c r="K206" s="15">
        <v>35</v>
      </c>
      <c r="L206" s="16">
        <v>14</v>
      </c>
      <c r="M206" s="17">
        <v>7</v>
      </c>
      <c r="N206" s="18">
        <v>26142.857142857141</v>
      </c>
      <c r="O206" s="15">
        <v>915000</v>
      </c>
      <c r="P206" s="16">
        <v>366000</v>
      </c>
      <c r="Q206" s="17">
        <v>183000</v>
      </c>
      <c r="R206" s="18" t="b">
        <v>1</v>
      </c>
      <c r="S206" s="18" t="b">
        <v>1</v>
      </c>
      <c r="T206" s="18" t="b">
        <v>1</v>
      </c>
      <c r="U206" s="14" t="s">
        <v>248</v>
      </c>
    </row>
    <row r="207" spans="1:21" x14ac:dyDescent="0.3">
      <c r="A207" s="14" t="s">
        <v>455</v>
      </c>
      <c r="B207" s="14" t="s">
        <v>470</v>
      </c>
      <c r="C207" s="22"/>
      <c r="D207" s="15">
        <v>0.25</v>
      </c>
      <c r="E207" s="16">
        <v>0.1</v>
      </c>
      <c r="F207" s="17">
        <v>0.05</v>
      </c>
      <c r="G207" s="18">
        <v>30</v>
      </c>
      <c r="H207" s="18">
        <v>920000</v>
      </c>
      <c r="I207" s="18" t="b">
        <v>0</v>
      </c>
      <c r="J207" s="14" t="s">
        <v>244</v>
      </c>
      <c r="K207" s="15">
        <v>7</v>
      </c>
      <c r="L207" s="16">
        <v>3</v>
      </c>
      <c r="M207" s="17">
        <v>1</v>
      </c>
      <c r="N207" s="18">
        <v>30666.666666666672</v>
      </c>
      <c r="O207" s="15">
        <v>214666.66666666669</v>
      </c>
      <c r="P207" s="16">
        <v>92000</v>
      </c>
      <c r="Q207" s="17">
        <v>30666.666666666672</v>
      </c>
      <c r="R207" s="18" t="b">
        <v>1</v>
      </c>
      <c r="S207" s="18" t="b">
        <v>1</v>
      </c>
      <c r="T207" s="18" t="b">
        <v>1</v>
      </c>
      <c r="U207" s="14" t="s">
        <v>248</v>
      </c>
    </row>
    <row r="208" spans="1:21" x14ac:dyDescent="0.3">
      <c r="A208" s="14" t="s">
        <v>455</v>
      </c>
      <c r="B208" s="14" t="s">
        <v>471</v>
      </c>
      <c r="C208" s="22"/>
      <c r="D208" s="15">
        <v>0.25</v>
      </c>
      <c r="E208" s="16">
        <v>0.1</v>
      </c>
      <c r="F208" s="17">
        <v>0.05</v>
      </c>
      <c r="G208" s="18"/>
      <c r="H208" s="18">
        <v>400000</v>
      </c>
      <c r="I208" s="18" t="b">
        <v>0</v>
      </c>
      <c r="J208" s="14" t="s">
        <v>244</v>
      </c>
      <c r="K208" s="15"/>
      <c r="L208" s="16"/>
      <c r="M208" s="17"/>
      <c r="N208" s="18"/>
      <c r="O208" s="15"/>
      <c r="P208" s="16"/>
      <c r="Q208" s="17"/>
      <c r="R208" s="18" t="b">
        <v>1</v>
      </c>
      <c r="S208" s="18" t="b">
        <v>1</v>
      </c>
      <c r="T208" s="18" t="b">
        <v>1</v>
      </c>
      <c r="U208" s="14" t="s">
        <v>253</v>
      </c>
    </row>
    <row r="209" spans="1:21" x14ac:dyDescent="0.3">
      <c r="A209" s="14" t="s">
        <v>455</v>
      </c>
      <c r="B209" s="14" t="s">
        <v>472</v>
      </c>
      <c r="C209" s="22"/>
      <c r="D209" s="15">
        <v>0.25</v>
      </c>
      <c r="E209" s="16">
        <v>0.1</v>
      </c>
      <c r="F209" s="17">
        <v>0.05</v>
      </c>
      <c r="G209" s="18">
        <v>24</v>
      </c>
      <c r="H209" s="18">
        <v>960000</v>
      </c>
      <c r="I209" s="18" t="b">
        <v>0</v>
      </c>
      <c r="J209" s="14" t="s">
        <v>244</v>
      </c>
      <c r="K209" s="15">
        <v>6</v>
      </c>
      <c r="L209" s="16">
        <v>2</v>
      </c>
      <c r="M209" s="17">
        <v>1</v>
      </c>
      <c r="N209" s="18">
        <v>40000</v>
      </c>
      <c r="O209" s="15">
        <v>240000</v>
      </c>
      <c r="P209" s="16">
        <v>80000</v>
      </c>
      <c r="Q209" s="17">
        <v>40000</v>
      </c>
      <c r="R209" s="18" t="b">
        <v>1</v>
      </c>
      <c r="S209" s="18" t="b">
        <v>1</v>
      </c>
      <c r="T209" s="18" t="b">
        <v>1</v>
      </c>
      <c r="U209" s="14" t="s">
        <v>257</v>
      </c>
    </row>
    <row r="210" spans="1:21" x14ac:dyDescent="0.3">
      <c r="A210" s="14" t="s">
        <v>139</v>
      </c>
      <c r="B210" s="14" t="s">
        <v>473</v>
      </c>
      <c r="C210" s="22"/>
      <c r="D210" s="15">
        <v>0.25</v>
      </c>
      <c r="E210" s="16">
        <v>0.08</v>
      </c>
      <c r="F210" s="17">
        <v>0.04</v>
      </c>
      <c r="G210" s="18">
        <v>86</v>
      </c>
      <c r="H210" s="18">
        <v>8000000</v>
      </c>
      <c r="I210" s="18" t="b">
        <v>0</v>
      </c>
      <c r="J210" s="14" t="s">
        <v>244</v>
      </c>
      <c r="K210" s="15">
        <v>21</v>
      </c>
      <c r="L210" s="16">
        <v>6</v>
      </c>
      <c r="M210" s="17">
        <v>3</v>
      </c>
      <c r="N210" s="18">
        <v>93023.255813953481</v>
      </c>
      <c r="O210" s="15">
        <v>1953488.372093023</v>
      </c>
      <c r="P210" s="16">
        <v>558139.53488372092</v>
      </c>
      <c r="Q210" s="17">
        <v>279069.76744186052</v>
      </c>
      <c r="R210" s="18" t="b">
        <v>1</v>
      </c>
      <c r="S210" s="18" t="b">
        <v>0</v>
      </c>
      <c r="T210" s="18" t="b">
        <v>0</v>
      </c>
      <c r="U210" s="14" t="s">
        <v>248</v>
      </c>
    </row>
    <row r="211" spans="1:21" x14ac:dyDescent="0.3">
      <c r="A211" s="14" t="s">
        <v>139</v>
      </c>
      <c r="B211" s="14" t="s">
        <v>474</v>
      </c>
      <c r="C211" s="22"/>
      <c r="D211" s="15">
        <v>0.25</v>
      </c>
      <c r="E211" s="16">
        <v>0.1</v>
      </c>
      <c r="F211" s="17">
        <v>0.05</v>
      </c>
      <c r="G211" s="18">
        <v>63</v>
      </c>
      <c r="H211" s="18">
        <v>9000000</v>
      </c>
      <c r="I211" s="18" t="b">
        <v>0</v>
      </c>
      <c r="J211" s="14" t="s">
        <v>244</v>
      </c>
      <c r="K211" s="15">
        <v>15</v>
      </c>
      <c r="L211" s="16">
        <v>6</v>
      </c>
      <c r="M211" s="17">
        <v>3</v>
      </c>
      <c r="N211" s="18">
        <v>142857.1428571429</v>
      </c>
      <c r="O211" s="15">
        <v>2142857.1428571432</v>
      </c>
      <c r="P211" s="16">
        <v>857142.85714285728</v>
      </c>
      <c r="Q211" s="17">
        <v>428571.42857142858</v>
      </c>
      <c r="R211" s="18" t="b">
        <v>1</v>
      </c>
      <c r="S211" s="18" t="b">
        <v>1</v>
      </c>
      <c r="T211" s="18" t="b">
        <v>1</v>
      </c>
      <c r="U211" s="14" t="s">
        <v>245</v>
      </c>
    </row>
    <row r="212" spans="1:21" x14ac:dyDescent="0.3">
      <c r="A212" s="14" t="s">
        <v>475</v>
      </c>
      <c r="B212" s="14" t="s">
        <v>476</v>
      </c>
      <c r="C212" s="22"/>
      <c r="D212" s="15">
        <v>0.25</v>
      </c>
      <c r="E212" s="16">
        <v>0.15</v>
      </c>
      <c r="F212" s="17">
        <v>0.05</v>
      </c>
      <c r="G212" s="18">
        <v>241</v>
      </c>
      <c r="H212" s="18">
        <v>8178650</v>
      </c>
      <c r="I212" s="18" t="b">
        <v>0</v>
      </c>
      <c r="J212" s="14" t="s">
        <v>244</v>
      </c>
      <c r="K212" s="15">
        <v>60</v>
      </c>
      <c r="L212" s="16">
        <v>36</v>
      </c>
      <c r="M212" s="17">
        <v>12</v>
      </c>
      <c r="N212" s="18">
        <v>33936.307053941913</v>
      </c>
      <c r="O212" s="15">
        <v>2036178.423236514</v>
      </c>
      <c r="P212" s="16">
        <v>1221707.053941909</v>
      </c>
      <c r="Q212" s="17">
        <v>407235.68464730278</v>
      </c>
      <c r="R212" s="18" t="b">
        <v>1</v>
      </c>
      <c r="S212" s="18" t="b">
        <v>1</v>
      </c>
      <c r="T212" s="18" t="b">
        <v>1</v>
      </c>
      <c r="U212" s="14" t="s">
        <v>248</v>
      </c>
    </row>
    <row r="213" spans="1:21" x14ac:dyDescent="0.3">
      <c r="A213" s="14" t="s">
        <v>475</v>
      </c>
      <c r="B213" s="14" t="s">
        <v>477</v>
      </c>
      <c r="C213" s="22"/>
      <c r="D213" s="15">
        <v>0.25</v>
      </c>
      <c r="E213" s="16">
        <v>0.15</v>
      </c>
      <c r="F213" s="17">
        <v>0.05</v>
      </c>
      <c r="G213" s="18"/>
      <c r="H213" s="18">
        <v>2782706</v>
      </c>
      <c r="I213" s="18" t="b">
        <v>0</v>
      </c>
      <c r="J213" s="14" t="s">
        <v>244</v>
      </c>
      <c r="K213" s="15"/>
      <c r="L213" s="16"/>
      <c r="M213" s="17"/>
      <c r="N213" s="18"/>
      <c r="O213" s="15"/>
      <c r="P213" s="16"/>
      <c r="Q213" s="17"/>
      <c r="R213" s="18" t="b">
        <v>1</v>
      </c>
      <c r="S213" s="18" t="b">
        <v>1</v>
      </c>
      <c r="T213" s="18" t="b">
        <v>1</v>
      </c>
      <c r="U213" s="14" t="s">
        <v>253</v>
      </c>
    </row>
    <row r="214" spans="1:21" x14ac:dyDescent="0.3">
      <c r="A214" s="14" t="s">
        <v>475</v>
      </c>
      <c r="B214" s="14" t="s">
        <v>478</v>
      </c>
      <c r="C214" s="22"/>
      <c r="D214" s="15">
        <v>0.25</v>
      </c>
      <c r="E214" s="16">
        <v>0.15</v>
      </c>
      <c r="F214" s="17">
        <v>0.05</v>
      </c>
      <c r="G214" s="18"/>
      <c r="H214" s="18">
        <v>1000000</v>
      </c>
      <c r="I214" s="18" t="b">
        <v>0</v>
      </c>
      <c r="J214" s="14" t="s">
        <v>244</v>
      </c>
      <c r="K214" s="15"/>
      <c r="L214" s="16"/>
      <c r="M214" s="17"/>
      <c r="N214" s="18"/>
      <c r="O214" s="15"/>
      <c r="P214" s="16"/>
      <c r="Q214" s="17"/>
      <c r="R214" s="18" t="b">
        <v>1</v>
      </c>
      <c r="S214" s="18" t="b">
        <v>1</v>
      </c>
      <c r="T214" s="18" t="b">
        <v>1</v>
      </c>
      <c r="U214" s="14" t="s">
        <v>257</v>
      </c>
    </row>
    <row r="215" spans="1:21" x14ac:dyDescent="0.3">
      <c r="A215" s="14" t="s">
        <v>475</v>
      </c>
      <c r="B215" s="14" t="s">
        <v>479</v>
      </c>
      <c r="C215" s="22"/>
      <c r="D215" s="15">
        <v>0.25</v>
      </c>
      <c r="E215" s="16">
        <v>0.15</v>
      </c>
      <c r="F215" s="17">
        <v>0.05</v>
      </c>
      <c r="G215" s="18">
        <v>20</v>
      </c>
      <c r="H215" s="18">
        <v>1444328.08</v>
      </c>
      <c r="I215" s="18" t="b">
        <v>0</v>
      </c>
      <c r="J215" s="14" t="s">
        <v>244</v>
      </c>
      <c r="K215" s="15">
        <v>5</v>
      </c>
      <c r="L215" s="16">
        <v>3</v>
      </c>
      <c r="M215" s="17">
        <v>1</v>
      </c>
      <c r="N215" s="18">
        <v>72216.40400000001</v>
      </c>
      <c r="O215" s="15">
        <v>361082.02</v>
      </c>
      <c r="P215" s="16">
        <v>216649.212</v>
      </c>
      <c r="Q215" s="17">
        <v>72216.40400000001</v>
      </c>
      <c r="R215" s="18" t="b">
        <v>1</v>
      </c>
      <c r="S215" s="18" t="b">
        <v>1</v>
      </c>
      <c r="T215" s="18" t="b">
        <v>1</v>
      </c>
      <c r="U215" s="14" t="s">
        <v>245</v>
      </c>
    </row>
    <row r="216" spans="1:21" x14ac:dyDescent="0.3">
      <c r="A216" s="14" t="s">
        <v>475</v>
      </c>
      <c r="B216" s="14" t="s">
        <v>480</v>
      </c>
      <c r="C216" s="22"/>
      <c r="D216" s="15">
        <v>0.25</v>
      </c>
      <c r="E216" s="16">
        <v>0.15</v>
      </c>
      <c r="F216" s="17">
        <v>0.05</v>
      </c>
      <c r="G216" s="18">
        <v>1</v>
      </c>
      <c r="H216" s="18">
        <v>361082.01</v>
      </c>
      <c r="I216" s="18" t="b">
        <v>0</v>
      </c>
      <c r="J216" s="14" t="s">
        <v>244</v>
      </c>
      <c r="K216" s="15">
        <v>0</v>
      </c>
      <c r="L216" s="16">
        <v>0</v>
      </c>
      <c r="M216" s="17">
        <v>0</v>
      </c>
      <c r="N216" s="18">
        <v>361082.01</v>
      </c>
      <c r="O216" s="15">
        <v>0</v>
      </c>
      <c r="P216" s="16">
        <v>0</v>
      </c>
      <c r="Q216" s="17">
        <v>0</v>
      </c>
      <c r="R216" s="18" t="b">
        <v>1</v>
      </c>
      <c r="S216" s="18" t="b">
        <v>1</v>
      </c>
      <c r="T216" s="18" t="b">
        <v>1</v>
      </c>
      <c r="U216" s="14" t="s">
        <v>245</v>
      </c>
    </row>
    <row r="217" spans="1:21" x14ac:dyDescent="0.3">
      <c r="A217" s="14" t="s">
        <v>283</v>
      </c>
      <c r="B217" s="14" t="s">
        <v>481</v>
      </c>
      <c r="C217" s="22"/>
      <c r="D217" s="15">
        <v>0.25</v>
      </c>
      <c r="E217" s="16">
        <v>0.1</v>
      </c>
      <c r="F217" s="17">
        <v>0.05</v>
      </c>
      <c r="G217" s="18">
        <v>110</v>
      </c>
      <c r="H217" s="18">
        <v>4950000</v>
      </c>
      <c r="I217" s="18" t="b">
        <v>0</v>
      </c>
      <c r="J217" s="14" t="s">
        <v>244</v>
      </c>
      <c r="K217" s="15">
        <v>27</v>
      </c>
      <c r="L217" s="16">
        <v>11</v>
      </c>
      <c r="M217" s="17">
        <v>5</v>
      </c>
      <c r="N217" s="18">
        <v>45000</v>
      </c>
      <c r="O217" s="15">
        <v>1215000</v>
      </c>
      <c r="P217" s="16">
        <v>495000</v>
      </c>
      <c r="Q217" s="17">
        <v>225000</v>
      </c>
      <c r="R217" s="18" t="b">
        <v>1</v>
      </c>
      <c r="S217" s="18" t="b">
        <v>1</v>
      </c>
      <c r="T217" s="18" t="b">
        <v>1</v>
      </c>
      <c r="U217" s="14" t="s">
        <v>245</v>
      </c>
    </row>
    <row r="218" spans="1:21" x14ac:dyDescent="0.3">
      <c r="A218" s="14" t="s">
        <v>283</v>
      </c>
      <c r="B218" s="14" t="s">
        <v>482</v>
      </c>
      <c r="C218" s="22"/>
      <c r="D218" s="15">
        <v>0.25</v>
      </c>
      <c r="E218" s="16">
        <v>0.1</v>
      </c>
      <c r="F218" s="17">
        <v>0.05</v>
      </c>
      <c r="G218" s="18">
        <v>140</v>
      </c>
      <c r="H218" s="18">
        <v>3150000</v>
      </c>
      <c r="I218" s="18" t="b">
        <v>0</v>
      </c>
      <c r="J218" s="14" t="s">
        <v>244</v>
      </c>
      <c r="K218" s="15">
        <v>35</v>
      </c>
      <c r="L218" s="16">
        <v>14</v>
      </c>
      <c r="M218" s="17">
        <v>7</v>
      </c>
      <c r="N218" s="18">
        <v>22500</v>
      </c>
      <c r="O218" s="15">
        <v>787500</v>
      </c>
      <c r="P218" s="16">
        <v>315000</v>
      </c>
      <c r="Q218" s="17">
        <v>157500</v>
      </c>
      <c r="R218" s="18" t="b">
        <v>1</v>
      </c>
      <c r="S218" s="18" t="b">
        <v>1</v>
      </c>
      <c r="T218" s="18" t="b">
        <v>1</v>
      </c>
      <c r="U218" s="14" t="s">
        <v>253</v>
      </c>
    </row>
    <row r="219" spans="1:21" x14ac:dyDescent="0.3">
      <c r="A219" s="14" t="s">
        <v>283</v>
      </c>
      <c r="B219" s="14" t="s">
        <v>483</v>
      </c>
      <c r="C219" s="22"/>
      <c r="D219" s="15">
        <v>0.25</v>
      </c>
      <c r="E219" s="16">
        <v>0.1</v>
      </c>
      <c r="F219" s="17">
        <v>0.05</v>
      </c>
      <c r="G219" s="18">
        <v>35</v>
      </c>
      <c r="H219" s="18">
        <v>1050000</v>
      </c>
      <c r="I219" s="18" t="b">
        <v>0</v>
      </c>
      <c r="J219" s="14" t="s">
        <v>244</v>
      </c>
      <c r="K219" s="15">
        <v>8</v>
      </c>
      <c r="L219" s="16">
        <v>3</v>
      </c>
      <c r="M219" s="17">
        <v>1</v>
      </c>
      <c r="N219" s="18">
        <v>30000</v>
      </c>
      <c r="O219" s="15">
        <v>240000</v>
      </c>
      <c r="P219" s="16">
        <v>90000</v>
      </c>
      <c r="Q219" s="17">
        <v>30000</v>
      </c>
      <c r="R219" s="18" t="b">
        <v>1</v>
      </c>
      <c r="S219" s="18" t="b">
        <v>1</v>
      </c>
      <c r="T219" s="18" t="b">
        <v>1</v>
      </c>
      <c r="U219" s="14" t="s">
        <v>253</v>
      </c>
    </row>
    <row r="220" spans="1:21" x14ac:dyDescent="0.3">
      <c r="A220" s="14" t="s">
        <v>484</v>
      </c>
      <c r="B220" s="14" t="s">
        <v>485</v>
      </c>
      <c r="C220" s="22"/>
      <c r="D220" s="15">
        <v>0.25</v>
      </c>
      <c r="E220" s="16">
        <v>0.1</v>
      </c>
      <c r="F220" s="17">
        <v>0.05</v>
      </c>
      <c r="G220" s="18">
        <v>15</v>
      </c>
      <c r="H220" s="18">
        <v>1500000</v>
      </c>
      <c r="I220" s="18" t="b">
        <v>0</v>
      </c>
      <c r="J220" s="14" t="s">
        <v>244</v>
      </c>
      <c r="K220" s="15">
        <v>3</v>
      </c>
      <c r="L220" s="16">
        <v>1</v>
      </c>
      <c r="M220" s="17">
        <v>0</v>
      </c>
      <c r="N220" s="18">
        <v>100000</v>
      </c>
      <c r="O220" s="15">
        <v>300000</v>
      </c>
      <c r="P220" s="16">
        <v>100000</v>
      </c>
      <c r="Q220" s="17">
        <v>0</v>
      </c>
      <c r="R220" s="18" t="b">
        <v>1</v>
      </c>
      <c r="S220" s="18" t="b">
        <v>1</v>
      </c>
      <c r="T220" s="18" t="b">
        <v>1</v>
      </c>
      <c r="U220" s="14" t="s">
        <v>245</v>
      </c>
    </row>
    <row r="221" spans="1:21" x14ac:dyDescent="0.3">
      <c r="A221" s="14" t="s">
        <v>484</v>
      </c>
      <c r="B221" s="14" t="s">
        <v>486</v>
      </c>
      <c r="C221" s="22"/>
      <c r="D221" s="15">
        <v>0.25</v>
      </c>
      <c r="E221" s="16">
        <v>0.1</v>
      </c>
      <c r="F221" s="17">
        <v>0.05</v>
      </c>
      <c r="G221" s="18">
        <v>2</v>
      </c>
      <c r="H221" s="18">
        <v>600000</v>
      </c>
      <c r="I221" s="18" t="b">
        <v>0</v>
      </c>
      <c r="J221" s="14" t="s">
        <v>244</v>
      </c>
      <c r="K221" s="15">
        <v>0</v>
      </c>
      <c r="L221" s="16">
        <v>0</v>
      </c>
      <c r="M221" s="17">
        <v>0</v>
      </c>
      <c r="N221" s="18">
        <v>300000</v>
      </c>
      <c r="O221" s="15">
        <v>0</v>
      </c>
      <c r="P221" s="16">
        <v>0</v>
      </c>
      <c r="Q221" s="17">
        <v>0</v>
      </c>
      <c r="R221" s="18" t="b">
        <v>1</v>
      </c>
      <c r="S221" s="18" t="b">
        <v>1</v>
      </c>
      <c r="T221" s="18" t="b">
        <v>1</v>
      </c>
      <c r="U221" s="14" t="s">
        <v>245</v>
      </c>
    </row>
    <row r="222" spans="1:21" x14ac:dyDescent="0.3">
      <c r="A222" s="14" t="s">
        <v>484</v>
      </c>
      <c r="B222" s="14" t="s">
        <v>487</v>
      </c>
      <c r="C222" s="22"/>
      <c r="D222" s="15">
        <v>0.25</v>
      </c>
      <c r="E222" s="16">
        <v>0.1</v>
      </c>
      <c r="F222" s="17">
        <v>0.05</v>
      </c>
      <c r="G222" s="18">
        <v>80</v>
      </c>
      <c r="H222" s="18">
        <v>950000</v>
      </c>
      <c r="I222" s="18" t="b">
        <v>0</v>
      </c>
      <c r="J222" s="14" t="s">
        <v>244</v>
      </c>
      <c r="K222" s="15">
        <v>20</v>
      </c>
      <c r="L222" s="16">
        <v>8</v>
      </c>
      <c r="M222" s="17">
        <v>4</v>
      </c>
      <c r="N222" s="18">
        <v>11875</v>
      </c>
      <c r="O222" s="15">
        <v>237500</v>
      </c>
      <c r="P222" s="16">
        <v>95000</v>
      </c>
      <c r="Q222" s="17">
        <v>47500</v>
      </c>
      <c r="R222" s="18" t="b">
        <v>1</v>
      </c>
      <c r="S222" s="18" t="b">
        <v>1</v>
      </c>
      <c r="T222" s="18" t="b">
        <v>1</v>
      </c>
      <c r="U222" s="14" t="s">
        <v>245</v>
      </c>
    </row>
    <row r="223" spans="1:21" x14ac:dyDescent="0.3">
      <c r="A223" s="14" t="s">
        <v>484</v>
      </c>
      <c r="B223" s="14" t="s">
        <v>488</v>
      </c>
      <c r="C223" s="22"/>
      <c r="D223" s="15">
        <v>0.25</v>
      </c>
      <c r="E223" s="16">
        <v>0.1</v>
      </c>
      <c r="F223" s="17">
        <v>0.05</v>
      </c>
      <c r="G223" s="18">
        <v>10</v>
      </c>
      <c r="H223" s="18">
        <v>400000</v>
      </c>
      <c r="I223" s="18" t="b">
        <v>0</v>
      </c>
      <c r="J223" s="14" t="s">
        <v>244</v>
      </c>
      <c r="K223" s="15">
        <v>2</v>
      </c>
      <c r="L223" s="16">
        <v>1</v>
      </c>
      <c r="M223" s="17">
        <v>0</v>
      </c>
      <c r="N223" s="18">
        <v>40000</v>
      </c>
      <c r="O223" s="15">
        <v>80000</v>
      </c>
      <c r="P223" s="16">
        <v>40000</v>
      </c>
      <c r="Q223" s="17">
        <v>0</v>
      </c>
      <c r="R223" s="18" t="b">
        <v>1</v>
      </c>
      <c r="S223" s="18" t="b">
        <v>1</v>
      </c>
      <c r="T223" s="18" t="b">
        <v>1</v>
      </c>
      <c r="U223" s="14" t="s">
        <v>248</v>
      </c>
    </row>
    <row r="224" spans="1:21" x14ac:dyDescent="0.3">
      <c r="A224" s="14" t="s">
        <v>484</v>
      </c>
      <c r="B224" s="14" t="s">
        <v>489</v>
      </c>
      <c r="C224" s="22"/>
      <c r="D224" s="15">
        <v>0.25</v>
      </c>
      <c r="E224" s="16">
        <v>0.1</v>
      </c>
      <c r="F224" s="17">
        <v>0.05</v>
      </c>
      <c r="G224" s="18">
        <v>21</v>
      </c>
      <c r="H224" s="18">
        <v>3000000</v>
      </c>
      <c r="I224" s="18" t="b">
        <v>0</v>
      </c>
      <c r="J224" s="14" t="s">
        <v>244</v>
      </c>
      <c r="K224" s="15">
        <v>5</v>
      </c>
      <c r="L224" s="16">
        <v>2</v>
      </c>
      <c r="M224" s="17">
        <v>1</v>
      </c>
      <c r="N224" s="18">
        <v>142857.1428571429</v>
      </c>
      <c r="O224" s="15">
        <v>714285.71428571432</v>
      </c>
      <c r="P224" s="16">
        <v>285714.28571428568</v>
      </c>
      <c r="Q224" s="17">
        <v>142857.1428571429</v>
      </c>
      <c r="R224" s="18" t="b">
        <v>1</v>
      </c>
      <c r="S224" s="18" t="b">
        <v>1</v>
      </c>
      <c r="T224" s="18" t="b">
        <v>1</v>
      </c>
      <c r="U224" s="14" t="s">
        <v>248</v>
      </c>
    </row>
    <row r="225" spans="1:21" x14ac:dyDescent="0.3">
      <c r="A225" s="14" t="s">
        <v>484</v>
      </c>
      <c r="B225" s="14" t="s">
        <v>490</v>
      </c>
      <c r="C225" s="22"/>
      <c r="D225" s="15">
        <v>0.25</v>
      </c>
      <c r="E225" s="16">
        <v>0.1</v>
      </c>
      <c r="F225" s="17">
        <v>0.05</v>
      </c>
      <c r="G225" s="18">
        <v>40</v>
      </c>
      <c r="H225" s="18">
        <v>1040000</v>
      </c>
      <c r="I225" s="18" t="b">
        <v>0</v>
      </c>
      <c r="J225" s="14" t="s">
        <v>244</v>
      </c>
      <c r="K225" s="15">
        <v>10</v>
      </c>
      <c r="L225" s="16">
        <v>4</v>
      </c>
      <c r="M225" s="17">
        <v>2</v>
      </c>
      <c r="N225" s="18">
        <v>26000</v>
      </c>
      <c r="O225" s="15">
        <v>260000</v>
      </c>
      <c r="P225" s="16">
        <v>104000</v>
      </c>
      <c r="Q225" s="17">
        <v>52000</v>
      </c>
      <c r="R225" s="18" t="b">
        <v>1</v>
      </c>
      <c r="S225" s="18" t="b">
        <v>1</v>
      </c>
      <c r="T225" s="18" t="b">
        <v>1</v>
      </c>
      <c r="U225" s="14" t="s">
        <v>248</v>
      </c>
    </row>
    <row r="226" spans="1:21" x14ac:dyDescent="0.3">
      <c r="A226" s="14" t="s">
        <v>484</v>
      </c>
      <c r="B226" s="14" t="s">
        <v>491</v>
      </c>
      <c r="C226" s="22"/>
      <c r="D226" s="15">
        <v>0.25</v>
      </c>
      <c r="E226" s="16">
        <v>0.1</v>
      </c>
      <c r="F226" s="17">
        <v>0.05</v>
      </c>
      <c r="G226" s="18">
        <v>25</v>
      </c>
      <c r="H226" s="18">
        <v>1440000</v>
      </c>
      <c r="I226" s="18" t="b">
        <v>0</v>
      </c>
      <c r="J226" s="14" t="s">
        <v>244</v>
      </c>
      <c r="K226" s="15">
        <v>6</v>
      </c>
      <c r="L226" s="16">
        <v>2</v>
      </c>
      <c r="M226" s="17">
        <v>1</v>
      </c>
      <c r="N226" s="18">
        <v>57600</v>
      </c>
      <c r="O226" s="15">
        <v>345600</v>
      </c>
      <c r="P226" s="16">
        <v>115200</v>
      </c>
      <c r="Q226" s="17">
        <v>57600</v>
      </c>
      <c r="R226" s="18" t="b">
        <v>1</v>
      </c>
      <c r="S226" s="18" t="b">
        <v>1</v>
      </c>
      <c r="T226" s="18" t="b">
        <v>1</v>
      </c>
      <c r="U226" s="14" t="s">
        <v>248</v>
      </c>
    </row>
    <row r="227" spans="1:21" x14ac:dyDescent="0.3">
      <c r="A227" s="14" t="s">
        <v>484</v>
      </c>
      <c r="B227" s="14" t="s">
        <v>492</v>
      </c>
      <c r="C227" s="22"/>
      <c r="D227" s="15">
        <v>0.25</v>
      </c>
      <c r="E227" s="16">
        <v>0.1</v>
      </c>
      <c r="F227" s="17">
        <v>0.05</v>
      </c>
      <c r="G227" s="18">
        <v>39</v>
      </c>
      <c r="H227" s="18">
        <v>3120000</v>
      </c>
      <c r="I227" s="18" t="b">
        <v>0</v>
      </c>
      <c r="J227" s="14" t="s">
        <v>244</v>
      </c>
      <c r="K227" s="15">
        <v>9</v>
      </c>
      <c r="L227" s="16">
        <v>3</v>
      </c>
      <c r="M227" s="17">
        <v>1</v>
      </c>
      <c r="N227" s="18">
        <v>80000</v>
      </c>
      <c r="O227" s="15">
        <v>720000</v>
      </c>
      <c r="P227" s="16">
        <v>240000</v>
      </c>
      <c r="Q227" s="17">
        <v>80000</v>
      </c>
      <c r="R227" s="18" t="b">
        <v>1</v>
      </c>
      <c r="S227" s="18" t="b">
        <v>1</v>
      </c>
      <c r="T227" s="18" t="b">
        <v>1</v>
      </c>
      <c r="U227" s="14" t="s">
        <v>257</v>
      </c>
    </row>
    <row r="228" spans="1:21" x14ac:dyDescent="0.3">
      <c r="A228" s="14" t="s">
        <v>196</v>
      </c>
      <c r="B228" s="14" t="s">
        <v>493</v>
      </c>
      <c r="C228" s="22"/>
      <c r="D228" s="15">
        <v>0.25</v>
      </c>
      <c r="E228" s="16">
        <v>0.1</v>
      </c>
      <c r="F228" s="17">
        <v>0.05</v>
      </c>
      <c r="G228" s="18">
        <v>30</v>
      </c>
      <c r="H228" s="18">
        <v>3000000</v>
      </c>
      <c r="I228" s="18" t="b">
        <v>0</v>
      </c>
      <c r="J228" s="14" t="s">
        <v>244</v>
      </c>
      <c r="K228" s="15">
        <v>7</v>
      </c>
      <c r="L228" s="16">
        <v>3</v>
      </c>
      <c r="M228" s="17">
        <v>1</v>
      </c>
      <c r="N228" s="18">
        <v>100000</v>
      </c>
      <c r="O228" s="15">
        <v>700000</v>
      </c>
      <c r="P228" s="16">
        <v>300000</v>
      </c>
      <c r="Q228" s="17">
        <v>100000</v>
      </c>
      <c r="R228" s="18" t="b">
        <v>1</v>
      </c>
      <c r="S228" s="18" t="b">
        <v>1</v>
      </c>
      <c r="T228" s="18" t="b">
        <v>1</v>
      </c>
      <c r="U228" s="14" t="s">
        <v>248</v>
      </c>
    </row>
    <row r="229" spans="1:21" x14ac:dyDescent="0.3">
      <c r="A229" s="14" t="s">
        <v>196</v>
      </c>
      <c r="B229" s="14" t="s">
        <v>494</v>
      </c>
      <c r="C229" s="22"/>
      <c r="D229" s="15">
        <v>0.25</v>
      </c>
      <c r="E229" s="16">
        <v>0.1</v>
      </c>
      <c r="F229" s="17">
        <v>0.05</v>
      </c>
      <c r="G229" s="18">
        <v>40</v>
      </c>
      <c r="H229" s="18">
        <v>20000000</v>
      </c>
      <c r="I229" s="18" t="b">
        <v>0</v>
      </c>
      <c r="J229" s="14" t="s">
        <v>244</v>
      </c>
      <c r="K229" s="15">
        <v>10</v>
      </c>
      <c r="L229" s="16">
        <v>4</v>
      </c>
      <c r="M229" s="17">
        <v>2</v>
      </c>
      <c r="N229" s="18">
        <v>500000</v>
      </c>
      <c r="O229" s="15">
        <v>5000000</v>
      </c>
      <c r="P229" s="16">
        <v>2000000</v>
      </c>
      <c r="Q229" s="17">
        <v>1000000</v>
      </c>
      <c r="R229" s="18" t="b">
        <v>1</v>
      </c>
      <c r="S229" s="18" t="b">
        <v>1</v>
      </c>
      <c r="T229" s="18" t="b">
        <v>1</v>
      </c>
      <c r="U229" s="14" t="s">
        <v>248</v>
      </c>
    </row>
    <row r="230" spans="1:21" x14ac:dyDescent="0.3">
      <c r="A230" s="14" t="s">
        <v>196</v>
      </c>
      <c r="B230" s="14" t="s">
        <v>495</v>
      </c>
      <c r="C230" s="22"/>
      <c r="D230" s="15">
        <v>0.25</v>
      </c>
      <c r="E230" s="16">
        <v>0.1</v>
      </c>
      <c r="F230" s="17">
        <v>0.05</v>
      </c>
      <c r="G230" s="18">
        <v>20</v>
      </c>
      <c r="H230" s="18">
        <v>5000000</v>
      </c>
      <c r="I230" s="18" t="b">
        <v>0</v>
      </c>
      <c r="J230" s="14" t="s">
        <v>244</v>
      </c>
      <c r="K230" s="15">
        <v>5</v>
      </c>
      <c r="L230" s="16">
        <v>2</v>
      </c>
      <c r="M230" s="17">
        <v>1</v>
      </c>
      <c r="N230" s="18">
        <v>250000</v>
      </c>
      <c r="O230" s="15">
        <v>1250000</v>
      </c>
      <c r="P230" s="16">
        <v>500000</v>
      </c>
      <c r="Q230" s="17">
        <v>250000</v>
      </c>
      <c r="R230" s="18" t="b">
        <v>1</v>
      </c>
      <c r="S230" s="18" t="b">
        <v>1</v>
      </c>
      <c r="T230" s="18" t="b">
        <v>1</v>
      </c>
      <c r="U230" s="14" t="s">
        <v>248</v>
      </c>
    </row>
    <row r="231" spans="1:21" x14ac:dyDescent="0.3">
      <c r="A231" s="14" t="s">
        <v>196</v>
      </c>
      <c r="B231" s="14" t="s">
        <v>496</v>
      </c>
      <c r="C231" s="22"/>
      <c r="D231" s="15">
        <v>0.25</v>
      </c>
      <c r="E231" s="16">
        <v>0.1</v>
      </c>
      <c r="F231" s="17">
        <v>0.05</v>
      </c>
      <c r="G231" s="18">
        <v>40</v>
      </c>
      <c r="H231" s="18">
        <v>15000000</v>
      </c>
      <c r="I231" s="18" t="b">
        <v>0</v>
      </c>
      <c r="J231" s="14" t="s">
        <v>244</v>
      </c>
      <c r="K231" s="15">
        <v>10</v>
      </c>
      <c r="L231" s="16">
        <v>4</v>
      </c>
      <c r="M231" s="17">
        <v>2</v>
      </c>
      <c r="N231" s="18">
        <v>375000</v>
      </c>
      <c r="O231" s="15">
        <v>3750000</v>
      </c>
      <c r="P231" s="16">
        <v>1500000</v>
      </c>
      <c r="Q231" s="17">
        <v>750000</v>
      </c>
      <c r="R231" s="18" t="b">
        <v>1</v>
      </c>
      <c r="S231" s="18" t="b">
        <v>1</v>
      </c>
      <c r="T231" s="18" t="b">
        <v>1</v>
      </c>
      <c r="U231" s="14" t="s">
        <v>248</v>
      </c>
    </row>
    <row r="232" spans="1:21" x14ac:dyDescent="0.3">
      <c r="A232" s="14" t="s">
        <v>196</v>
      </c>
      <c r="B232" s="14" t="s">
        <v>497</v>
      </c>
      <c r="C232" s="22"/>
      <c r="D232" s="15">
        <v>0.25</v>
      </c>
      <c r="E232" s="16">
        <v>0.1</v>
      </c>
      <c r="F232" s="17">
        <v>0.05</v>
      </c>
      <c r="G232" s="18">
        <v>30</v>
      </c>
      <c r="H232" s="18">
        <v>9000000</v>
      </c>
      <c r="I232" s="18" t="b">
        <v>0</v>
      </c>
      <c r="J232" s="14" t="s">
        <v>244</v>
      </c>
      <c r="K232" s="15">
        <v>7</v>
      </c>
      <c r="L232" s="16">
        <v>3</v>
      </c>
      <c r="M232" s="17">
        <v>1</v>
      </c>
      <c r="N232" s="18">
        <v>300000</v>
      </c>
      <c r="O232" s="15">
        <v>2100000</v>
      </c>
      <c r="P232" s="16">
        <v>900000</v>
      </c>
      <c r="Q232" s="17">
        <v>300000</v>
      </c>
      <c r="R232" s="18" t="b">
        <v>1</v>
      </c>
      <c r="S232" s="18" t="b">
        <v>1</v>
      </c>
      <c r="T232" s="18" t="b">
        <v>1</v>
      </c>
      <c r="U232" s="14" t="s">
        <v>248</v>
      </c>
    </row>
    <row r="233" spans="1:21" x14ac:dyDescent="0.3">
      <c r="A233" s="14" t="s">
        <v>196</v>
      </c>
      <c r="B233" s="14" t="s">
        <v>498</v>
      </c>
      <c r="C233" s="22"/>
      <c r="D233" s="15">
        <v>0.25</v>
      </c>
      <c r="E233" s="16">
        <v>0.1</v>
      </c>
      <c r="F233" s="17">
        <v>0.05</v>
      </c>
      <c r="G233" s="18">
        <v>20</v>
      </c>
      <c r="H233" s="18">
        <v>3000000</v>
      </c>
      <c r="I233" s="18" t="b">
        <v>0</v>
      </c>
      <c r="J233" s="14" t="s">
        <v>244</v>
      </c>
      <c r="K233" s="15">
        <v>5</v>
      </c>
      <c r="L233" s="16">
        <v>2</v>
      </c>
      <c r="M233" s="17">
        <v>1</v>
      </c>
      <c r="N233" s="18">
        <v>150000</v>
      </c>
      <c r="O233" s="15">
        <v>750000</v>
      </c>
      <c r="P233" s="16">
        <v>300000</v>
      </c>
      <c r="Q233" s="17">
        <v>150000</v>
      </c>
      <c r="R233" s="18" t="b">
        <v>1</v>
      </c>
      <c r="S233" s="18" t="b">
        <v>1</v>
      </c>
      <c r="T233" s="18" t="b">
        <v>1</v>
      </c>
      <c r="U233" s="14" t="s">
        <v>248</v>
      </c>
    </row>
    <row r="234" spans="1:21" x14ac:dyDescent="0.3">
      <c r="A234" s="14" t="s">
        <v>196</v>
      </c>
      <c r="B234" s="14" t="s">
        <v>499</v>
      </c>
      <c r="C234" s="22"/>
      <c r="D234" s="15">
        <v>0.25</v>
      </c>
      <c r="E234" s="16">
        <v>0.1</v>
      </c>
      <c r="F234" s="17">
        <v>0.05</v>
      </c>
      <c r="G234" s="18">
        <v>20</v>
      </c>
      <c r="H234" s="18">
        <v>3000000</v>
      </c>
      <c r="I234" s="18" t="b">
        <v>0</v>
      </c>
      <c r="J234" s="14" t="s">
        <v>244</v>
      </c>
      <c r="K234" s="15">
        <v>5</v>
      </c>
      <c r="L234" s="16">
        <v>2</v>
      </c>
      <c r="M234" s="17">
        <v>1</v>
      </c>
      <c r="N234" s="18">
        <v>150000</v>
      </c>
      <c r="O234" s="15">
        <v>750000</v>
      </c>
      <c r="P234" s="16">
        <v>300000</v>
      </c>
      <c r="Q234" s="17">
        <v>150000</v>
      </c>
      <c r="R234" s="18" t="b">
        <v>1</v>
      </c>
      <c r="S234" s="18" t="b">
        <v>1</v>
      </c>
      <c r="T234" s="18" t="b">
        <v>1</v>
      </c>
      <c r="U234" s="14" t="s">
        <v>248</v>
      </c>
    </row>
    <row r="235" spans="1:21" x14ac:dyDescent="0.3">
      <c r="A235" s="14" t="s">
        <v>196</v>
      </c>
      <c r="B235" s="14" t="s">
        <v>500</v>
      </c>
      <c r="C235" s="22"/>
      <c r="D235" s="15">
        <v>0.25</v>
      </c>
      <c r="E235" s="16">
        <v>0.1</v>
      </c>
      <c r="F235" s="17">
        <v>0.05</v>
      </c>
      <c r="G235" s="18">
        <v>20</v>
      </c>
      <c r="H235" s="18">
        <v>3000000</v>
      </c>
      <c r="I235" s="18" t="b">
        <v>0</v>
      </c>
      <c r="J235" s="14" t="s">
        <v>244</v>
      </c>
      <c r="K235" s="15">
        <v>5</v>
      </c>
      <c r="L235" s="16">
        <v>2</v>
      </c>
      <c r="M235" s="17">
        <v>1</v>
      </c>
      <c r="N235" s="18">
        <v>150000</v>
      </c>
      <c r="O235" s="15">
        <v>750000</v>
      </c>
      <c r="P235" s="16">
        <v>300000</v>
      </c>
      <c r="Q235" s="17">
        <v>150000</v>
      </c>
      <c r="R235" s="18" t="b">
        <v>1</v>
      </c>
      <c r="S235" s="18" t="b">
        <v>1</v>
      </c>
      <c r="T235" s="18" t="b">
        <v>1</v>
      </c>
      <c r="U235" s="14" t="s">
        <v>248</v>
      </c>
    </row>
    <row r="236" spans="1:21" x14ac:dyDescent="0.3">
      <c r="A236" s="14" t="s">
        <v>196</v>
      </c>
      <c r="B236" s="14" t="s">
        <v>501</v>
      </c>
      <c r="C236" s="22"/>
      <c r="D236" s="15">
        <v>0.25</v>
      </c>
      <c r="E236" s="16">
        <v>0.1</v>
      </c>
      <c r="F236" s="17">
        <v>0.05</v>
      </c>
      <c r="G236" s="18">
        <v>20</v>
      </c>
      <c r="H236" s="18">
        <v>3000000</v>
      </c>
      <c r="I236" s="18" t="b">
        <v>0</v>
      </c>
      <c r="J236" s="14" t="s">
        <v>244</v>
      </c>
      <c r="K236" s="15">
        <v>5</v>
      </c>
      <c r="L236" s="16">
        <v>2</v>
      </c>
      <c r="M236" s="17">
        <v>1</v>
      </c>
      <c r="N236" s="18">
        <v>150000</v>
      </c>
      <c r="O236" s="15">
        <v>750000</v>
      </c>
      <c r="P236" s="16">
        <v>300000</v>
      </c>
      <c r="Q236" s="17">
        <v>150000</v>
      </c>
      <c r="R236" s="18" t="b">
        <v>1</v>
      </c>
      <c r="S236" s="18" t="b">
        <v>1</v>
      </c>
      <c r="T236" s="18" t="b">
        <v>1</v>
      </c>
      <c r="U236" s="14" t="s">
        <v>248</v>
      </c>
    </row>
    <row r="237" spans="1:21" x14ac:dyDescent="0.3">
      <c r="A237" s="14" t="s">
        <v>196</v>
      </c>
      <c r="B237" s="14" t="s">
        <v>502</v>
      </c>
      <c r="C237" s="22"/>
      <c r="D237" s="15">
        <v>0.25</v>
      </c>
      <c r="E237" s="16">
        <v>0.1</v>
      </c>
      <c r="F237" s="17">
        <v>0.05</v>
      </c>
      <c r="G237" s="18">
        <v>30</v>
      </c>
      <c r="H237" s="18">
        <v>22500000</v>
      </c>
      <c r="I237" s="18" t="b">
        <v>0</v>
      </c>
      <c r="J237" s="14" t="s">
        <v>244</v>
      </c>
      <c r="K237" s="15">
        <v>7</v>
      </c>
      <c r="L237" s="16">
        <v>3</v>
      </c>
      <c r="M237" s="17">
        <v>1</v>
      </c>
      <c r="N237" s="18">
        <v>750000</v>
      </c>
      <c r="O237" s="15">
        <v>5250000</v>
      </c>
      <c r="P237" s="16">
        <v>2250000</v>
      </c>
      <c r="Q237" s="17">
        <v>750000</v>
      </c>
      <c r="R237" s="18" t="b">
        <v>1</v>
      </c>
      <c r="S237" s="18" t="b">
        <v>1</v>
      </c>
      <c r="T237" s="18" t="b">
        <v>1</v>
      </c>
      <c r="U237" s="14" t="s">
        <v>248</v>
      </c>
    </row>
    <row r="238" spans="1:21" x14ac:dyDescent="0.3">
      <c r="A238" s="14" t="s">
        <v>196</v>
      </c>
      <c r="B238" s="14" t="s">
        <v>503</v>
      </c>
      <c r="C238" s="22"/>
      <c r="D238" s="15">
        <v>0.25</v>
      </c>
      <c r="E238" s="16">
        <v>0.1</v>
      </c>
      <c r="F238" s="17">
        <v>0.05</v>
      </c>
      <c r="G238" s="18">
        <v>20</v>
      </c>
      <c r="H238" s="18">
        <v>3000000</v>
      </c>
      <c r="I238" s="18" t="b">
        <v>0</v>
      </c>
      <c r="J238" s="14" t="s">
        <v>244</v>
      </c>
      <c r="K238" s="15">
        <v>5</v>
      </c>
      <c r="L238" s="16">
        <v>2</v>
      </c>
      <c r="M238" s="17">
        <v>1</v>
      </c>
      <c r="N238" s="18">
        <v>150000</v>
      </c>
      <c r="O238" s="15">
        <v>750000</v>
      </c>
      <c r="P238" s="16">
        <v>300000</v>
      </c>
      <c r="Q238" s="17">
        <v>150000</v>
      </c>
      <c r="R238" s="18" t="b">
        <v>1</v>
      </c>
      <c r="S238" s="18" t="b">
        <v>1</v>
      </c>
      <c r="T238" s="18" t="b">
        <v>1</v>
      </c>
      <c r="U238" s="14" t="s">
        <v>248</v>
      </c>
    </row>
    <row r="239" spans="1:21" x14ac:dyDescent="0.3">
      <c r="A239" s="14" t="s">
        <v>196</v>
      </c>
      <c r="B239" s="14" t="s">
        <v>504</v>
      </c>
      <c r="C239" s="22"/>
      <c r="D239" s="15">
        <v>0.25</v>
      </c>
      <c r="E239" s="16">
        <v>0.1</v>
      </c>
      <c r="F239" s="17">
        <v>0.05</v>
      </c>
      <c r="G239" s="18">
        <v>22</v>
      </c>
      <c r="H239" s="18">
        <v>33000000</v>
      </c>
      <c r="I239" s="18" t="b">
        <v>0</v>
      </c>
      <c r="J239" s="14" t="s">
        <v>244</v>
      </c>
      <c r="K239" s="15">
        <v>5</v>
      </c>
      <c r="L239" s="16">
        <v>2</v>
      </c>
      <c r="M239" s="17">
        <v>1</v>
      </c>
      <c r="N239" s="18">
        <v>1500000</v>
      </c>
      <c r="O239" s="15">
        <v>7500000</v>
      </c>
      <c r="P239" s="16">
        <v>3000000</v>
      </c>
      <c r="Q239" s="17">
        <v>1500000</v>
      </c>
      <c r="R239" s="18" t="b">
        <v>1</v>
      </c>
      <c r="S239" s="18" t="b">
        <v>1</v>
      </c>
      <c r="T239" s="18" t="b">
        <v>1</v>
      </c>
      <c r="U239" s="14" t="s">
        <v>248</v>
      </c>
    </row>
    <row r="240" spans="1:21" x14ac:dyDescent="0.3">
      <c r="A240" s="14" t="s">
        <v>196</v>
      </c>
      <c r="B240" s="14" t="s">
        <v>505</v>
      </c>
      <c r="C240" s="22"/>
      <c r="D240" s="15">
        <v>0.25</v>
      </c>
      <c r="E240" s="16">
        <v>0.1</v>
      </c>
      <c r="F240" s="17">
        <v>0.05</v>
      </c>
      <c r="G240" s="18">
        <v>10</v>
      </c>
      <c r="H240" s="18">
        <v>9000000</v>
      </c>
      <c r="I240" s="18" t="b">
        <v>0</v>
      </c>
      <c r="J240" s="14" t="s">
        <v>244</v>
      </c>
      <c r="K240" s="15">
        <v>2</v>
      </c>
      <c r="L240" s="16">
        <v>1</v>
      </c>
      <c r="M240" s="17">
        <v>0</v>
      </c>
      <c r="N240" s="18">
        <v>900000</v>
      </c>
      <c r="O240" s="15">
        <v>1800000</v>
      </c>
      <c r="P240" s="16">
        <v>900000</v>
      </c>
      <c r="Q240" s="17">
        <v>0</v>
      </c>
      <c r="R240" s="18" t="b">
        <v>1</v>
      </c>
      <c r="S240" s="18" t="b">
        <v>1</v>
      </c>
      <c r="T240" s="18" t="b">
        <v>1</v>
      </c>
      <c r="U240" s="14" t="s">
        <v>248</v>
      </c>
    </row>
    <row r="241" spans="1:21" x14ac:dyDescent="0.3">
      <c r="A241" s="14" t="s">
        <v>196</v>
      </c>
      <c r="B241" s="14" t="s">
        <v>506</v>
      </c>
      <c r="C241" s="22"/>
      <c r="D241" s="15">
        <v>0.25</v>
      </c>
      <c r="E241" s="16">
        <v>0.1</v>
      </c>
      <c r="F241" s="17">
        <v>0.05</v>
      </c>
      <c r="G241" s="18">
        <v>10</v>
      </c>
      <c r="H241" s="18">
        <v>3750000</v>
      </c>
      <c r="I241" s="18" t="b">
        <v>0</v>
      </c>
      <c r="J241" s="14" t="s">
        <v>244</v>
      </c>
      <c r="K241" s="15">
        <v>2</v>
      </c>
      <c r="L241" s="16">
        <v>1</v>
      </c>
      <c r="M241" s="17">
        <v>0</v>
      </c>
      <c r="N241" s="18">
        <v>375000</v>
      </c>
      <c r="O241" s="15">
        <v>750000</v>
      </c>
      <c r="P241" s="16">
        <v>375000</v>
      </c>
      <c r="Q241" s="17">
        <v>0</v>
      </c>
      <c r="R241" s="18" t="b">
        <v>1</v>
      </c>
      <c r="S241" s="18" t="b">
        <v>1</v>
      </c>
      <c r="T241" s="18" t="b">
        <v>1</v>
      </c>
      <c r="U241" s="14" t="s">
        <v>248</v>
      </c>
    </row>
    <row r="242" spans="1:21" x14ac:dyDescent="0.3">
      <c r="A242" s="14" t="s">
        <v>196</v>
      </c>
      <c r="B242" s="14" t="s">
        <v>507</v>
      </c>
      <c r="C242" s="22"/>
      <c r="D242" s="15">
        <v>0.25</v>
      </c>
      <c r="E242" s="16">
        <v>0.1</v>
      </c>
      <c r="F242" s="17">
        <v>0.05</v>
      </c>
      <c r="G242" s="18">
        <v>14</v>
      </c>
      <c r="H242" s="18">
        <v>700000</v>
      </c>
      <c r="I242" s="18" t="b">
        <v>0</v>
      </c>
      <c r="J242" s="14" t="s">
        <v>244</v>
      </c>
      <c r="K242" s="15">
        <v>3</v>
      </c>
      <c r="L242" s="16">
        <v>1</v>
      </c>
      <c r="M242" s="17">
        <v>0</v>
      </c>
      <c r="N242" s="18">
        <v>50000</v>
      </c>
      <c r="O242" s="15">
        <v>150000</v>
      </c>
      <c r="P242" s="16">
        <v>50000</v>
      </c>
      <c r="Q242" s="17">
        <v>0</v>
      </c>
      <c r="R242" s="18" t="b">
        <v>1</v>
      </c>
      <c r="S242" s="18" t="b">
        <v>1</v>
      </c>
      <c r="T242" s="18" t="b">
        <v>1</v>
      </c>
      <c r="U242" s="14" t="s">
        <v>248</v>
      </c>
    </row>
    <row r="243" spans="1:21" x14ac:dyDescent="0.3">
      <c r="A243" s="14" t="s">
        <v>196</v>
      </c>
      <c r="B243" s="14" t="s">
        <v>508</v>
      </c>
      <c r="C243" s="22"/>
      <c r="D243" s="15">
        <v>0.25</v>
      </c>
      <c r="E243" s="16">
        <v>0.1</v>
      </c>
      <c r="F243" s="17">
        <v>0.05</v>
      </c>
      <c r="G243" s="18">
        <v>22</v>
      </c>
      <c r="H243" s="18">
        <v>6600000</v>
      </c>
      <c r="I243" s="18" t="b">
        <v>0</v>
      </c>
      <c r="J243" s="14" t="s">
        <v>244</v>
      </c>
      <c r="K243" s="15">
        <v>5</v>
      </c>
      <c r="L243" s="16">
        <v>2</v>
      </c>
      <c r="M243" s="17">
        <v>1</v>
      </c>
      <c r="N243" s="18">
        <v>300000</v>
      </c>
      <c r="O243" s="15">
        <v>1500000</v>
      </c>
      <c r="P243" s="16">
        <v>600000</v>
      </c>
      <c r="Q243" s="17">
        <v>300000</v>
      </c>
      <c r="R243" s="18" t="b">
        <v>1</v>
      </c>
      <c r="S243" s="18" t="b">
        <v>1</v>
      </c>
      <c r="T243" s="18" t="b">
        <v>1</v>
      </c>
      <c r="U243" s="14" t="s">
        <v>248</v>
      </c>
    </row>
    <row r="244" spans="1:21" x14ac:dyDescent="0.3">
      <c r="A244" s="14" t="s">
        <v>196</v>
      </c>
      <c r="B244" s="14" t="s">
        <v>509</v>
      </c>
      <c r="C244" s="22"/>
      <c r="D244" s="15">
        <v>0.25</v>
      </c>
      <c r="E244" s="16">
        <v>0.1</v>
      </c>
      <c r="F244" s="17">
        <v>0.05</v>
      </c>
      <c r="G244" s="18">
        <v>20</v>
      </c>
      <c r="H244" s="18">
        <v>3000000</v>
      </c>
      <c r="I244" s="18" t="b">
        <v>0</v>
      </c>
      <c r="J244" s="14" t="s">
        <v>244</v>
      </c>
      <c r="K244" s="15">
        <v>5</v>
      </c>
      <c r="L244" s="16">
        <v>2</v>
      </c>
      <c r="M244" s="17">
        <v>1</v>
      </c>
      <c r="N244" s="18">
        <v>150000</v>
      </c>
      <c r="O244" s="15">
        <v>750000</v>
      </c>
      <c r="P244" s="16">
        <v>300000</v>
      </c>
      <c r="Q244" s="17">
        <v>150000</v>
      </c>
      <c r="R244" s="18" t="b">
        <v>1</v>
      </c>
      <c r="S244" s="18" t="b">
        <v>1</v>
      </c>
      <c r="T244" s="18" t="b">
        <v>1</v>
      </c>
      <c r="U244" s="14" t="s">
        <v>248</v>
      </c>
    </row>
    <row r="245" spans="1:21" x14ac:dyDescent="0.3">
      <c r="A245" s="14" t="s">
        <v>196</v>
      </c>
      <c r="B245" s="14" t="s">
        <v>510</v>
      </c>
      <c r="C245" s="22"/>
      <c r="D245" s="15">
        <v>0.25</v>
      </c>
      <c r="E245" s="16">
        <v>0.1</v>
      </c>
      <c r="F245" s="17">
        <v>0.05</v>
      </c>
      <c r="G245" s="18">
        <v>20</v>
      </c>
      <c r="H245" s="18">
        <v>2000000</v>
      </c>
      <c r="I245" s="18" t="b">
        <v>0</v>
      </c>
      <c r="J245" s="14" t="s">
        <v>244</v>
      </c>
      <c r="K245" s="15">
        <v>5</v>
      </c>
      <c r="L245" s="16">
        <v>2</v>
      </c>
      <c r="M245" s="17">
        <v>1</v>
      </c>
      <c r="N245" s="18">
        <v>100000</v>
      </c>
      <c r="O245" s="15">
        <v>500000</v>
      </c>
      <c r="P245" s="16">
        <v>200000</v>
      </c>
      <c r="Q245" s="17">
        <v>100000</v>
      </c>
      <c r="R245" s="18" t="b">
        <v>1</v>
      </c>
      <c r="S245" s="18" t="b">
        <v>1</v>
      </c>
      <c r="T245" s="18" t="b">
        <v>1</v>
      </c>
      <c r="U245" s="14" t="s">
        <v>248</v>
      </c>
    </row>
    <row r="246" spans="1:21" x14ac:dyDescent="0.3">
      <c r="A246" s="14" t="s">
        <v>196</v>
      </c>
      <c r="B246" s="14" t="s">
        <v>511</v>
      </c>
      <c r="C246" s="22"/>
      <c r="D246" s="15">
        <v>0.25</v>
      </c>
      <c r="E246" s="16">
        <v>0.1</v>
      </c>
      <c r="F246" s="17">
        <v>0.05</v>
      </c>
      <c r="G246" s="18">
        <v>60</v>
      </c>
      <c r="H246" s="18">
        <v>6000000</v>
      </c>
      <c r="I246" s="18" t="b">
        <v>0</v>
      </c>
      <c r="J246" s="14" t="s">
        <v>244</v>
      </c>
      <c r="K246" s="15">
        <v>15</v>
      </c>
      <c r="L246" s="16">
        <v>6</v>
      </c>
      <c r="M246" s="17">
        <v>3</v>
      </c>
      <c r="N246" s="18">
        <v>100000</v>
      </c>
      <c r="O246" s="15">
        <v>1500000</v>
      </c>
      <c r="P246" s="16">
        <v>600000</v>
      </c>
      <c r="Q246" s="17">
        <v>300000</v>
      </c>
      <c r="R246" s="18" t="b">
        <v>1</v>
      </c>
      <c r="S246" s="18" t="b">
        <v>1</v>
      </c>
      <c r="T246" s="18" t="b">
        <v>1</v>
      </c>
      <c r="U246" s="14" t="s">
        <v>248</v>
      </c>
    </row>
    <row r="247" spans="1:21" x14ac:dyDescent="0.3">
      <c r="A247" s="14" t="s">
        <v>196</v>
      </c>
      <c r="B247" s="14" t="s">
        <v>512</v>
      </c>
      <c r="C247" s="22"/>
      <c r="D247" s="15">
        <v>0.25</v>
      </c>
      <c r="E247" s="16">
        <v>0.1</v>
      </c>
      <c r="F247" s="17">
        <v>0.05</v>
      </c>
      <c r="G247" s="18">
        <v>20</v>
      </c>
      <c r="H247" s="18">
        <v>2000000</v>
      </c>
      <c r="I247" s="18" t="b">
        <v>0</v>
      </c>
      <c r="J247" s="14" t="s">
        <v>244</v>
      </c>
      <c r="K247" s="15">
        <v>5</v>
      </c>
      <c r="L247" s="16">
        <v>2</v>
      </c>
      <c r="M247" s="17">
        <v>1</v>
      </c>
      <c r="N247" s="18">
        <v>100000</v>
      </c>
      <c r="O247" s="15">
        <v>500000</v>
      </c>
      <c r="P247" s="16">
        <v>200000</v>
      </c>
      <c r="Q247" s="17">
        <v>100000</v>
      </c>
      <c r="R247" s="18" t="b">
        <v>1</v>
      </c>
      <c r="S247" s="18" t="b">
        <v>1</v>
      </c>
      <c r="T247" s="18" t="b">
        <v>1</v>
      </c>
      <c r="U247" s="14" t="s">
        <v>253</v>
      </c>
    </row>
    <row r="248" spans="1:21" x14ac:dyDescent="0.3">
      <c r="A248" s="14" t="s">
        <v>196</v>
      </c>
      <c r="B248" s="14" t="s">
        <v>513</v>
      </c>
      <c r="C248" s="22"/>
      <c r="D248" s="15">
        <v>0.25</v>
      </c>
      <c r="E248" s="16">
        <v>0.1</v>
      </c>
      <c r="F248" s="17">
        <v>0.05</v>
      </c>
      <c r="G248" s="18">
        <v>20</v>
      </c>
      <c r="H248" s="18">
        <v>1600000</v>
      </c>
      <c r="I248" s="18" t="b">
        <v>0</v>
      </c>
      <c r="J248" s="14" t="s">
        <v>244</v>
      </c>
      <c r="K248" s="15">
        <v>5</v>
      </c>
      <c r="L248" s="16">
        <v>2</v>
      </c>
      <c r="M248" s="17">
        <v>1</v>
      </c>
      <c r="N248" s="18">
        <v>80000</v>
      </c>
      <c r="O248" s="15">
        <v>400000</v>
      </c>
      <c r="P248" s="16">
        <v>160000</v>
      </c>
      <c r="Q248" s="17">
        <v>80000</v>
      </c>
      <c r="R248" s="18" t="b">
        <v>1</v>
      </c>
      <c r="S248" s="18" t="b">
        <v>1</v>
      </c>
      <c r="T248" s="18" t="b">
        <v>1</v>
      </c>
      <c r="U248" s="14" t="s">
        <v>253</v>
      </c>
    </row>
    <row r="249" spans="1:21" x14ac:dyDescent="0.3">
      <c r="A249" s="14" t="s">
        <v>196</v>
      </c>
      <c r="B249" s="14" t="s">
        <v>514</v>
      </c>
      <c r="C249" s="22"/>
      <c r="D249" s="15">
        <v>0.25</v>
      </c>
      <c r="E249" s="16">
        <v>0.1</v>
      </c>
      <c r="F249" s="17">
        <v>0.05</v>
      </c>
      <c r="G249" s="18">
        <v>20</v>
      </c>
      <c r="H249" s="18">
        <v>6000000</v>
      </c>
      <c r="I249" s="18" t="b">
        <v>0</v>
      </c>
      <c r="J249" s="14" t="s">
        <v>244</v>
      </c>
      <c r="K249" s="15">
        <v>5</v>
      </c>
      <c r="L249" s="16">
        <v>2</v>
      </c>
      <c r="M249" s="17">
        <v>1</v>
      </c>
      <c r="N249" s="18">
        <v>300000</v>
      </c>
      <c r="O249" s="15">
        <v>1500000</v>
      </c>
      <c r="P249" s="16">
        <v>600000</v>
      </c>
      <c r="Q249" s="17">
        <v>300000</v>
      </c>
      <c r="R249" s="18" t="b">
        <v>1</v>
      </c>
      <c r="S249" s="18" t="b">
        <v>1</v>
      </c>
      <c r="T249" s="18" t="b">
        <v>1</v>
      </c>
      <c r="U249" s="14" t="s">
        <v>257</v>
      </c>
    </row>
    <row r="250" spans="1:21" x14ac:dyDescent="0.3">
      <c r="A250" s="14" t="s">
        <v>196</v>
      </c>
      <c r="B250" s="14" t="s">
        <v>515</v>
      </c>
      <c r="C250" s="22"/>
      <c r="D250" s="15">
        <v>0.25</v>
      </c>
      <c r="E250" s="16">
        <v>0.1</v>
      </c>
      <c r="F250" s="17">
        <v>0.05</v>
      </c>
      <c r="G250" s="18">
        <v>20</v>
      </c>
      <c r="H250" s="18">
        <v>4000000</v>
      </c>
      <c r="I250" s="18" t="b">
        <v>0</v>
      </c>
      <c r="J250" s="14" t="s">
        <v>244</v>
      </c>
      <c r="K250" s="15">
        <v>5</v>
      </c>
      <c r="L250" s="16">
        <v>2</v>
      </c>
      <c r="M250" s="17">
        <v>1</v>
      </c>
      <c r="N250" s="18">
        <v>200000</v>
      </c>
      <c r="O250" s="15">
        <v>1000000</v>
      </c>
      <c r="P250" s="16">
        <v>400000</v>
      </c>
      <c r="Q250" s="17">
        <v>200000</v>
      </c>
      <c r="R250" s="18" t="b">
        <v>1</v>
      </c>
      <c r="S250" s="18" t="b">
        <v>1</v>
      </c>
      <c r="T250" s="18" t="b">
        <v>1</v>
      </c>
      <c r="U250" s="14" t="s">
        <v>257</v>
      </c>
    </row>
    <row r="251" spans="1:21" x14ac:dyDescent="0.3">
      <c r="A251" s="14" t="s">
        <v>196</v>
      </c>
      <c r="B251" s="14" t="s">
        <v>516</v>
      </c>
      <c r="C251" s="22"/>
      <c r="D251" s="15">
        <v>0.25</v>
      </c>
      <c r="E251" s="16">
        <v>0.1</v>
      </c>
      <c r="F251" s="17">
        <v>0.05</v>
      </c>
      <c r="G251" s="18">
        <v>80</v>
      </c>
      <c r="H251" s="18">
        <v>40000000</v>
      </c>
      <c r="I251" s="18" t="b">
        <v>0</v>
      </c>
      <c r="J251" s="14" t="s">
        <v>244</v>
      </c>
      <c r="K251" s="15">
        <v>20</v>
      </c>
      <c r="L251" s="16">
        <v>8</v>
      </c>
      <c r="M251" s="17">
        <v>4</v>
      </c>
      <c r="N251" s="18">
        <v>500000</v>
      </c>
      <c r="O251" s="15">
        <v>10000000</v>
      </c>
      <c r="P251" s="16">
        <v>4000000</v>
      </c>
      <c r="Q251" s="17">
        <v>2000000</v>
      </c>
      <c r="R251" s="18" t="b">
        <v>1</v>
      </c>
      <c r="S251" s="18" t="b">
        <v>1</v>
      </c>
      <c r="T251" s="18" t="b">
        <v>1</v>
      </c>
      <c r="U251" s="14" t="s">
        <v>257</v>
      </c>
    </row>
    <row r="252" spans="1:21" x14ac:dyDescent="0.3">
      <c r="A252" s="14" t="s">
        <v>196</v>
      </c>
      <c r="B252" s="14" t="s">
        <v>517</v>
      </c>
      <c r="C252" s="22"/>
      <c r="D252" s="15">
        <v>0.25</v>
      </c>
      <c r="E252" s="16">
        <v>0.1</v>
      </c>
      <c r="F252" s="17">
        <v>0.05</v>
      </c>
      <c r="G252" s="18">
        <v>20</v>
      </c>
      <c r="H252" s="18">
        <v>15000000</v>
      </c>
      <c r="I252" s="18" t="b">
        <v>0</v>
      </c>
      <c r="J252" s="14" t="s">
        <v>244</v>
      </c>
      <c r="K252" s="15">
        <v>5</v>
      </c>
      <c r="L252" s="16">
        <v>2</v>
      </c>
      <c r="M252" s="17">
        <v>1</v>
      </c>
      <c r="N252" s="18">
        <v>750000</v>
      </c>
      <c r="O252" s="15">
        <v>3750000</v>
      </c>
      <c r="P252" s="16">
        <v>1500000</v>
      </c>
      <c r="Q252" s="17">
        <v>750000</v>
      </c>
      <c r="R252" s="18" t="b">
        <v>1</v>
      </c>
      <c r="S252" s="18" t="b">
        <v>1</v>
      </c>
      <c r="T252" s="18" t="b">
        <v>1</v>
      </c>
      <c r="U252" s="14" t="s">
        <v>257</v>
      </c>
    </row>
    <row r="253" spans="1:21" x14ac:dyDescent="0.3">
      <c r="A253" s="14" t="s">
        <v>196</v>
      </c>
      <c r="B253" s="14" t="s">
        <v>518</v>
      </c>
      <c r="C253" s="22"/>
      <c r="D253" s="15">
        <v>0.25</v>
      </c>
      <c r="E253" s="16">
        <v>0.1</v>
      </c>
      <c r="F253" s="17">
        <v>0.05</v>
      </c>
      <c r="G253" s="18">
        <v>10</v>
      </c>
      <c r="H253" s="18">
        <v>3000000</v>
      </c>
      <c r="I253" s="18" t="b">
        <v>0</v>
      </c>
      <c r="J253" s="14" t="s">
        <v>244</v>
      </c>
      <c r="K253" s="15">
        <v>2</v>
      </c>
      <c r="L253" s="16">
        <v>1</v>
      </c>
      <c r="M253" s="17">
        <v>0</v>
      </c>
      <c r="N253" s="18">
        <v>300000</v>
      </c>
      <c r="O253" s="15">
        <v>600000</v>
      </c>
      <c r="P253" s="16">
        <v>300000</v>
      </c>
      <c r="Q253" s="17">
        <v>0</v>
      </c>
      <c r="R253" s="18" t="b">
        <v>1</v>
      </c>
      <c r="S253" s="18" t="b">
        <v>1</v>
      </c>
      <c r="T253" s="18" t="b">
        <v>1</v>
      </c>
      <c r="U253" s="14" t="s">
        <v>257</v>
      </c>
    </row>
    <row r="254" spans="1:21" x14ac:dyDescent="0.3">
      <c r="A254" s="14" t="s">
        <v>196</v>
      </c>
      <c r="B254" s="14" t="s">
        <v>519</v>
      </c>
      <c r="C254" s="22"/>
      <c r="D254" s="15">
        <v>0.25</v>
      </c>
      <c r="E254" s="16">
        <v>0.1</v>
      </c>
      <c r="F254" s="17">
        <v>0.05</v>
      </c>
      <c r="G254" s="18">
        <v>40</v>
      </c>
      <c r="H254" s="18">
        <v>12000000</v>
      </c>
      <c r="I254" s="18" t="b">
        <v>0</v>
      </c>
      <c r="J254" s="14" t="s">
        <v>244</v>
      </c>
      <c r="K254" s="15">
        <v>10</v>
      </c>
      <c r="L254" s="16">
        <v>4</v>
      </c>
      <c r="M254" s="17">
        <v>2</v>
      </c>
      <c r="N254" s="18">
        <v>300000</v>
      </c>
      <c r="O254" s="15">
        <v>3000000</v>
      </c>
      <c r="P254" s="16">
        <v>1200000</v>
      </c>
      <c r="Q254" s="17">
        <v>600000</v>
      </c>
      <c r="R254" s="18" t="b">
        <v>1</v>
      </c>
      <c r="S254" s="18" t="b">
        <v>1</v>
      </c>
      <c r="T254" s="18" t="b">
        <v>1</v>
      </c>
      <c r="U254" s="14" t="s">
        <v>257</v>
      </c>
    </row>
    <row r="255" spans="1:21" x14ac:dyDescent="0.3">
      <c r="A255" s="14" t="s">
        <v>196</v>
      </c>
      <c r="B255" s="14" t="s">
        <v>520</v>
      </c>
      <c r="C255" s="22"/>
      <c r="D255" s="15">
        <v>0.25</v>
      </c>
      <c r="E255" s="16">
        <v>0.1</v>
      </c>
      <c r="F255" s="17">
        <v>0.05</v>
      </c>
      <c r="G255" s="18">
        <v>150</v>
      </c>
      <c r="H255" s="18">
        <v>6300000</v>
      </c>
      <c r="I255" s="18" t="b">
        <v>0</v>
      </c>
      <c r="J255" s="14" t="s">
        <v>244</v>
      </c>
      <c r="K255" s="15">
        <v>37</v>
      </c>
      <c r="L255" s="16">
        <v>15</v>
      </c>
      <c r="M255" s="17">
        <v>7</v>
      </c>
      <c r="N255" s="18">
        <v>42000</v>
      </c>
      <c r="O255" s="15">
        <v>1554000</v>
      </c>
      <c r="P255" s="16">
        <v>630000</v>
      </c>
      <c r="Q255" s="17">
        <v>294000</v>
      </c>
      <c r="R255" s="18" t="b">
        <v>1</v>
      </c>
      <c r="S255" s="18" t="b">
        <v>1</v>
      </c>
      <c r="T255" s="18" t="b">
        <v>1</v>
      </c>
      <c r="U255" s="14" t="s">
        <v>245</v>
      </c>
    </row>
    <row r="256" spans="1:21" x14ac:dyDescent="0.3">
      <c r="A256" s="14" t="s">
        <v>196</v>
      </c>
      <c r="B256" s="14" t="s">
        <v>521</v>
      </c>
      <c r="C256" s="22"/>
      <c r="D256" s="15">
        <v>0.25</v>
      </c>
      <c r="E256" s="16">
        <v>0.1</v>
      </c>
      <c r="F256" s="17">
        <v>0.05</v>
      </c>
      <c r="G256" s="18">
        <v>130</v>
      </c>
      <c r="H256" s="18">
        <v>22100000</v>
      </c>
      <c r="I256" s="18" t="b">
        <v>0</v>
      </c>
      <c r="J256" s="14" t="s">
        <v>244</v>
      </c>
      <c r="K256" s="15">
        <v>32</v>
      </c>
      <c r="L256" s="16">
        <v>13</v>
      </c>
      <c r="M256" s="17">
        <v>6</v>
      </c>
      <c r="N256" s="18">
        <v>170000</v>
      </c>
      <c r="O256" s="15">
        <v>5440000</v>
      </c>
      <c r="P256" s="16">
        <v>2210000</v>
      </c>
      <c r="Q256" s="17">
        <v>1020000</v>
      </c>
      <c r="R256" s="18" t="b">
        <v>1</v>
      </c>
      <c r="S256" s="18" t="b">
        <v>1</v>
      </c>
      <c r="T256" s="18" t="b">
        <v>1</v>
      </c>
      <c r="U256" s="14" t="s">
        <v>245</v>
      </c>
    </row>
    <row r="257" spans="1:21" x14ac:dyDescent="0.3">
      <c r="A257" s="14" t="s">
        <v>196</v>
      </c>
      <c r="B257" s="14" t="s">
        <v>522</v>
      </c>
      <c r="C257" s="22"/>
      <c r="D257" s="15">
        <v>0.25</v>
      </c>
      <c r="E257" s="16">
        <v>0.1</v>
      </c>
      <c r="F257" s="17">
        <v>0.05</v>
      </c>
      <c r="G257" s="18">
        <v>8</v>
      </c>
      <c r="H257" s="18">
        <v>5200000</v>
      </c>
      <c r="I257" s="18" t="b">
        <v>0</v>
      </c>
      <c r="J257" s="14" t="s">
        <v>244</v>
      </c>
      <c r="K257" s="15">
        <v>2</v>
      </c>
      <c r="L257" s="16">
        <v>0</v>
      </c>
      <c r="M257" s="17">
        <v>0</v>
      </c>
      <c r="N257" s="18">
        <v>650000</v>
      </c>
      <c r="O257" s="15">
        <v>1300000</v>
      </c>
      <c r="P257" s="16">
        <v>0</v>
      </c>
      <c r="Q257" s="17">
        <v>0</v>
      </c>
      <c r="R257" s="18" t="b">
        <v>1</v>
      </c>
      <c r="S257" s="18" t="b">
        <v>1</v>
      </c>
      <c r="T257" s="18" t="b">
        <v>1</v>
      </c>
      <c r="U257" s="14" t="s">
        <v>245</v>
      </c>
    </row>
    <row r="258" spans="1:21" x14ac:dyDescent="0.3">
      <c r="A258" s="14" t="s">
        <v>523</v>
      </c>
      <c r="B258" s="14" t="s">
        <v>524</v>
      </c>
      <c r="C258" s="22"/>
      <c r="D258" s="15">
        <v>0.25</v>
      </c>
      <c r="E258" s="16">
        <v>0.1</v>
      </c>
      <c r="F258" s="17">
        <v>0.05</v>
      </c>
      <c r="G258" s="18"/>
      <c r="H258" s="18">
        <v>500000</v>
      </c>
      <c r="I258" s="18" t="b">
        <v>0</v>
      </c>
      <c r="J258" s="14" t="s">
        <v>244</v>
      </c>
      <c r="K258" s="15"/>
      <c r="L258" s="16"/>
      <c r="M258" s="17"/>
      <c r="N258" s="18"/>
      <c r="O258" s="15"/>
      <c r="P258" s="16"/>
      <c r="Q258" s="17"/>
      <c r="R258" s="18" t="b">
        <v>1</v>
      </c>
      <c r="S258" s="18" t="b">
        <v>1</v>
      </c>
      <c r="T258" s="18" t="b">
        <v>1</v>
      </c>
      <c r="U258" s="14" t="s">
        <v>383</v>
      </c>
    </row>
    <row r="259" spans="1:21" x14ac:dyDescent="0.3">
      <c r="A259" s="14" t="s">
        <v>523</v>
      </c>
      <c r="B259" s="14" t="s">
        <v>525</v>
      </c>
      <c r="C259" s="22"/>
      <c r="D259" s="15">
        <v>0.25</v>
      </c>
      <c r="E259" s="16">
        <v>0.1</v>
      </c>
      <c r="F259" s="17">
        <v>0.05</v>
      </c>
      <c r="G259" s="18"/>
      <c r="H259" s="18">
        <v>4825000</v>
      </c>
      <c r="I259" s="18" t="b">
        <v>0</v>
      </c>
      <c r="J259" s="14" t="s">
        <v>244</v>
      </c>
      <c r="K259" s="15"/>
      <c r="L259" s="16"/>
      <c r="M259" s="17"/>
      <c r="N259" s="18"/>
      <c r="O259" s="15"/>
      <c r="P259" s="16"/>
      <c r="Q259" s="17"/>
      <c r="R259" s="18" t="b">
        <v>1</v>
      </c>
      <c r="S259" s="18" t="b">
        <v>1</v>
      </c>
      <c r="T259" s="18" t="b">
        <v>1</v>
      </c>
      <c r="U259" s="14" t="s">
        <v>248</v>
      </c>
    </row>
    <row r="260" spans="1:21" x14ac:dyDescent="0.3">
      <c r="A260" s="14" t="s">
        <v>523</v>
      </c>
      <c r="B260" s="14" t="s">
        <v>526</v>
      </c>
      <c r="C260" s="22"/>
      <c r="D260" s="15">
        <v>0.25</v>
      </c>
      <c r="E260" s="16">
        <v>0.1</v>
      </c>
      <c r="F260" s="17">
        <v>0.05</v>
      </c>
      <c r="G260" s="18">
        <v>77</v>
      </c>
      <c r="H260" s="18">
        <v>2360000</v>
      </c>
      <c r="I260" s="18" t="b">
        <v>0</v>
      </c>
      <c r="J260" s="14" t="s">
        <v>244</v>
      </c>
      <c r="K260" s="15">
        <v>19</v>
      </c>
      <c r="L260" s="16">
        <v>7</v>
      </c>
      <c r="M260" s="17">
        <v>3</v>
      </c>
      <c r="N260" s="18">
        <v>30649.35064935065</v>
      </c>
      <c r="O260" s="15">
        <v>582337.6623376623</v>
      </c>
      <c r="P260" s="16">
        <v>214545.45454545459</v>
      </c>
      <c r="Q260" s="17">
        <v>91948.051948051958</v>
      </c>
      <c r="R260" s="18" t="b">
        <v>1</v>
      </c>
      <c r="S260" s="18" t="b">
        <v>1</v>
      </c>
      <c r="T260" s="18" t="b">
        <v>1</v>
      </c>
      <c r="U260" s="14" t="s">
        <v>248</v>
      </c>
    </row>
    <row r="261" spans="1:21" x14ac:dyDescent="0.3">
      <c r="A261" s="14" t="s">
        <v>523</v>
      </c>
      <c r="B261" s="14" t="s">
        <v>527</v>
      </c>
      <c r="C261" s="22"/>
      <c r="D261" s="15">
        <v>0.25</v>
      </c>
      <c r="E261" s="16">
        <v>0.1</v>
      </c>
      <c r="F261" s="17">
        <v>0.05</v>
      </c>
      <c r="G261" s="18">
        <v>77</v>
      </c>
      <c r="H261" s="18">
        <v>2360000</v>
      </c>
      <c r="I261" s="18" t="b">
        <v>0</v>
      </c>
      <c r="J261" s="14" t="s">
        <v>244</v>
      </c>
      <c r="K261" s="15">
        <v>19</v>
      </c>
      <c r="L261" s="16">
        <v>7</v>
      </c>
      <c r="M261" s="17">
        <v>3</v>
      </c>
      <c r="N261" s="18">
        <v>30649.35064935065</v>
      </c>
      <c r="O261" s="15">
        <v>582337.6623376623</v>
      </c>
      <c r="P261" s="16">
        <v>214545.45454545459</v>
      </c>
      <c r="Q261" s="17">
        <v>91948.051948051958</v>
      </c>
      <c r="R261" s="18" t="b">
        <v>1</v>
      </c>
      <c r="S261" s="18" t="b">
        <v>1</v>
      </c>
      <c r="T261" s="18" t="b">
        <v>1</v>
      </c>
      <c r="U261" s="14" t="s">
        <v>248</v>
      </c>
    </row>
    <row r="262" spans="1:21" x14ac:dyDescent="0.3">
      <c r="A262" s="14" t="s">
        <v>523</v>
      </c>
      <c r="B262" s="14" t="s">
        <v>528</v>
      </c>
      <c r="C262" s="22"/>
      <c r="D262" s="15">
        <v>0.25</v>
      </c>
      <c r="E262" s="16">
        <v>0.1</v>
      </c>
      <c r="F262" s="17">
        <v>0.05</v>
      </c>
      <c r="G262" s="18">
        <v>77</v>
      </c>
      <c r="H262" s="18">
        <v>2360000</v>
      </c>
      <c r="I262" s="18" t="b">
        <v>0</v>
      </c>
      <c r="J262" s="14" t="s">
        <v>244</v>
      </c>
      <c r="K262" s="15">
        <v>19</v>
      </c>
      <c r="L262" s="16">
        <v>7</v>
      </c>
      <c r="M262" s="17">
        <v>3</v>
      </c>
      <c r="N262" s="18">
        <v>30649.35064935065</v>
      </c>
      <c r="O262" s="15">
        <v>582337.6623376623</v>
      </c>
      <c r="P262" s="16">
        <v>214545.45454545459</v>
      </c>
      <c r="Q262" s="17">
        <v>91948.051948051958</v>
      </c>
      <c r="R262" s="18" t="b">
        <v>1</v>
      </c>
      <c r="S262" s="18" t="b">
        <v>1</v>
      </c>
      <c r="T262" s="18" t="b">
        <v>1</v>
      </c>
      <c r="U262" s="14" t="s">
        <v>248</v>
      </c>
    </row>
    <row r="263" spans="1:21" x14ac:dyDescent="0.3">
      <c r="A263" s="14" t="s">
        <v>523</v>
      </c>
      <c r="B263" s="14" t="s">
        <v>529</v>
      </c>
      <c r="C263" s="22"/>
      <c r="D263" s="15">
        <v>0.25</v>
      </c>
      <c r="E263" s="16">
        <v>0.1</v>
      </c>
      <c r="F263" s="17">
        <v>0.05</v>
      </c>
      <c r="G263" s="18">
        <v>22</v>
      </c>
      <c r="H263" s="18">
        <v>3570000</v>
      </c>
      <c r="I263" s="18" t="b">
        <v>0</v>
      </c>
      <c r="J263" s="14" t="s">
        <v>244</v>
      </c>
      <c r="K263" s="15">
        <v>5</v>
      </c>
      <c r="L263" s="16">
        <v>2</v>
      </c>
      <c r="M263" s="17">
        <v>1</v>
      </c>
      <c r="N263" s="18">
        <v>162272.72727272729</v>
      </c>
      <c r="O263" s="15">
        <v>811363.63636363635</v>
      </c>
      <c r="P263" s="16">
        <v>324545.45454545447</v>
      </c>
      <c r="Q263" s="17">
        <v>162272.72727272729</v>
      </c>
      <c r="R263" s="18" t="b">
        <v>1</v>
      </c>
      <c r="S263" s="18" t="b">
        <v>1</v>
      </c>
      <c r="T263" s="18" t="b">
        <v>1</v>
      </c>
      <c r="U263" s="14" t="s">
        <v>248</v>
      </c>
    </row>
    <row r="264" spans="1:21" x14ac:dyDescent="0.3">
      <c r="A264" s="14" t="s">
        <v>523</v>
      </c>
      <c r="B264" s="14" t="s">
        <v>530</v>
      </c>
      <c r="C264" s="22"/>
      <c r="D264" s="15">
        <v>0.25</v>
      </c>
      <c r="E264" s="16">
        <v>0.1</v>
      </c>
      <c r="F264" s="17">
        <v>0.05</v>
      </c>
      <c r="G264" s="18">
        <v>50</v>
      </c>
      <c r="H264" s="18">
        <v>4000000</v>
      </c>
      <c r="I264" s="18" t="b">
        <v>0</v>
      </c>
      <c r="J264" s="14" t="s">
        <v>244</v>
      </c>
      <c r="K264" s="15">
        <v>12</v>
      </c>
      <c r="L264" s="16">
        <v>5</v>
      </c>
      <c r="M264" s="17">
        <v>2</v>
      </c>
      <c r="N264" s="18">
        <v>80000</v>
      </c>
      <c r="O264" s="15">
        <v>960000</v>
      </c>
      <c r="P264" s="16">
        <v>400000</v>
      </c>
      <c r="Q264" s="17">
        <v>160000</v>
      </c>
      <c r="R264" s="18" t="b">
        <v>1</v>
      </c>
      <c r="S264" s="18" t="b">
        <v>1</v>
      </c>
      <c r="T264" s="18" t="b">
        <v>1</v>
      </c>
      <c r="U264" s="14" t="s">
        <v>257</v>
      </c>
    </row>
    <row r="265" spans="1:21" x14ac:dyDescent="0.3">
      <c r="A265" s="14" t="s">
        <v>523</v>
      </c>
      <c r="B265" s="14" t="s">
        <v>531</v>
      </c>
      <c r="C265" s="22"/>
      <c r="D265" s="15">
        <v>0.25</v>
      </c>
      <c r="E265" s="16">
        <v>0.1</v>
      </c>
      <c r="F265" s="17">
        <v>0.05</v>
      </c>
      <c r="G265" s="18">
        <v>35</v>
      </c>
      <c r="H265" s="18">
        <v>1230000</v>
      </c>
      <c r="I265" s="18" t="b">
        <v>0</v>
      </c>
      <c r="J265" s="14" t="s">
        <v>244</v>
      </c>
      <c r="K265" s="15">
        <v>8</v>
      </c>
      <c r="L265" s="16">
        <v>3</v>
      </c>
      <c r="M265" s="17">
        <v>1</v>
      </c>
      <c r="N265" s="18">
        <v>35142.857142857138</v>
      </c>
      <c r="O265" s="15">
        <v>281142.85714285722</v>
      </c>
      <c r="P265" s="16">
        <v>105428.57142857141</v>
      </c>
      <c r="Q265" s="17">
        <v>35142.857142857138</v>
      </c>
      <c r="R265" s="18" t="b">
        <v>1</v>
      </c>
      <c r="S265" s="18" t="b">
        <v>1</v>
      </c>
      <c r="T265" s="18" t="b">
        <v>1</v>
      </c>
      <c r="U265" s="14" t="s">
        <v>245</v>
      </c>
    </row>
    <row r="266" spans="1:21" x14ac:dyDescent="0.3">
      <c r="A266" s="14" t="s">
        <v>523</v>
      </c>
      <c r="B266" s="14" t="s">
        <v>532</v>
      </c>
      <c r="C266" s="22"/>
      <c r="D266" s="15">
        <v>0.25</v>
      </c>
      <c r="E266" s="16">
        <v>0.1</v>
      </c>
      <c r="F266" s="17">
        <v>0.05</v>
      </c>
      <c r="G266" s="18">
        <v>6</v>
      </c>
      <c r="H266" s="18">
        <v>780000</v>
      </c>
      <c r="I266" s="18" t="b">
        <v>0</v>
      </c>
      <c r="J266" s="14" t="s">
        <v>244</v>
      </c>
      <c r="K266" s="15">
        <v>1</v>
      </c>
      <c r="L266" s="16">
        <v>0</v>
      </c>
      <c r="M266" s="17">
        <v>0</v>
      </c>
      <c r="N266" s="18">
        <v>130000</v>
      </c>
      <c r="O266" s="15">
        <v>130000</v>
      </c>
      <c r="P266" s="16">
        <v>0</v>
      </c>
      <c r="Q266" s="17">
        <v>0</v>
      </c>
      <c r="R266" s="18" t="b">
        <v>1</v>
      </c>
      <c r="S266" s="18" t="b">
        <v>1</v>
      </c>
      <c r="T266" s="18" t="b">
        <v>1</v>
      </c>
      <c r="U266" s="14" t="s">
        <v>245</v>
      </c>
    </row>
    <row r="267" spans="1:21" x14ac:dyDescent="0.3">
      <c r="A267" s="14" t="s">
        <v>523</v>
      </c>
      <c r="B267" s="14" t="s">
        <v>533</v>
      </c>
      <c r="C267" s="22"/>
      <c r="D267" s="15">
        <v>0.25</v>
      </c>
      <c r="E267" s="16"/>
      <c r="F267" s="17">
        <v>0.05</v>
      </c>
      <c r="G267" s="18">
        <v>70</v>
      </c>
      <c r="H267" s="18">
        <v>1125000</v>
      </c>
      <c r="I267" s="18" t="b">
        <v>0</v>
      </c>
      <c r="J267" s="14" t="s">
        <v>244</v>
      </c>
      <c r="K267" s="15">
        <v>17</v>
      </c>
      <c r="L267" s="16"/>
      <c r="M267" s="17">
        <v>3</v>
      </c>
      <c r="N267" s="18">
        <v>16071.428571428571</v>
      </c>
      <c r="O267" s="15">
        <v>273214.28571428568</v>
      </c>
      <c r="P267" s="16"/>
      <c r="Q267" s="17">
        <v>48214.28571428571</v>
      </c>
      <c r="R267" s="18" t="b">
        <v>1</v>
      </c>
      <c r="S267" s="18" t="b">
        <v>0</v>
      </c>
      <c r="T267" s="18" t="b">
        <v>1</v>
      </c>
      <c r="U267" s="14" t="s">
        <v>248</v>
      </c>
    </row>
    <row r="268" spans="1:21" x14ac:dyDescent="0.3">
      <c r="A268" s="14" t="s">
        <v>44</v>
      </c>
      <c r="B268" s="14" t="s">
        <v>534</v>
      </c>
      <c r="C268" s="22"/>
      <c r="D268" s="15">
        <v>0.25</v>
      </c>
      <c r="E268" s="16">
        <v>0.25</v>
      </c>
      <c r="F268" s="17">
        <v>0.05</v>
      </c>
      <c r="G268" s="18">
        <v>18</v>
      </c>
      <c r="H268" s="18">
        <v>930000</v>
      </c>
      <c r="I268" s="18" t="b">
        <v>1</v>
      </c>
      <c r="J268" s="14" t="s">
        <v>244</v>
      </c>
      <c r="K268" s="15">
        <v>4</v>
      </c>
      <c r="L268" s="16">
        <v>4</v>
      </c>
      <c r="M268" s="17">
        <v>0</v>
      </c>
      <c r="N268" s="18">
        <v>51666.666666666657</v>
      </c>
      <c r="O268" s="15">
        <v>206666.66666666669</v>
      </c>
      <c r="P268" s="16">
        <v>206666.66666666669</v>
      </c>
      <c r="Q268" s="17">
        <v>0</v>
      </c>
      <c r="R268" s="18" t="b">
        <v>1</v>
      </c>
      <c r="S268" s="18" t="b">
        <v>1</v>
      </c>
      <c r="T268" s="18" t="b">
        <v>1</v>
      </c>
      <c r="U268" s="14" t="s">
        <v>248</v>
      </c>
    </row>
    <row r="269" spans="1:21" x14ac:dyDescent="0.3">
      <c r="A269" s="14" t="s">
        <v>44</v>
      </c>
      <c r="B269" s="30" t="s">
        <v>535</v>
      </c>
      <c r="C269" s="22" t="s">
        <v>536</v>
      </c>
      <c r="D269" s="15">
        <v>0.25</v>
      </c>
      <c r="E269" s="16">
        <v>0.25</v>
      </c>
      <c r="F269" s="17">
        <v>0.35699999999999998</v>
      </c>
      <c r="G269" s="18">
        <v>28</v>
      </c>
      <c r="H269" s="18">
        <v>150000</v>
      </c>
      <c r="I269" s="18" t="b">
        <v>1</v>
      </c>
      <c r="J269" s="14" t="s">
        <v>244</v>
      </c>
      <c r="K269" s="15">
        <v>7</v>
      </c>
      <c r="L269" s="16">
        <v>7</v>
      </c>
      <c r="M269" s="17">
        <v>0</v>
      </c>
      <c r="N269" s="18">
        <v>5357.1428571428569</v>
      </c>
      <c r="O269" s="15">
        <v>37500</v>
      </c>
      <c r="P269" s="16">
        <v>37500</v>
      </c>
      <c r="Q269" s="17">
        <v>0</v>
      </c>
      <c r="R269" s="18" t="b">
        <v>1</v>
      </c>
      <c r="S269" s="18" t="b">
        <v>1</v>
      </c>
      <c r="T269" s="18" t="b">
        <v>0</v>
      </c>
      <c r="U269" s="14" t="s">
        <v>245</v>
      </c>
    </row>
    <row r="270" spans="1:21" x14ac:dyDescent="0.3">
      <c r="A270" s="14" t="s">
        <v>44</v>
      </c>
      <c r="B270" s="14" t="s">
        <v>537</v>
      </c>
      <c r="C270" s="22"/>
      <c r="D270" s="15">
        <v>0.25</v>
      </c>
      <c r="E270" s="16">
        <v>0.25</v>
      </c>
      <c r="F270" s="17">
        <v>0.05</v>
      </c>
      <c r="G270" s="18">
        <v>40</v>
      </c>
      <c r="H270" s="18">
        <v>1400000</v>
      </c>
      <c r="I270" s="18" t="b">
        <v>1</v>
      </c>
      <c r="J270" s="14" t="s">
        <v>244</v>
      </c>
      <c r="K270" s="15">
        <v>10</v>
      </c>
      <c r="L270" s="16">
        <v>10</v>
      </c>
      <c r="M270" s="17">
        <v>2</v>
      </c>
      <c r="N270" s="18">
        <v>35000</v>
      </c>
      <c r="O270" s="15">
        <v>350000</v>
      </c>
      <c r="P270" s="16">
        <v>350000</v>
      </c>
      <c r="Q270" s="17">
        <v>70000</v>
      </c>
      <c r="R270" s="18" t="b">
        <v>1</v>
      </c>
      <c r="S270" s="18" t="b">
        <v>1</v>
      </c>
      <c r="T270" s="18" t="b">
        <v>1</v>
      </c>
      <c r="U270" s="14" t="s">
        <v>248</v>
      </c>
    </row>
    <row r="271" spans="1:21" x14ac:dyDescent="0.3">
      <c r="A271" s="14" t="s">
        <v>144</v>
      </c>
      <c r="B271" s="14" t="s">
        <v>538</v>
      </c>
      <c r="C271" s="22"/>
      <c r="D271" s="15">
        <v>0.25</v>
      </c>
      <c r="E271" s="16">
        <v>0.1</v>
      </c>
      <c r="F271" s="17">
        <v>0.05</v>
      </c>
      <c r="G271" s="18">
        <v>40</v>
      </c>
      <c r="H271" s="18">
        <v>1100000</v>
      </c>
      <c r="I271" s="18" t="b">
        <v>1</v>
      </c>
      <c r="J271" s="14" t="s">
        <v>244</v>
      </c>
      <c r="K271" s="15">
        <v>10</v>
      </c>
      <c r="L271" s="16">
        <v>4</v>
      </c>
      <c r="M271" s="17">
        <v>2</v>
      </c>
      <c r="N271" s="18">
        <v>27500</v>
      </c>
      <c r="O271" s="15">
        <v>275000</v>
      </c>
      <c r="P271" s="16">
        <v>110000</v>
      </c>
      <c r="Q271" s="17">
        <v>55000</v>
      </c>
      <c r="R271" s="18" t="b">
        <v>1</v>
      </c>
      <c r="S271" s="18" t="b">
        <v>1</v>
      </c>
      <c r="T271" s="18" t="b">
        <v>1</v>
      </c>
      <c r="U271" s="14" t="s">
        <v>253</v>
      </c>
    </row>
    <row r="272" spans="1:21" x14ac:dyDescent="0.3">
      <c r="A272" s="14" t="s">
        <v>217</v>
      </c>
      <c r="B272" s="14" t="s">
        <v>539</v>
      </c>
      <c r="C272" s="22"/>
      <c r="D272" s="15">
        <v>0.25</v>
      </c>
      <c r="E272" s="16">
        <v>0.1</v>
      </c>
      <c r="F272" s="17">
        <v>0.05</v>
      </c>
      <c r="G272" s="18">
        <v>12</v>
      </c>
      <c r="H272" s="18">
        <v>330085.32</v>
      </c>
      <c r="I272" s="18" t="b">
        <v>0</v>
      </c>
      <c r="J272" s="14" t="s">
        <v>256</v>
      </c>
      <c r="K272" s="15">
        <v>3</v>
      </c>
      <c r="L272" s="16">
        <v>1</v>
      </c>
      <c r="M272" s="17">
        <v>0</v>
      </c>
      <c r="N272" s="18">
        <v>27507.11</v>
      </c>
      <c r="O272" s="15">
        <v>82521.33</v>
      </c>
      <c r="P272" s="16">
        <v>27507.11</v>
      </c>
      <c r="Q272" s="17">
        <v>0</v>
      </c>
      <c r="R272" s="18" t="b">
        <v>1</v>
      </c>
      <c r="S272" s="18" t="b">
        <v>1</v>
      </c>
      <c r="T272" s="18" t="b">
        <v>1</v>
      </c>
      <c r="U272" s="14" t="s">
        <v>245</v>
      </c>
    </row>
    <row r="273" spans="1:21" x14ac:dyDescent="0.3">
      <c r="A273" s="14" t="s">
        <v>217</v>
      </c>
      <c r="B273" s="14" t="s">
        <v>540</v>
      </c>
      <c r="C273" s="22"/>
      <c r="D273" s="15">
        <v>0.25</v>
      </c>
      <c r="E273" s="16">
        <v>0.1</v>
      </c>
      <c r="F273" s="17">
        <v>0.05</v>
      </c>
      <c r="G273" s="18">
        <v>10</v>
      </c>
      <c r="H273" s="18">
        <v>800000</v>
      </c>
      <c r="I273" s="18" t="b">
        <v>0</v>
      </c>
      <c r="J273" s="14" t="s">
        <v>256</v>
      </c>
      <c r="K273" s="15">
        <v>2</v>
      </c>
      <c r="L273" s="16">
        <v>1</v>
      </c>
      <c r="M273" s="17">
        <v>0</v>
      </c>
      <c r="N273" s="18">
        <v>80000</v>
      </c>
      <c r="O273" s="15">
        <v>160000</v>
      </c>
      <c r="P273" s="16">
        <v>80000</v>
      </c>
      <c r="Q273" s="17">
        <v>0</v>
      </c>
      <c r="R273" s="18" t="b">
        <v>1</v>
      </c>
      <c r="S273" s="18" t="b">
        <v>1</v>
      </c>
      <c r="T273" s="18" t="b">
        <v>1</v>
      </c>
      <c r="U273" s="14" t="s">
        <v>245</v>
      </c>
    </row>
    <row r="274" spans="1:21" x14ac:dyDescent="0.3">
      <c r="A274" s="14" t="s">
        <v>217</v>
      </c>
      <c r="B274" s="14" t="s">
        <v>541</v>
      </c>
      <c r="C274" s="22"/>
      <c r="D274" s="15">
        <v>0.25</v>
      </c>
      <c r="E274" s="16">
        <v>0.1</v>
      </c>
      <c r="F274" s="17">
        <v>0.05</v>
      </c>
      <c r="G274" s="18">
        <v>60</v>
      </c>
      <c r="H274" s="18">
        <v>2420000</v>
      </c>
      <c r="I274" s="18" t="b">
        <v>0</v>
      </c>
      <c r="J274" s="14" t="s">
        <v>256</v>
      </c>
      <c r="K274" s="15">
        <v>15</v>
      </c>
      <c r="L274" s="16">
        <v>6</v>
      </c>
      <c r="M274" s="17">
        <v>3</v>
      </c>
      <c r="N274" s="18">
        <v>40333.333333333343</v>
      </c>
      <c r="O274" s="15">
        <v>605000</v>
      </c>
      <c r="P274" s="16">
        <v>242000</v>
      </c>
      <c r="Q274" s="17">
        <v>121000</v>
      </c>
      <c r="R274" s="18" t="b">
        <v>1</v>
      </c>
      <c r="S274" s="18" t="b">
        <v>1</v>
      </c>
      <c r="T274" s="18" t="b">
        <v>1</v>
      </c>
      <c r="U274" s="14" t="s">
        <v>248</v>
      </c>
    </row>
    <row r="275" spans="1:21" x14ac:dyDescent="0.3">
      <c r="A275" s="14" t="s">
        <v>542</v>
      </c>
      <c r="B275" s="14" t="s">
        <v>543</v>
      </c>
      <c r="C275" s="22"/>
      <c r="D275" s="15">
        <v>0.25</v>
      </c>
      <c r="E275" s="16">
        <v>0.1</v>
      </c>
      <c r="F275" s="17">
        <v>0.05</v>
      </c>
      <c r="G275" s="18">
        <v>100</v>
      </c>
      <c r="H275" s="18">
        <v>5224089</v>
      </c>
      <c r="I275" s="18" t="b">
        <v>0</v>
      </c>
      <c r="J275" s="14" t="s">
        <v>256</v>
      </c>
      <c r="K275" s="15">
        <v>25</v>
      </c>
      <c r="L275" s="16">
        <v>10</v>
      </c>
      <c r="M275" s="17">
        <v>5</v>
      </c>
      <c r="N275" s="18">
        <v>52240.89</v>
      </c>
      <c r="O275" s="15">
        <v>1306022.25</v>
      </c>
      <c r="P275" s="16">
        <v>522408.9</v>
      </c>
      <c r="Q275" s="17">
        <v>261204.45</v>
      </c>
      <c r="R275" s="18" t="b">
        <v>1</v>
      </c>
      <c r="S275" s="18" t="b">
        <v>1</v>
      </c>
      <c r="T275" s="18" t="b">
        <v>1</v>
      </c>
      <c r="U275" s="14" t="s">
        <v>248</v>
      </c>
    </row>
    <row r="276" spans="1:21" x14ac:dyDescent="0.3">
      <c r="A276" s="14" t="s">
        <v>544</v>
      </c>
      <c r="B276" s="14" t="s">
        <v>545</v>
      </c>
      <c r="C276" s="22"/>
      <c r="D276" s="15">
        <v>0.25</v>
      </c>
      <c r="E276" s="16">
        <v>0.1</v>
      </c>
      <c r="F276" s="17">
        <v>0.05</v>
      </c>
      <c r="G276" s="18">
        <v>124</v>
      </c>
      <c r="H276" s="18">
        <v>4060000</v>
      </c>
      <c r="I276" s="18" t="b">
        <v>0</v>
      </c>
      <c r="J276" s="14" t="s">
        <v>256</v>
      </c>
      <c r="K276" s="15">
        <v>31</v>
      </c>
      <c r="L276" s="16">
        <v>12</v>
      </c>
      <c r="M276" s="17">
        <v>6</v>
      </c>
      <c r="N276" s="18">
        <v>32741.93548387097</v>
      </c>
      <c r="O276" s="15">
        <v>1015000</v>
      </c>
      <c r="P276" s="16">
        <v>392903.22580645158</v>
      </c>
      <c r="Q276" s="17">
        <v>196451.61290322579</v>
      </c>
      <c r="R276" s="18" t="b">
        <v>1</v>
      </c>
      <c r="S276" s="18" t="b">
        <v>1</v>
      </c>
      <c r="T276" s="18" t="b">
        <v>1</v>
      </c>
      <c r="U276" s="14" t="s">
        <v>245</v>
      </c>
    </row>
    <row r="277" spans="1:21" x14ac:dyDescent="0.3">
      <c r="A277" s="14" t="s">
        <v>544</v>
      </c>
      <c r="B277" s="14" t="s">
        <v>546</v>
      </c>
      <c r="C277" s="22"/>
      <c r="D277" s="15">
        <v>0.25</v>
      </c>
      <c r="E277" s="16">
        <v>0.1</v>
      </c>
      <c r="F277" s="17">
        <v>0.05</v>
      </c>
      <c r="G277" s="18">
        <v>219</v>
      </c>
      <c r="H277" s="18">
        <v>5580000</v>
      </c>
      <c r="I277" s="18" t="b">
        <v>0</v>
      </c>
      <c r="J277" s="14" t="s">
        <v>256</v>
      </c>
      <c r="K277" s="15">
        <v>54</v>
      </c>
      <c r="L277" s="16">
        <v>21</v>
      </c>
      <c r="M277" s="17">
        <v>10</v>
      </c>
      <c r="N277" s="18">
        <v>25479.452054794521</v>
      </c>
      <c r="O277" s="15">
        <v>1375890.4109589041</v>
      </c>
      <c r="P277" s="16">
        <v>535068.49315068498</v>
      </c>
      <c r="Q277" s="17">
        <v>254794.5205479452</v>
      </c>
      <c r="R277" s="18" t="b">
        <v>1</v>
      </c>
      <c r="S277" s="18" t="b">
        <v>1</v>
      </c>
      <c r="T277" s="18" t="b">
        <v>1</v>
      </c>
      <c r="U277" s="14" t="s">
        <v>253</v>
      </c>
    </row>
    <row r="278" spans="1:21" x14ac:dyDescent="0.3">
      <c r="A278" s="14" t="s">
        <v>544</v>
      </c>
      <c r="B278" s="14" t="s">
        <v>547</v>
      </c>
      <c r="C278" s="22"/>
      <c r="D278" s="15">
        <v>0.25</v>
      </c>
      <c r="E278" s="16">
        <v>0.1</v>
      </c>
      <c r="F278" s="17">
        <v>0.05</v>
      </c>
      <c r="G278" s="18">
        <v>79</v>
      </c>
      <c r="H278" s="18">
        <v>5990000</v>
      </c>
      <c r="I278" s="18" t="b">
        <v>0</v>
      </c>
      <c r="J278" s="14" t="s">
        <v>256</v>
      </c>
      <c r="K278" s="15">
        <v>19</v>
      </c>
      <c r="L278" s="16">
        <v>7</v>
      </c>
      <c r="M278" s="17">
        <v>3</v>
      </c>
      <c r="N278" s="18">
        <v>75822.784810126584</v>
      </c>
      <c r="O278" s="15">
        <v>1440632.9113924049</v>
      </c>
      <c r="P278" s="16">
        <v>530759.49367088615</v>
      </c>
      <c r="Q278" s="17">
        <v>227468.35443037981</v>
      </c>
      <c r="R278" s="18" t="b">
        <v>1</v>
      </c>
      <c r="S278" s="18" t="b">
        <v>1</v>
      </c>
      <c r="T278" s="18" t="b">
        <v>1</v>
      </c>
      <c r="U278" s="14" t="s">
        <v>248</v>
      </c>
    </row>
    <row r="279" spans="1:21" x14ac:dyDescent="0.3">
      <c r="A279" s="14" t="s">
        <v>548</v>
      </c>
      <c r="B279" s="14" t="s">
        <v>549</v>
      </c>
      <c r="C279" s="22"/>
      <c r="D279" s="15">
        <v>0.25</v>
      </c>
      <c r="E279" s="16">
        <v>0.1</v>
      </c>
      <c r="F279" s="17">
        <v>0.05</v>
      </c>
      <c r="G279" s="18">
        <v>5</v>
      </c>
      <c r="H279" s="18">
        <v>450000</v>
      </c>
      <c r="I279" s="18" t="b">
        <v>0</v>
      </c>
      <c r="J279" s="14" t="s">
        <v>256</v>
      </c>
      <c r="K279" s="15">
        <v>1</v>
      </c>
      <c r="L279" s="16">
        <v>0</v>
      </c>
      <c r="M279" s="17">
        <v>0</v>
      </c>
      <c r="N279" s="18">
        <v>90000</v>
      </c>
      <c r="O279" s="15">
        <v>90000</v>
      </c>
      <c r="P279" s="16">
        <v>0</v>
      </c>
      <c r="Q279" s="17">
        <v>0</v>
      </c>
      <c r="R279" s="18" t="b">
        <v>1</v>
      </c>
      <c r="S279" s="18" t="b">
        <v>1</v>
      </c>
      <c r="T279" s="18" t="b">
        <v>1</v>
      </c>
      <c r="U279" s="14" t="s">
        <v>245</v>
      </c>
    </row>
    <row r="280" spans="1:21" x14ac:dyDescent="0.3">
      <c r="A280" s="14" t="s">
        <v>548</v>
      </c>
      <c r="B280" s="14" t="s">
        <v>550</v>
      </c>
      <c r="C280" s="22"/>
      <c r="D280" s="15">
        <v>0.25</v>
      </c>
      <c r="E280" s="16">
        <v>0.1</v>
      </c>
      <c r="F280" s="17">
        <v>0.05</v>
      </c>
      <c r="G280" s="18">
        <v>259</v>
      </c>
      <c r="H280" s="18">
        <v>2643100</v>
      </c>
      <c r="I280" s="18" t="b">
        <v>0</v>
      </c>
      <c r="J280" s="14" t="s">
        <v>256</v>
      </c>
      <c r="K280" s="15">
        <v>64</v>
      </c>
      <c r="L280" s="16">
        <v>25</v>
      </c>
      <c r="M280" s="17">
        <v>12</v>
      </c>
      <c r="N280" s="18">
        <v>10205.019305019299</v>
      </c>
      <c r="O280" s="15">
        <v>653121.2355212355</v>
      </c>
      <c r="P280" s="16">
        <v>255125.4826254826</v>
      </c>
      <c r="Q280" s="17">
        <v>122460.2316602317</v>
      </c>
      <c r="R280" s="18" t="b">
        <v>1</v>
      </c>
      <c r="S280" s="18" t="b">
        <v>1</v>
      </c>
      <c r="T280" s="18" t="b">
        <v>1</v>
      </c>
      <c r="U280" s="14" t="s">
        <v>248</v>
      </c>
    </row>
    <row r="281" spans="1:21" x14ac:dyDescent="0.3">
      <c r="A281" s="14" t="s">
        <v>551</v>
      </c>
      <c r="B281" s="14" t="s">
        <v>552</v>
      </c>
      <c r="C281" s="22"/>
      <c r="D281" s="15">
        <v>0.25</v>
      </c>
      <c r="E281" s="16">
        <v>0.1</v>
      </c>
      <c r="F281" s="17">
        <v>0.1</v>
      </c>
      <c r="G281" s="18">
        <v>25</v>
      </c>
      <c r="H281" s="18">
        <v>1197706.2</v>
      </c>
      <c r="I281" s="18" t="b">
        <v>0</v>
      </c>
      <c r="J281" s="14" t="s">
        <v>256</v>
      </c>
      <c r="K281" s="15">
        <v>6</v>
      </c>
      <c r="L281" s="16">
        <v>2</v>
      </c>
      <c r="M281" s="17">
        <v>2</v>
      </c>
      <c r="N281" s="18">
        <v>47908.248</v>
      </c>
      <c r="O281" s="15">
        <v>287449.48800000001</v>
      </c>
      <c r="P281" s="16">
        <v>95816.495999999999</v>
      </c>
      <c r="Q281" s="17">
        <v>95816.495999999999</v>
      </c>
      <c r="R281" s="18" t="b">
        <v>1</v>
      </c>
      <c r="S281" s="18" t="b">
        <v>1</v>
      </c>
      <c r="T281" s="18" t="b">
        <v>1</v>
      </c>
      <c r="U281" s="14" t="s">
        <v>248</v>
      </c>
    </row>
    <row r="282" spans="1:21" x14ac:dyDescent="0.3">
      <c r="A282" s="14" t="s">
        <v>551</v>
      </c>
      <c r="B282" s="14" t="s">
        <v>553</v>
      </c>
      <c r="C282" s="22"/>
      <c r="D282" s="15">
        <v>0.25</v>
      </c>
      <c r="E282" s="16">
        <v>0.1</v>
      </c>
      <c r="F282" s="17">
        <v>0.1</v>
      </c>
      <c r="G282" s="18">
        <v>30</v>
      </c>
      <c r="H282" s="18">
        <v>1431877.6</v>
      </c>
      <c r="I282" s="18" t="b">
        <v>0</v>
      </c>
      <c r="J282" s="14" t="s">
        <v>256</v>
      </c>
      <c r="K282" s="15">
        <v>7</v>
      </c>
      <c r="L282" s="16">
        <v>3</v>
      </c>
      <c r="M282" s="17">
        <v>3</v>
      </c>
      <c r="N282" s="18">
        <v>47729.253333333327</v>
      </c>
      <c r="O282" s="15">
        <v>334104.77333333332</v>
      </c>
      <c r="P282" s="16">
        <v>143187.76</v>
      </c>
      <c r="Q282" s="17">
        <v>143187.76</v>
      </c>
      <c r="R282" s="18" t="b">
        <v>1</v>
      </c>
      <c r="S282" s="18" t="b">
        <v>1</v>
      </c>
      <c r="T282" s="18" t="b">
        <v>1</v>
      </c>
      <c r="U282" s="14" t="s">
        <v>257</v>
      </c>
    </row>
    <row r="283" spans="1:21" x14ac:dyDescent="0.3">
      <c r="A283" s="14" t="s">
        <v>551</v>
      </c>
      <c r="B283" s="14" t="s">
        <v>554</v>
      </c>
      <c r="C283" s="22"/>
      <c r="D283" s="15">
        <v>0.25</v>
      </c>
      <c r="E283" s="16">
        <v>0.1</v>
      </c>
      <c r="F283" s="17">
        <v>0.1</v>
      </c>
      <c r="G283" s="18">
        <v>50</v>
      </c>
      <c r="H283" s="18">
        <v>2004628.5</v>
      </c>
      <c r="I283" s="18" t="b">
        <v>0</v>
      </c>
      <c r="J283" s="14" t="s">
        <v>256</v>
      </c>
      <c r="K283" s="15">
        <v>12</v>
      </c>
      <c r="L283" s="16">
        <v>5</v>
      </c>
      <c r="M283" s="17">
        <v>5</v>
      </c>
      <c r="N283" s="18">
        <v>40092.57</v>
      </c>
      <c r="O283" s="15">
        <v>481110.84</v>
      </c>
      <c r="P283" s="16">
        <v>200462.85</v>
      </c>
      <c r="Q283" s="17">
        <v>200462.85</v>
      </c>
      <c r="R283" s="18" t="b">
        <v>1</v>
      </c>
      <c r="S283" s="18" t="b">
        <v>1</v>
      </c>
      <c r="T283" s="18" t="b">
        <v>1</v>
      </c>
      <c r="U283" s="14" t="s">
        <v>248</v>
      </c>
    </row>
    <row r="284" spans="1:21" x14ac:dyDescent="0.3">
      <c r="A284" s="14" t="s">
        <v>555</v>
      </c>
      <c r="B284" s="14" t="s">
        <v>556</v>
      </c>
      <c r="C284" s="22"/>
      <c r="D284" s="15">
        <v>0.25</v>
      </c>
      <c r="E284" s="16">
        <v>0.1</v>
      </c>
      <c r="F284" s="17">
        <v>0.05</v>
      </c>
      <c r="G284" s="18">
        <v>6</v>
      </c>
      <c r="H284" s="18">
        <v>120000</v>
      </c>
      <c r="I284" s="18" t="b">
        <v>0</v>
      </c>
      <c r="J284" s="14" t="s">
        <v>256</v>
      </c>
      <c r="K284" s="15">
        <v>1</v>
      </c>
      <c r="L284" s="16">
        <v>0</v>
      </c>
      <c r="M284" s="17">
        <v>0</v>
      </c>
      <c r="N284" s="18">
        <v>20000</v>
      </c>
      <c r="O284" s="15">
        <v>20000</v>
      </c>
      <c r="P284" s="16">
        <v>0</v>
      </c>
      <c r="Q284" s="17">
        <v>0</v>
      </c>
      <c r="R284" s="18" t="b">
        <v>1</v>
      </c>
      <c r="S284" s="18" t="b">
        <v>1</v>
      </c>
      <c r="T284" s="18" t="b">
        <v>1</v>
      </c>
      <c r="U284" s="14" t="s">
        <v>257</v>
      </c>
    </row>
    <row r="285" spans="1:21" x14ac:dyDescent="0.3">
      <c r="A285" s="14" t="s">
        <v>555</v>
      </c>
      <c r="B285" s="14" t="s">
        <v>557</v>
      </c>
      <c r="C285" s="22"/>
      <c r="D285" s="15">
        <v>0.25</v>
      </c>
      <c r="E285" s="16">
        <v>0.1</v>
      </c>
      <c r="F285" s="17">
        <v>0.05</v>
      </c>
      <c r="G285" s="18">
        <v>39</v>
      </c>
      <c r="H285" s="18">
        <v>1050000</v>
      </c>
      <c r="I285" s="18" t="b">
        <v>0</v>
      </c>
      <c r="J285" s="14" t="s">
        <v>256</v>
      </c>
      <c r="K285" s="15">
        <v>9</v>
      </c>
      <c r="L285" s="16">
        <v>3</v>
      </c>
      <c r="M285" s="17">
        <v>1</v>
      </c>
      <c r="N285" s="18">
        <v>26923.076923076918</v>
      </c>
      <c r="O285" s="15">
        <v>242307.69230769231</v>
      </c>
      <c r="P285" s="16">
        <v>80769.230769230766</v>
      </c>
      <c r="Q285" s="17">
        <v>26923.076923076918</v>
      </c>
      <c r="R285" s="18" t="b">
        <v>1</v>
      </c>
      <c r="S285" s="18" t="b">
        <v>1</v>
      </c>
      <c r="T285" s="18" t="b">
        <v>1</v>
      </c>
      <c r="U285" s="14" t="s">
        <v>245</v>
      </c>
    </row>
    <row r="286" spans="1:21" x14ac:dyDescent="0.3">
      <c r="A286" s="14" t="s">
        <v>555</v>
      </c>
      <c r="B286" s="14" t="s">
        <v>558</v>
      </c>
      <c r="C286" s="22"/>
      <c r="D286" s="15">
        <v>0.25</v>
      </c>
      <c r="E286" s="16">
        <v>0.1</v>
      </c>
      <c r="F286" s="17">
        <v>0.05</v>
      </c>
      <c r="G286" s="18">
        <v>89</v>
      </c>
      <c r="H286" s="18">
        <v>2530000</v>
      </c>
      <c r="I286" s="18" t="b">
        <v>0</v>
      </c>
      <c r="J286" s="14" t="s">
        <v>256</v>
      </c>
      <c r="K286" s="15">
        <v>22</v>
      </c>
      <c r="L286" s="16">
        <v>8</v>
      </c>
      <c r="M286" s="17">
        <v>4</v>
      </c>
      <c r="N286" s="18">
        <v>28426.966292134832</v>
      </c>
      <c r="O286" s="15">
        <v>625393.25842696626</v>
      </c>
      <c r="P286" s="16">
        <v>227415.73033707871</v>
      </c>
      <c r="Q286" s="17">
        <v>113707.8651685393</v>
      </c>
      <c r="R286" s="18" t="b">
        <v>1</v>
      </c>
      <c r="S286" s="18" t="b">
        <v>1</v>
      </c>
      <c r="T286" s="18" t="b">
        <v>1</v>
      </c>
      <c r="U286" s="14" t="s">
        <v>248</v>
      </c>
    </row>
    <row r="287" spans="1:21" x14ac:dyDescent="0.3">
      <c r="A287" s="14" t="s">
        <v>559</v>
      </c>
      <c r="B287" s="14" t="s">
        <v>560</v>
      </c>
      <c r="C287" s="22"/>
      <c r="D287" s="15">
        <v>0.25</v>
      </c>
      <c r="E287" s="16">
        <v>0.1</v>
      </c>
      <c r="F287" s="17">
        <v>0.05</v>
      </c>
      <c r="G287" s="18">
        <v>55</v>
      </c>
      <c r="H287" s="18">
        <v>1674000</v>
      </c>
      <c r="I287" s="18" t="b">
        <v>0</v>
      </c>
      <c r="J287" s="14" t="s">
        <v>256</v>
      </c>
      <c r="K287" s="15">
        <v>13</v>
      </c>
      <c r="L287" s="16">
        <v>5</v>
      </c>
      <c r="M287" s="17">
        <v>2</v>
      </c>
      <c r="N287" s="18">
        <v>30436.36363636364</v>
      </c>
      <c r="O287" s="15">
        <v>395672.72727272729</v>
      </c>
      <c r="P287" s="16">
        <v>152181.81818181821</v>
      </c>
      <c r="Q287" s="17">
        <v>60872.727272727272</v>
      </c>
      <c r="R287" s="18" t="b">
        <v>1</v>
      </c>
      <c r="S287" s="18" t="b">
        <v>1</v>
      </c>
      <c r="T287" s="18" t="b">
        <v>1</v>
      </c>
      <c r="U287" s="14" t="s">
        <v>245</v>
      </c>
    </row>
    <row r="288" spans="1:21" x14ac:dyDescent="0.3">
      <c r="A288" s="14" t="s">
        <v>559</v>
      </c>
      <c r="B288" s="14" t="s">
        <v>561</v>
      </c>
      <c r="C288" s="22"/>
      <c r="D288" s="15">
        <v>0.25</v>
      </c>
      <c r="E288" s="16">
        <v>0.1</v>
      </c>
      <c r="F288" s="17">
        <v>0.05</v>
      </c>
      <c r="G288" s="18">
        <v>94</v>
      </c>
      <c r="H288" s="18">
        <v>2844000</v>
      </c>
      <c r="I288" s="18" t="b">
        <v>0</v>
      </c>
      <c r="J288" s="14" t="s">
        <v>256</v>
      </c>
      <c r="K288" s="15">
        <v>23</v>
      </c>
      <c r="L288" s="16">
        <v>9</v>
      </c>
      <c r="M288" s="17">
        <v>4</v>
      </c>
      <c r="N288" s="18">
        <v>30255.319148936171</v>
      </c>
      <c r="O288" s="15">
        <v>695872.34042553196</v>
      </c>
      <c r="P288" s="16">
        <v>272297.87234042562</v>
      </c>
      <c r="Q288" s="17">
        <v>121021.2765957447</v>
      </c>
      <c r="R288" s="18" t="b">
        <v>1</v>
      </c>
      <c r="S288" s="18" t="b">
        <v>1</v>
      </c>
      <c r="T288" s="18" t="b">
        <v>1</v>
      </c>
      <c r="U288" s="14" t="s">
        <v>245</v>
      </c>
    </row>
    <row r="289" spans="1:21" x14ac:dyDescent="0.3">
      <c r="A289" s="14" t="s">
        <v>559</v>
      </c>
      <c r="B289" s="14" t="s">
        <v>562</v>
      </c>
      <c r="C289" s="22"/>
      <c r="D289" s="15">
        <v>0.25</v>
      </c>
      <c r="E289" s="16">
        <v>0.1</v>
      </c>
      <c r="F289" s="17">
        <v>0.05</v>
      </c>
      <c r="G289" s="18">
        <v>225</v>
      </c>
      <c r="H289" s="18">
        <v>7840000</v>
      </c>
      <c r="I289" s="18" t="b">
        <v>0</v>
      </c>
      <c r="J289" s="14" t="s">
        <v>256</v>
      </c>
      <c r="K289" s="15">
        <v>56</v>
      </c>
      <c r="L289" s="16">
        <v>22</v>
      </c>
      <c r="M289" s="17">
        <v>11</v>
      </c>
      <c r="N289" s="18">
        <v>34844.444444444453</v>
      </c>
      <c r="O289" s="15">
        <v>1951288.888888889</v>
      </c>
      <c r="P289" s="16">
        <v>766577.77777777775</v>
      </c>
      <c r="Q289" s="17">
        <v>383288.88888888888</v>
      </c>
      <c r="R289" s="18" t="b">
        <v>1</v>
      </c>
      <c r="S289" s="18" t="b">
        <v>1</v>
      </c>
      <c r="T289" s="18" t="b">
        <v>1</v>
      </c>
      <c r="U289" s="14" t="s">
        <v>248</v>
      </c>
    </row>
    <row r="290" spans="1:21" x14ac:dyDescent="0.3">
      <c r="A290" s="14" t="s">
        <v>265</v>
      </c>
      <c r="B290" s="30" t="s">
        <v>563</v>
      </c>
      <c r="C290" s="22" t="s">
        <v>564</v>
      </c>
      <c r="D290" s="15">
        <v>0.25</v>
      </c>
      <c r="E290" s="31">
        <v>0.1</v>
      </c>
      <c r="F290" s="17">
        <v>5.5599999999999997E-2</v>
      </c>
      <c r="G290" s="18">
        <v>36</v>
      </c>
      <c r="H290" s="18">
        <v>900000</v>
      </c>
      <c r="I290" s="18" t="b">
        <v>0</v>
      </c>
      <c r="J290" s="14" t="s">
        <v>256</v>
      </c>
      <c r="K290" s="15">
        <v>9</v>
      </c>
      <c r="L290" s="16">
        <v>2</v>
      </c>
      <c r="M290" s="17">
        <v>2</v>
      </c>
      <c r="N290" s="18">
        <v>25000</v>
      </c>
      <c r="O290" s="15">
        <v>225000</v>
      </c>
      <c r="P290" s="16">
        <v>50000</v>
      </c>
      <c r="Q290" s="17">
        <v>50000</v>
      </c>
      <c r="R290" s="18" t="b">
        <v>1</v>
      </c>
      <c r="S290" s="18" t="b">
        <v>0</v>
      </c>
      <c r="T290" s="18" t="b">
        <v>1</v>
      </c>
      <c r="U290" s="14" t="s">
        <v>248</v>
      </c>
    </row>
    <row r="291" spans="1:21" x14ac:dyDescent="0.3">
      <c r="A291" s="14" t="s">
        <v>265</v>
      </c>
      <c r="B291" s="14" t="s">
        <v>565</v>
      </c>
      <c r="C291" s="22"/>
      <c r="D291" s="15">
        <v>0.25</v>
      </c>
      <c r="E291" s="16">
        <v>0.1</v>
      </c>
      <c r="F291" s="17">
        <v>0.05</v>
      </c>
      <c r="G291" s="18">
        <v>45</v>
      </c>
      <c r="H291" s="18">
        <v>900000</v>
      </c>
      <c r="I291" s="18" t="b">
        <v>0</v>
      </c>
      <c r="J291" s="14" t="s">
        <v>256</v>
      </c>
      <c r="K291" s="15">
        <v>11</v>
      </c>
      <c r="L291" s="16">
        <v>4</v>
      </c>
      <c r="M291" s="17">
        <v>2</v>
      </c>
      <c r="N291" s="18">
        <v>20000</v>
      </c>
      <c r="O291" s="15">
        <v>220000</v>
      </c>
      <c r="P291" s="16">
        <v>80000</v>
      </c>
      <c r="Q291" s="17">
        <v>40000</v>
      </c>
      <c r="R291" s="18" t="b">
        <v>1</v>
      </c>
      <c r="S291" s="18" t="b">
        <v>1</v>
      </c>
      <c r="T291" s="18" t="b">
        <v>1</v>
      </c>
      <c r="U291" s="14" t="s">
        <v>245</v>
      </c>
    </row>
    <row r="292" spans="1:21" x14ac:dyDescent="0.3">
      <c r="A292" s="14" t="s">
        <v>158</v>
      </c>
      <c r="B292" s="14" t="s">
        <v>566</v>
      </c>
      <c r="C292" s="22"/>
      <c r="D292" s="15">
        <v>0.25</v>
      </c>
      <c r="E292" s="16"/>
      <c r="F292" s="17">
        <v>0.1</v>
      </c>
      <c r="G292" s="18">
        <v>30</v>
      </c>
      <c r="H292" s="18">
        <v>2000000</v>
      </c>
      <c r="I292" s="18" t="b">
        <v>0</v>
      </c>
      <c r="J292" s="14" t="s">
        <v>256</v>
      </c>
      <c r="K292" s="15">
        <v>7</v>
      </c>
      <c r="L292" s="16"/>
      <c r="M292" s="17">
        <v>3</v>
      </c>
      <c r="N292" s="18">
        <v>66666.666666666672</v>
      </c>
      <c r="O292" s="15">
        <v>466666.66666666669</v>
      </c>
      <c r="P292" s="16"/>
      <c r="Q292" s="17">
        <v>200000</v>
      </c>
      <c r="R292" s="18" t="b">
        <v>1</v>
      </c>
      <c r="S292" s="18" t="b">
        <v>0</v>
      </c>
      <c r="T292" s="18" t="b">
        <v>1</v>
      </c>
      <c r="U292" s="14" t="s">
        <v>253</v>
      </c>
    </row>
    <row r="293" spans="1:21" x14ac:dyDescent="0.3">
      <c r="A293" s="14" t="s">
        <v>158</v>
      </c>
      <c r="B293" s="14" t="s">
        <v>567</v>
      </c>
      <c r="C293" s="22"/>
      <c r="D293" s="15">
        <v>0.25</v>
      </c>
      <c r="E293" s="16">
        <v>0.1</v>
      </c>
      <c r="F293" s="17">
        <v>0.1</v>
      </c>
      <c r="G293" s="18">
        <v>16</v>
      </c>
      <c r="H293" s="18">
        <v>288000</v>
      </c>
      <c r="I293" s="18" t="b">
        <v>0</v>
      </c>
      <c r="J293" s="14" t="s">
        <v>256</v>
      </c>
      <c r="K293" s="15">
        <v>4</v>
      </c>
      <c r="L293" s="16">
        <v>1</v>
      </c>
      <c r="M293" s="17">
        <v>1</v>
      </c>
      <c r="N293" s="18">
        <v>18000</v>
      </c>
      <c r="O293" s="15">
        <v>72000</v>
      </c>
      <c r="P293" s="16">
        <v>18000</v>
      </c>
      <c r="Q293" s="17">
        <v>18000</v>
      </c>
      <c r="R293" s="18" t="b">
        <v>1</v>
      </c>
      <c r="S293" s="18" t="b">
        <v>1</v>
      </c>
      <c r="T293" s="18" t="b">
        <v>1</v>
      </c>
      <c r="U293" s="14" t="s">
        <v>253</v>
      </c>
    </row>
    <row r="294" spans="1:21" x14ac:dyDescent="0.3">
      <c r="A294" s="14" t="s">
        <v>158</v>
      </c>
      <c r="B294" s="14" t="s">
        <v>568</v>
      </c>
      <c r="C294" s="22"/>
      <c r="D294" s="15">
        <v>0.25</v>
      </c>
      <c r="E294" s="16">
        <v>0.1</v>
      </c>
      <c r="F294" s="17">
        <v>0.1</v>
      </c>
      <c r="G294" s="18">
        <v>12</v>
      </c>
      <c r="H294" s="18">
        <v>577489.37</v>
      </c>
      <c r="I294" s="18" t="b">
        <v>0</v>
      </c>
      <c r="J294" s="14" t="s">
        <v>256</v>
      </c>
      <c r="K294" s="15">
        <v>3</v>
      </c>
      <c r="L294" s="16">
        <v>1</v>
      </c>
      <c r="M294" s="17">
        <v>1</v>
      </c>
      <c r="N294" s="18">
        <v>48124.114166666674</v>
      </c>
      <c r="O294" s="15">
        <v>144372.3425</v>
      </c>
      <c r="P294" s="16">
        <v>48124.114166666674</v>
      </c>
      <c r="Q294" s="17">
        <v>48124.114166666674</v>
      </c>
      <c r="R294" s="18" t="b">
        <v>1</v>
      </c>
      <c r="S294" s="18" t="b">
        <v>1</v>
      </c>
      <c r="T294" s="18" t="b">
        <v>1</v>
      </c>
      <c r="U294" s="14" t="s">
        <v>248</v>
      </c>
    </row>
    <row r="295" spans="1:21" x14ac:dyDescent="0.3">
      <c r="A295" s="14" t="s">
        <v>158</v>
      </c>
      <c r="B295" s="14" t="s">
        <v>569</v>
      </c>
      <c r="C295" s="22"/>
      <c r="D295" s="15">
        <v>0.25</v>
      </c>
      <c r="E295" s="16">
        <v>0.1</v>
      </c>
      <c r="F295" s="17">
        <v>0.1</v>
      </c>
      <c r="G295" s="18">
        <v>20</v>
      </c>
      <c r="H295" s="18">
        <v>500000</v>
      </c>
      <c r="I295" s="18" t="b">
        <v>0</v>
      </c>
      <c r="J295" s="14" t="s">
        <v>256</v>
      </c>
      <c r="K295" s="15">
        <v>5</v>
      </c>
      <c r="L295" s="16">
        <v>2</v>
      </c>
      <c r="M295" s="17">
        <v>2</v>
      </c>
      <c r="N295" s="18">
        <v>25000</v>
      </c>
      <c r="O295" s="15">
        <v>125000</v>
      </c>
      <c r="P295" s="16">
        <v>50000</v>
      </c>
      <c r="Q295" s="17">
        <v>50000</v>
      </c>
      <c r="R295" s="18" t="b">
        <v>1</v>
      </c>
      <c r="S295" s="18" t="b">
        <v>1</v>
      </c>
      <c r="T295" s="18" t="b">
        <v>1</v>
      </c>
      <c r="U295" s="14" t="s">
        <v>248</v>
      </c>
    </row>
    <row r="296" spans="1:21" x14ac:dyDescent="0.3">
      <c r="A296" s="14" t="s">
        <v>158</v>
      </c>
      <c r="B296" s="14" t="s">
        <v>570</v>
      </c>
      <c r="C296" s="22"/>
      <c r="D296" s="15">
        <v>0.25</v>
      </c>
      <c r="E296" s="16">
        <v>0.1</v>
      </c>
      <c r="F296" s="17">
        <v>0.1</v>
      </c>
      <c r="G296" s="18">
        <v>6</v>
      </c>
      <c r="H296" s="18">
        <v>150000</v>
      </c>
      <c r="I296" s="18" t="b">
        <v>0</v>
      </c>
      <c r="J296" s="14" t="s">
        <v>256</v>
      </c>
      <c r="K296" s="15">
        <v>1</v>
      </c>
      <c r="L296" s="16">
        <v>0</v>
      </c>
      <c r="M296" s="17">
        <v>0</v>
      </c>
      <c r="N296" s="18">
        <v>25000</v>
      </c>
      <c r="O296" s="15">
        <v>25000</v>
      </c>
      <c r="P296" s="16">
        <v>0</v>
      </c>
      <c r="Q296" s="17">
        <v>0</v>
      </c>
      <c r="R296" s="18" t="b">
        <v>1</v>
      </c>
      <c r="S296" s="18" t="b">
        <v>1</v>
      </c>
      <c r="T296" s="18" t="b">
        <v>1</v>
      </c>
      <c r="U296" s="14" t="s">
        <v>248</v>
      </c>
    </row>
    <row r="297" spans="1:21" x14ac:dyDescent="0.3">
      <c r="A297" s="14" t="s">
        <v>158</v>
      </c>
      <c r="B297" s="14" t="s">
        <v>571</v>
      </c>
      <c r="C297" s="22"/>
      <c r="D297" s="15">
        <v>0.25</v>
      </c>
      <c r="E297" s="16">
        <v>0.1</v>
      </c>
      <c r="F297" s="17">
        <v>0.1</v>
      </c>
      <c r="G297" s="18">
        <v>36</v>
      </c>
      <c r="H297" s="18">
        <v>480000</v>
      </c>
      <c r="I297" s="18" t="b">
        <v>0</v>
      </c>
      <c r="J297" s="14" t="s">
        <v>256</v>
      </c>
      <c r="K297" s="15">
        <v>9</v>
      </c>
      <c r="L297" s="16">
        <v>3</v>
      </c>
      <c r="M297" s="17">
        <v>3</v>
      </c>
      <c r="N297" s="18">
        <v>13333.33333333333</v>
      </c>
      <c r="O297" s="15">
        <v>120000</v>
      </c>
      <c r="P297" s="16">
        <v>40000</v>
      </c>
      <c r="Q297" s="17">
        <v>40000</v>
      </c>
      <c r="R297" s="18" t="b">
        <v>1</v>
      </c>
      <c r="S297" s="18" t="b">
        <v>1</v>
      </c>
      <c r="T297" s="18" t="b">
        <v>1</v>
      </c>
      <c r="U297" s="14" t="s">
        <v>248</v>
      </c>
    </row>
    <row r="298" spans="1:21" x14ac:dyDescent="0.3">
      <c r="A298" s="14" t="s">
        <v>158</v>
      </c>
      <c r="B298" s="14" t="s">
        <v>572</v>
      </c>
      <c r="C298" s="22"/>
      <c r="D298" s="15">
        <v>0.25</v>
      </c>
      <c r="E298" s="16">
        <v>0.1</v>
      </c>
      <c r="F298" s="17">
        <v>0.1</v>
      </c>
      <c r="G298" s="18">
        <v>24</v>
      </c>
      <c r="H298" s="18">
        <v>480000</v>
      </c>
      <c r="I298" s="18" t="b">
        <v>0</v>
      </c>
      <c r="J298" s="14" t="s">
        <v>256</v>
      </c>
      <c r="K298" s="15">
        <v>6</v>
      </c>
      <c r="L298" s="16">
        <v>2</v>
      </c>
      <c r="M298" s="17">
        <v>2</v>
      </c>
      <c r="N298" s="18">
        <v>20000</v>
      </c>
      <c r="O298" s="15">
        <v>120000</v>
      </c>
      <c r="P298" s="16">
        <v>40000</v>
      </c>
      <c r="Q298" s="17">
        <v>40000</v>
      </c>
      <c r="R298" s="18" t="b">
        <v>1</v>
      </c>
      <c r="S298" s="18" t="b">
        <v>1</v>
      </c>
      <c r="T298" s="18" t="b">
        <v>1</v>
      </c>
      <c r="U298" s="14" t="s">
        <v>248</v>
      </c>
    </row>
    <row r="299" spans="1:21" x14ac:dyDescent="0.3">
      <c r="A299" s="14" t="s">
        <v>158</v>
      </c>
      <c r="B299" s="14" t="s">
        <v>573</v>
      </c>
      <c r="C299" s="22"/>
      <c r="D299" s="15">
        <v>0.25</v>
      </c>
      <c r="E299" s="16">
        <v>0.1</v>
      </c>
      <c r="F299" s="17">
        <v>0.1</v>
      </c>
      <c r="G299" s="18">
        <v>20</v>
      </c>
      <c r="H299" s="18">
        <v>480000</v>
      </c>
      <c r="I299" s="18" t="b">
        <v>0</v>
      </c>
      <c r="J299" s="14" t="s">
        <v>256</v>
      </c>
      <c r="K299" s="15">
        <v>5</v>
      </c>
      <c r="L299" s="16">
        <v>2</v>
      </c>
      <c r="M299" s="17">
        <v>2</v>
      </c>
      <c r="N299" s="18">
        <v>24000</v>
      </c>
      <c r="O299" s="15">
        <v>120000</v>
      </c>
      <c r="P299" s="16">
        <v>48000</v>
      </c>
      <c r="Q299" s="17">
        <v>48000</v>
      </c>
      <c r="R299" s="18" t="b">
        <v>1</v>
      </c>
      <c r="S299" s="18" t="b">
        <v>1</v>
      </c>
      <c r="T299" s="18" t="b">
        <v>1</v>
      </c>
      <c r="U299" s="14" t="s">
        <v>248</v>
      </c>
    </row>
    <row r="300" spans="1:21" x14ac:dyDescent="0.3">
      <c r="A300" s="14" t="s">
        <v>574</v>
      </c>
      <c r="B300" s="14" t="s">
        <v>575</v>
      </c>
      <c r="C300" s="22"/>
      <c r="D300" s="15">
        <v>0.25</v>
      </c>
      <c r="E300" s="16">
        <v>0.1</v>
      </c>
      <c r="F300" s="17">
        <v>0.05</v>
      </c>
      <c r="G300" s="18">
        <v>42</v>
      </c>
      <c r="H300" s="18">
        <v>421392.11</v>
      </c>
      <c r="I300" s="18" t="b">
        <v>0</v>
      </c>
      <c r="J300" s="14" t="s">
        <v>256</v>
      </c>
      <c r="K300" s="15">
        <v>10</v>
      </c>
      <c r="L300" s="16">
        <v>4</v>
      </c>
      <c r="M300" s="17">
        <v>2</v>
      </c>
      <c r="N300" s="18">
        <v>10033.145476190481</v>
      </c>
      <c r="O300" s="15">
        <v>100331.4547619048</v>
      </c>
      <c r="P300" s="16">
        <v>40132.581904761901</v>
      </c>
      <c r="Q300" s="17">
        <v>20066.29095238095</v>
      </c>
      <c r="R300" s="18" t="b">
        <v>1</v>
      </c>
      <c r="S300" s="18" t="b">
        <v>1</v>
      </c>
      <c r="T300" s="18" t="b">
        <v>1</v>
      </c>
      <c r="U300" s="14" t="s">
        <v>248</v>
      </c>
    </row>
    <row r="301" spans="1:21" x14ac:dyDescent="0.3">
      <c r="A301" s="14" t="s">
        <v>574</v>
      </c>
      <c r="B301" s="14" t="s">
        <v>576</v>
      </c>
      <c r="C301" s="22"/>
      <c r="D301" s="15">
        <v>0.25</v>
      </c>
      <c r="E301" s="16">
        <v>0.1</v>
      </c>
      <c r="F301" s="17">
        <v>0.05</v>
      </c>
      <c r="G301" s="18">
        <v>29</v>
      </c>
      <c r="H301" s="18">
        <v>485313.39</v>
      </c>
      <c r="I301" s="18" t="b">
        <v>0</v>
      </c>
      <c r="J301" s="14" t="s">
        <v>256</v>
      </c>
      <c r="K301" s="15">
        <v>7</v>
      </c>
      <c r="L301" s="16">
        <v>2</v>
      </c>
      <c r="M301" s="17">
        <v>1</v>
      </c>
      <c r="N301" s="18">
        <v>16734.944482758619</v>
      </c>
      <c r="O301" s="15">
        <v>117144.6113793103</v>
      </c>
      <c r="P301" s="16">
        <v>33469.888965517239</v>
      </c>
      <c r="Q301" s="17">
        <v>16734.944482758619</v>
      </c>
      <c r="R301" s="18" t="b">
        <v>1</v>
      </c>
      <c r="S301" s="18" t="b">
        <v>1</v>
      </c>
      <c r="T301" s="18" t="b">
        <v>1</v>
      </c>
      <c r="U301" s="14" t="s">
        <v>248</v>
      </c>
    </row>
    <row r="302" spans="1:21" x14ac:dyDescent="0.3">
      <c r="A302" s="14" t="s">
        <v>574</v>
      </c>
      <c r="B302" s="14" t="s">
        <v>577</v>
      </c>
      <c r="C302" s="22"/>
      <c r="D302" s="15">
        <v>0.25</v>
      </c>
      <c r="E302" s="16">
        <v>0.1</v>
      </c>
      <c r="F302" s="17">
        <v>0.05</v>
      </c>
      <c r="G302" s="18">
        <v>57</v>
      </c>
      <c r="H302" s="18">
        <v>948000</v>
      </c>
      <c r="I302" s="18" t="b">
        <v>0</v>
      </c>
      <c r="J302" s="14" t="s">
        <v>256</v>
      </c>
      <c r="K302" s="15">
        <v>14</v>
      </c>
      <c r="L302" s="16">
        <v>5</v>
      </c>
      <c r="M302" s="17">
        <v>2</v>
      </c>
      <c r="N302" s="18">
        <v>16631.57894736842</v>
      </c>
      <c r="O302" s="15">
        <v>232842.10526315789</v>
      </c>
      <c r="P302" s="16">
        <v>83157.894736842107</v>
      </c>
      <c r="Q302" s="17">
        <v>33263.15789473684</v>
      </c>
      <c r="R302" s="18" t="b">
        <v>1</v>
      </c>
      <c r="S302" s="18" t="b">
        <v>1</v>
      </c>
      <c r="T302" s="18" t="b">
        <v>1</v>
      </c>
      <c r="U302" s="14" t="s">
        <v>257</v>
      </c>
    </row>
    <row r="303" spans="1:21" x14ac:dyDescent="0.3">
      <c r="A303" s="14" t="s">
        <v>574</v>
      </c>
      <c r="B303" s="14" t="s">
        <v>578</v>
      </c>
      <c r="C303" s="22"/>
      <c r="D303" s="15">
        <v>0.25</v>
      </c>
      <c r="E303" s="16">
        <v>0.1</v>
      </c>
      <c r="F303" s="17">
        <v>0.05</v>
      </c>
      <c r="G303" s="18">
        <v>3</v>
      </c>
      <c r="H303" s="18">
        <v>960784.25</v>
      </c>
      <c r="I303" s="18" t="b">
        <v>0</v>
      </c>
      <c r="J303" s="14" t="s">
        <v>256</v>
      </c>
      <c r="K303" s="15">
        <v>0</v>
      </c>
      <c r="L303" s="16">
        <v>0</v>
      </c>
      <c r="M303" s="17">
        <v>0</v>
      </c>
      <c r="N303" s="18">
        <v>320261.41666666669</v>
      </c>
      <c r="O303" s="15">
        <v>0</v>
      </c>
      <c r="P303" s="16">
        <v>0</v>
      </c>
      <c r="Q303" s="17">
        <v>0</v>
      </c>
      <c r="R303" s="18" t="b">
        <v>1</v>
      </c>
      <c r="S303" s="18" t="b">
        <v>1</v>
      </c>
      <c r="T303" s="18" t="b">
        <v>1</v>
      </c>
      <c r="U303" s="14" t="s">
        <v>248</v>
      </c>
    </row>
    <row r="304" spans="1:21" x14ac:dyDescent="0.3">
      <c r="A304" s="14" t="s">
        <v>574</v>
      </c>
      <c r="B304" s="14" t="s">
        <v>579</v>
      </c>
      <c r="C304" s="22"/>
      <c r="D304" s="15">
        <v>0.25</v>
      </c>
      <c r="E304" s="16">
        <v>0.1</v>
      </c>
      <c r="F304" s="17">
        <v>0.05</v>
      </c>
      <c r="G304" s="18">
        <v>40</v>
      </c>
      <c r="H304" s="18">
        <v>2401960.5</v>
      </c>
      <c r="I304" s="18" t="b">
        <v>0</v>
      </c>
      <c r="J304" s="14" t="s">
        <v>256</v>
      </c>
      <c r="K304" s="15">
        <v>10</v>
      </c>
      <c r="L304" s="16">
        <v>4</v>
      </c>
      <c r="M304" s="17">
        <v>2</v>
      </c>
      <c r="N304" s="18">
        <v>60049.012499999997</v>
      </c>
      <c r="O304" s="15">
        <v>600490.125</v>
      </c>
      <c r="P304" s="16">
        <v>240196.05</v>
      </c>
      <c r="Q304" s="17">
        <v>120098.02499999999</v>
      </c>
      <c r="R304" s="18" t="b">
        <v>1</v>
      </c>
      <c r="S304" s="18" t="b">
        <v>1</v>
      </c>
      <c r="T304" s="18" t="b">
        <v>1</v>
      </c>
      <c r="U304" s="14" t="s">
        <v>245</v>
      </c>
    </row>
    <row r="305" spans="1:21" x14ac:dyDescent="0.3">
      <c r="A305" s="14" t="s">
        <v>574</v>
      </c>
      <c r="B305" s="14" t="s">
        <v>580</v>
      </c>
      <c r="C305" s="22"/>
      <c r="D305" s="15">
        <v>0.25</v>
      </c>
      <c r="E305" s="16">
        <v>0.1</v>
      </c>
      <c r="F305" s="17">
        <v>0.05</v>
      </c>
      <c r="G305" s="18">
        <v>57</v>
      </c>
      <c r="H305" s="18">
        <v>3910000</v>
      </c>
      <c r="I305" s="18" t="b">
        <v>0</v>
      </c>
      <c r="J305" s="14" t="s">
        <v>256</v>
      </c>
      <c r="K305" s="15">
        <v>14</v>
      </c>
      <c r="L305" s="16">
        <v>5</v>
      </c>
      <c r="M305" s="17">
        <v>2</v>
      </c>
      <c r="N305" s="18">
        <v>68596.491228070168</v>
      </c>
      <c r="O305" s="15">
        <v>960350.87719298236</v>
      </c>
      <c r="P305" s="16">
        <v>342982.45614035078</v>
      </c>
      <c r="Q305" s="17">
        <v>137192.98245614031</v>
      </c>
      <c r="R305" s="18" t="b">
        <v>1</v>
      </c>
      <c r="S305" s="18" t="b">
        <v>1</v>
      </c>
      <c r="T305" s="18" t="b">
        <v>1</v>
      </c>
      <c r="U305" s="14" t="s">
        <v>248</v>
      </c>
    </row>
    <row r="306" spans="1:21" x14ac:dyDescent="0.3">
      <c r="A306" s="14" t="s">
        <v>278</v>
      </c>
      <c r="B306" s="14" t="s">
        <v>581</v>
      </c>
      <c r="C306" s="22"/>
      <c r="D306" s="15">
        <v>0.25</v>
      </c>
      <c r="E306" s="16">
        <v>0.1</v>
      </c>
      <c r="F306" s="17">
        <v>0.05</v>
      </c>
      <c r="G306" s="18">
        <v>14</v>
      </c>
      <c r="H306" s="18">
        <v>420000</v>
      </c>
      <c r="I306" s="18" t="b">
        <v>0</v>
      </c>
      <c r="J306" s="14" t="s">
        <v>256</v>
      </c>
      <c r="K306" s="15">
        <v>3</v>
      </c>
      <c r="L306" s="16">
        <v>1</v>
      </c>
      <c r="M306" s="17">
        <v>0</v>
      </c>
      <c r="N306" s="18">
        <v>30000</v>
      </c>
      <c r="O306" s="15">
        <v>90000</v>
      </c>
      <c r="P306" s="16">
        <v>30000</v>
      </c>
      <c r="Q306" s="17">
        <v>0</v>
      </c>
      <c r="R306" s="18" t="b">
        <v>1</v>
      </c>
      <c r="S306" s="18" t="b">
        <v>1</v>
      </c>
      <c r="T306" s="18" t="b">
        <v>1</v>
      </c>
      <c r="U306" s="14" t="s">
        <v>245</v>
      </c>
    </row>
    <row r="307" spans="1:21" x14ac:dyDescent="0.3">
      <c r="A307" s="14" t="s">
        <v>278</v>
      </c>
      <c r="B307" s="14" t="s">
        <v>582</v>
      </c>
      <c r="C307" s="22"/>
      <c r="D307" s="15">
        <v>0.25</v>
      </c>
      <c r="E307" s="16">
        <v>0.1</v>
      </c>
      <c r="F307" s="17">
        <v>0.05</v>
      </c>
      <c r="G307" s="18">
        <v>20</v>
      </c>
      <c r="H307" s="18">
        <v>800000</v>
      </c>
      <c r="I307" s="18" t="b">
        <v>0</v>
      </c>
      <c r="J307" s="14" t="s">
        <v>256</v>
      </c>
      <c r="K307" s="15">
        <v>5</v>
      </c>
      <c r="L307" s="16">
        <v>2</v>
      </c>
      <c r="M307" s="17">
        <v>1</v>
      </c>
      <c r="N307" s="18">
        <v>40000</v>
      </c>
      <c r="O307" s="15">
        <v>200000</v>
      </c>
      <c r="P307" s="16">
        <v>80000</v>
      </c>
      <c r="Q307" s="17">
        <v>40000</v>
      </c>
      <c r="R307" s="18" t="b">
        <v>1</v>
      </c>
      <c r="S307" s="18" t="b">
        <v>1</v>
      </c>
      <c r="T307" s="18" t="b">
        <v>1</v>
      </c>
      <c r="U307" s="14" t="s">
        <v>257</v>
      </c>
    </row>
    <row r="308" spans="1:21" x14ac:dyDescent="0.3">
      <c r="A308" s="14" t="s">
        <v>278</v>
      </c>
      <c r="B308" s="14" t="s">
        <v>583</v>
      </c>
      <c r="C308" s="22"/>
      <c r="D308" s="15">
        <v>0.25</v>
      </c>
      <c r="E308" s="16">
        <v>0.1</v>
      </c>
      <c r="F308" s="17">
        <v>0.05</v>
      </c>
      <c r="G308" s="18">
        <v>10</v>
      </c>
      <c r="H308" s="18">
        <v>1200000</v>
      </c>
      <c r="I308" s="18" t="b">
        <v>0</v>
      </c>
      <c r="J308" s="14" t="s">
        <v>256</v>
      </c>
      <c r="K308" s="15">
        <v>2</v>
      </c>
      <c r="L308" s="16">
        <v>1</v>
      </c>
      <c r="M308" s="17">
        <v>0</v>
      </c>
      <c r="N308" s="18">
        <v>120000</v>
      </c>
      <c r="O308" s="15">
        <v>240000</v>
      </c>
      <c r="P308" s="16">
        <v>120000</v>
      </c>
      <c r="Q308" s="17">
        <v>0</v>
      </c>
      <c r="R308" s="18" t="b">
        <v>1</v>
      </c>
      <c r="S308" s="18" t="b">
        <v>1</v>
      </c>
      <c r="T308" s="18" t="b">
        <v>1</v>
      </c>
      <c r="U308" s="14" t="s">
        <v>245</v>
      </c>
    </row>
    <row r="309" spans="1:21" x14ac:dyDescent="0.3">
      <c r="A309" s="14" t="s">
        <v>584</v>
      </c>
      <c r="B309" s="14" t="s">
        <v>585</v>
      </c>
      <c r="C309" s="22"/>
      <c r="D309" s="15">
        <v>0.25</v>
      </c>
      <c r="E309" s="16">
        <v>0.1</v>
      </c>
      <c r="F309" s="17">
        <v>0.05</v>
      </c>
      <c r="G309" s="18">
        <v>65</v>
      </c>
      <c r="H309" s="18">
        <v>600000</v>
      </c>
      <c r="I309" s="18" t="b">
        <v>0</v>
      </c>
      <c r="J309" s="14" t="s">
        <v>256</v>
      </c>
      <c r="K309" s="15">
        <v>16</v>
      </c>
      <c r="L309" s="16">
        <v>6</v>
      </c>
      <c r="M309" s="17">
        <v>3</v>
      </c>
      <c r="N309" s="18">
        <v>9230.7692307692305</v>
      </c>
      <c r="O309" s="15">
        <v>147692.30769230769</v>
      </c>
      <c r="P309" s="16">
        <v>55384.615384615383</v>
      </c>
      <c r="Q309" s="17">
        <v>27692.307692307691</v>
      </c>
      <c r="R309" s="18" t="b">
        <v>1</v>
      </c>
      <c r="S309" s="18" t="b">
        <v>1</v>
      </c>
      <c r="T309" s="18" t="b">
        <v>1</v>
      </c>
      <c r="U309" s="14" t="s">
        <v>253</v>
      </c>
    </row>
    <row r="310" spans="1:21" x14ac:dyDescent="0.3">
      <c r="A310" s="14" t="s">
        <v>584</v>
      </c>
      <c r="B310" s="14" t="s">
        <v>586</v>
      </c>
      <c r="C310" s="22"/>
      <c r="D310" s="15">
        <v>0.25</v>
      </c>
      <c r="E310" s="16">
        <v>0.1</v>
      </c>
      <c r="F310" s="17">
        <v>0.05</v>
      </c>
      <c r="G310" s="18">
        <v>48</v>
      </c>
      <c r="H310" s="18">
        <v>868254.06</v>
      </c>
      <c r="I310" s="18" t="b">
        <v>0</v>
      </c>
      <c r="J310" s="14" t="s">
        <v>256</v>
      </c>
      <c r="K310" s="15">
        <v>12</v>
      </c>
      <c r="L310" s="16">
        <v>4</v>
      </c>
      <c r="M310" s="17">
        <v>2</v>
      </c>
      <c r="N310" s="18">
        <v>18088.626250000001</v>
      </c>
      <c r="O310" s="15">
        <v>217063.51500000001</v>
      </c>
      <c r="P310" s="16">
        <v>72354.505000000005</v>
      </c>
      <c r="Q310" s="17">
        <v>36177.252500000002</v>
      </c>
      <c r="R310" s="18" t="b">
        <v>1</v>
      </c>
      <c r="S310" s="18" t="b">
        <v>1</v>
      </c>
      <c r="T310" s="18" t="b">
        <v>1</v>
      </c>
      <c r="U310" s="14" t="s">
        <v>245</v>
      </c>
    </row>
    <row r="311" spans="1:21" x14ac:dyDescent="0.3">
      <c r="A311" s="14" t="s">
        <v>584</v>
      </c>
      <c r="B311" s="14" t="s">
        <v>587</v>
      </c>
      <c r="C311" s="22"/>
      <c r="D311" s="15">
        <v>0.25</v>
      </c>
      <c r="E311" s="16">
        <v>0.1</v>
      </c>
      <c r="F311" s="17">
        <v>0.05</v>
      </c>
      <c r="G311" s="18">
        <v>38</v>
      </c>
      <c r="H311" s="18">
        <v>1070000</v>
      </c>
      <c r="I311" s="18" t="b">
        <v>0</v>
      </c>
      <c r="J311" s="14" t="s">
        <v>256</v>
      </c>
      <c r="K311" s="15">
        <v>9</v>
      </c>
      <c r="L311" s="16">
        <v>3</v>
      </c>
      <c r="M311" s="17">
        <v>1</v>
      </c>
      <c r="N311" s="18">
        <v>28157.89473684211</v>
      </c>
      <c r="O311" s="15">
        <v>253421.05263157899</v>
      </c>
      <c r="P311" s="16">
        <v>84473.68421052632</v>
      </c>
      <c r="Q311" s="17">
        <v>28157.89473684211</v>
      </c>
      <c r="R311" s="18" t="b">
        <v>1</v>
      </c>
      <c r="S311" s="18" t="b">
        <v>1</v>
      </c>
      <c r="T311" s="18" t="b">
        <v>1</v>
      </c>
      <c r="U311" s="14" t="s">
        <v>248</v>
      </c>
    </row>
    <row r="312" spans="1:21" x14ac:dyDescent="0.3">
      <c r="A312" s="14" t="s">
        <v>588</v>
      </c>
      <c r="B312" s="14" t="s">
        <v>589</v>
      </c>
      <c r="C312" s="22"/>
      <c r="D312" s="15">
        <v>0.25</v>
      </c>
      <c r="E312" s="16">
        <v>0.1</v>
      </c>
      <c r="F312" s="17">
        <v>0.05</v>
      </c>
      <c r="G312" s="18">
        <v>15</v>
      </c>
      <c r="H312" s="18">
        <v>600000</v>
      </c>
      <c r="I312" s="18" t="b">
        <v>0</v>
      </c>
      <c r="J312" s="14" t="s">
        <v>256</v>
      </c>
      <c r="K312" s="15">
        <v>3</v>
      </c>
      <c r="L312" s="16">
        <v>1</v>
      </c>
      <c r="M312" s="17">
        <v>0</v>
      </c>
      <c r="N312" s="18">
        <v>40000</v>
      </c>
      <c r="O312" s="15">
        <v>120000</v>
      </c>
      <c r="P312" s="16">
        <v>40000</v>
      </c>
      <c r="Q312" s="17">
        <v>0</v>
      </c>
      <c r="R312" s="18" t="b">
        <v>1</v>
      </c>
      <c r="S312" s="18" t="b">
        <v>1</v>
      </c>
      <c r="T312" s="18" t="b">
        <v>1</v>
      </c>
      <c r="U312" s="14" t="s">
        <v>245</v>
      </c>
    </row>
    <row r="313" spans="1:21" x14ac:dyDescent="0.3">
      <c r="A313" s="14" t="s">
        <v>588</v>
      </c>
      <c r="B313" s="14" t="s">
        <v>590</v>
      </c>
      <c r="C313" s="22"/>
      <c r="D313" s="15">
        <v>0.25</v>
      </c>
      <c r="E313" s="16">
        <v>0.1</v>
      </c>
      <c r="F313" s="17">
        <v>0.05</v>
      </c>
      <c r="G313" s="18">
        <v>119</v>
      </c>
      <c r="H313" s="18">
        <v>630000</v>
      </c>
      <c r="I313" s="18" t="b">
        <v>0</v>
      </c>
      <c r="J313" s="14" t="s">
        <v>256</v>
      </c>
      <c r="K313" s="15">
        <v>29</v>
      </c>
      <c r="L313" s="16">
        <v>11</v>
      </c>
      <c r="M313" s="17">
        <v>5</v>
      </c>
      <c r="N313" s="18">
        <v>5294.1176470588234</v>
      </c>
      <c r="O313" s="15">
        <v>153529.4117647059</v>
      </c>
      <c r="P313" s="16">
        <v>58235.294117647063</v>
      </c>
      <c r="Q313" s="17">
        <v>26470.588235294119</v>
      </c>
      <c r="R313" s="18" t="b">
        <v>1</v>
      </c>
      <c r="S313" s="18" t="b">
        <v>1</v>
      </c>
      <c r="T313" s="18" t="b">
        <v>1</v>
      </c>
      <c r="U313" s="14" t="s">
        <v>253</v>
      </c>
    </row>
    <row r="314" spans="1:21" x14ac:dyDescent="0.3">
      <c r="A314" s="14" t="s">
        <v>588</v>
      </c>
      <c r="B314" s="14" t="s">
        <v>591</v>
      </c>
      <c r="C314" s="22"/>
      <c r="D314" s="15">
        <v>0.25</v>
      </c>
      <c r="E314" s="16">
        <v>0.1</v>
      </c>
      <c r="F314" s="17">
        <v>0.06</v>
      </c>
      <c r="G314" s="18">
        <v>83</v>
      </c>
      <c r="H314" s="18">
        <v>839000</v>
      </c>
      <c r="I314" s="18" t="b">
        <v>0</v>
      </c>
      <c r="J314" s="14" t="s">
        <v>256</v>
      </c>
      <c r="K314" s="15">
        <v>20</v>
      </c>
      <c r="L314" s="16">
        <v>8</v>
      </c>
      <c r="M314" s="17">
        <v>4</v>
      </c>
      <c r="N314" s="18">
        <v>10108.433734939759</v>
      </c>
      <c r="O314" s="15">
        <v>202168.67469879519</v>
      </c>
      <c r="P314" s="16">
        <v>80867.469879518074</v>
      </c>
      <c r="Q314" s="17">
        <v>40433.734939759037</v>
      </c>
      <c r="R314" s="18" t="b">
        <v>1</v>
      </c>
      <c r="S314" s="18" t="b">
        <v>1</v>
      </c>
      <c r="T314" s="18" t="b">
        <v>1</v>
      </c>
      <c r="U314" s="14" t="s">
        <v>248</v>
      </c>
    </row>
    <row r="315" spans="1:21" x14ac:dyDescent="0.3">
      <c r="A315" s="14" t="s">
        <v>588</v>
      </c>
      <c r="B315" s="19" t="s">
        <v>592</v>
      </c>
      <c r="C315" s="22" t="s">
        <v>254</v>
      </c>
      <c r="D315" s="15">
        <v>0.25</v>
      </c>
      <c r="E315" s="16">
        <v>0.86199999999999999</v>
      </c>
      <c r="F315" s="17">
        <v>7.0000000000000007E-2</v>
      </c>
      <c r="G315" s="18">
        <v>58</v>
      </c>
      <c r="H315" s="18">
        <v>861000</v>
      </c>
      <c r="I315" s="18" t="b">
        <v>0</v>
      </c>
      <c r="J315" s="14" t="s">
        <v>256</v>
      </c>
      <c r="K315" s="15">
        <v>14</v>
      </c>
      <c r="L315" s="16">
        <v>5</v>
      </c>
      <c r="M315" s="17">
        <v>4</v>
      </c>
      <c r="N315" s="18">
        <v>14844.8275862069</v>
      </c>
      <c r="O315" s="15">
        <v>207827.58620689661</v>
      </c>
      <c r="P315" s="16">
        <v>74224.137931034478</v>
      </c>
      <c r="Q315" s="17">
        <v>59379.310344827587</v>
      </c>
      <c r="R315" s="18" t="b">
        <v>1</v>
      </c>
      <c r="S315" s="18" t="b">
        <v>0</v>
      </c>
      <c r="T315" s="18" t="b">
        <v>1</v>
      </c>
      <c r="U315" s="14" t="s">
        <v>248</v>
      </c>
    </row>
    <row r="316" spans="1:21" x14ac:dyDescent="0.3">
      <c r="A316" s="14" t="s">
        <v>588</v>
      </c>
      <c r="B316" s="14" t="s">
        <v>593</v>
      </c>
      <c r="C316" s="22"/>
      <c r="D316" s="15">
        <v>0.25</v>
      </c>
      <c r="E316" s="16">
        <v>0.1</v>
      </c>
      <c r="F316" s="17">
        <v>0.05</v>
      </c>
      <c r="G316" s="18">
        <v>10</v>
      </c>
      <c r="H316" s="18">
        <v>1748733.4</v>
      </c>
      <c r="I316" s="18" t="b">
        <v>0</v>
      </c>
      <c r="J316" s="14" t="s">
        <v>256</v>
      </c>
      <c r="K316" s="15">
        <v>2</v>
      </c>
      <c r="L316" s="16">
        <v>1</v>
      </c>
      <c r="M316" s="17">
        <v>0</v>
      </c>
      <c r="N316" s="18">
        <v>174873.34</v>
      </c>
      <c r="O316" s="15">
        <v>349746.68</v>
      </c>
      <c r="P316" s="16">
        <v>174873.34</v>
      </c>
      <c r="Q316" s="17">
        <v>0</v>
      </c>
      <c r="R316" s="18" t="b">
        <v>1</v>
      </c>
      <c r="S316" s="18" t="b">
        <v>1</v>
      </c>
      <c r="T316" s="18" t="b">
        <v>1</v>
      </c>
      <c r="U316" s="14" t="s">
        <v>245</v>
      </c>
    </row>
    <row r="317" spans="1:21" x14ac:dyDescent="0.3">
      <c r="A317" s="14" t="s">
        <v>176</v>
      </c>
      <c r="B317" s="14" t="s">
        <v>594</v>
      </c>
      <c r="C317" s="22"/>
      <c r="D317" s="15">
        <v>0.25</v>
      </c>
      <c r="E317" s="16">
        <v>0.25</v>
      </c>
      <c r="F317" s="17">
        <v>0.05</v>
      </c>
      <c r="G317" s="18">
        <v>30</v>
      </c>
      <c r="H317" s="18">
        <v>300000</v>
      </c>
      <c r="I317" s="18" t="b">
        <v>0</v>
      </c>
      <c r="J317" s="14" t="s">
        <v>256</v>
      </c>
      <c r="K317" s="15">
        <v>7</v>
      </c>
      <c r="L317" s="16">
        <v>7</v>
      </c>
      <c r="M317" s="17">
        <v>1</v>
      </c>
      <c r="N317" s="18">
        <v>10000</v>
      </c>
      <c r="O317" s="15">
        <v>70000</v>
      </c>
      <c r="P317" s="16">
        <v>70000</v>
      </c>
      <c r="Q317" s="17">
        <v>10000</v>
      </c>
      <c r="R317" s="18" t="b">
        <v>1</v>
      </c>
      <c r="S317" s="18" t="b">
        <v>1</v>
      </c>
      <c r="T317" s="18" t="b">
        <v>1</v>
      </c>
      <c r="U317" s="14" t="s">
        <v>253</v>
      </c>
    </row>
    <row r="318" spans="1:21" x14ac:dyDescent="0.3">
      <c r="A318" s="14" t="s">
        <v>176</v>
      </c>
      <c r="B318" s="14" t="s">
        <v>595</v>
      </c>
      <c r="C318" s="22"/>
      <c r="D318" s="15">
        <v>0.25</v>
      </c>
      <c r="E318" s="16">
        <v>0.25</v>
      </c>
      <c r="F318" s="17">
        <v>0.05</v>
      </c>
      <c r="G318" s="18">
        <v>15</v>
      </c>
      <c r="H318" s="18">
        <v>300000</v>
      </c>
      <c r="I318" s="18" t="b">
        <v>0</v>
      </c>
      <c r="J318" s="14" t="s">
        <v>256</v>
      </c>
      <c r="K318" s="15">
        <v>3</v>
      </c>
      <c r="L318" s="16">
        <v>3</v>
      </c>
      <c r="M318" s="17">
        <v>0</v>
      </c>
      <c r="N318" s="18">
        <v>20000</v>
      </c>
      <c r="O318" s="15">
        <v>60000</v>
      </c>
      <c r="P318" s="16">
        <v>60000</v>
      </c>
      <c r="Q318" s="17">
        <v>0</v>
      </c>
      <c r="R318" s="18" t="b">
        <v>1</v>
      </c>
      <c r="S318" s="18" t="b">
        <v>1</v>
      </c>
      <c r="T318" s="18" t="b">
        <v>1</v>
      </c>
      <c r="U318" s="14" t="s">
        <v>248</v>
      </c>
    </row>
    <row r="319" spans="1:21" x14ac:dyDescent="0.3">
      <c r="A319" s="14" t="s">
        <v>176</v>
      </c>
      <c r="B319" s="14" t="s">
        <v>596</v>
      </c>
      <c r="C319" s="22"/>
      <c r="D319" s="15">
        <v>0.25</v>
      </c>
      <c r="E319" s="16">
        <v>0.25</v>
      </c>
      <c r="F319" s="17">
        <v>0.05</v>
      </c>
      <c r="G319" s="18">
        <v>25</v>
      </c>
      <c r="H319" s="18">
        <v>400000</v>
      </c>
      <c r="I319" s="18" t="b">
        <v>0</v>
      </c>
      <c r="J319" s="14" t="s">
        <v>256</v>
      </c>
      <c r="K319" s="15">
        <v>6</v>
      </c>
      <c r="L319" s="16">
        <v>6</v>
      </c>
      <c r="M319" s="17">
        <v>1</v>
      </c>
      <c r="N319" s="18">
        <v>16000</v>
      </c>
      <c r="O319" s="15">
        <v>96000</v>
      </c>
      <c r="P319" s="16">
        <v>96000</v>
      </c>
      <c r="Q319" s="17">
        <v>16000</v>
      </c>
      <c r="R319" s="18" t="b">
        <v>1</v>
      </c>
      <c r="S319" s="18" t="b">
        <v>1</v>
      </c>
      <c r="T319" s="18" t="b">
        <v>1</v>
      </c>
      <c r="U319" s="14" t="s">
        <v>248</v>
      </c>
    </row>
    <row r="320" spans="1:21" x14ac:dyDescent="0.3">
      <c r="A320" s="14" t="s">
        <v>176</v>
      </c>
      <c r="B320" s="14" t="s">
        <v>597</v>
      </c>
      <c r="C320" s="22"/>
      <c r="D320" s="15">
        <v>0.25</v>
      </c>
      <c r="E320" s="16">
        <v>0.25</v>
      </c>
      <c r="F320" s="17">
        <v>0.05</v>
      </c>
      <c r="G320" s="18">
        <v>10</v>
      </c>
      <c r="H320" s="18">
        <v>500000</v>
      </c>
      <c r="I320" s="18" t="b">
        <v>0</v>
      </c>
      <c r="J320" s="14" t="s">
        <v>256</v>
      </c>
      <c r="K320" s="15">
        <v>2</v>
      </c>
      <c r="L320" s="16">
        <v>2</v>
      </c>
      <c r="M320" s="17">
        <v>0</v>
      </c>
      <c r="N320" s="18">
        <v>50000</v>
      </c>
      <c r="O320" s="15">
        <v>100000</v>
      </c>
      <c r="P320" s="16">
        <v>100000</v>
      </c>
      <c r="Q320" s="17">
        <v>0</v>
      </c>
      <c r="R320" s="18" t="b">
        <v>1</v>
      </c>
      <c r="S320" s="18" t="b">
        <v>1</v>
      </c>
      <c r="T320" s="18" t="b">
        <v>1</v>
      </c>
      <c r="U320" s="14" t="s">
        <v>248</v>
      </c>
    </row>
    <row r="321" spans="1:21" x14ac:dyDescent="0.3">
      <c r="A321" s="14" t="s">
        <v>176</v>
      </c>
      <c r="B321" s="14" t="s">
        <v>598</v>
      </c>
      <c r="C321" s="22"/>
      <c r="D321" s="15">
        <v>0.25</v>
      </c>
      <c r="E321" s="16">
        <v>0.25</v>
      </c>
      <c r="F321" s="17">
        <v>0.05</v>
      </c>
      <c r="G321" s="18">
        <v>36</v>
      </c>
      <c r="H321" s="18">
        <v>1080000</v>
      </c>
      <c r="I321" s="18" t="b">
        <v>0</v>
      </c>
      <c r="J321" s="14" t="s">
        <v>256</v>
      </c>
      <c r="K321" s="15">
        <v>9</v>
      </c>
      <c r="L321" s="16">
        <v>9</v>
      </c>
      <c r="M321" s="17">
        <v>1</v>
      </c>
      <c r="N321" s="18">
        <v>30000</v>
      </c>
      <c r="O321" s="15">
        <v>270000</v>
      </c>
      <c r="P321" s="16">
        <v>270000</v>
      </c>
      <c r="Q321" s="17">
        <v>30000</v>
      </c>
      <c r="R321" s="18" t="b">
        <v>1</v>
      </c>
      <c r="S321" s="18" t="b">
        <v>1</v>
      </c>
      <c r="T321" s="18" t="b">
        <v>1</v>
      </c>
      <c r="U321" s="14" t="s">
        <v>245</v>
      </c>
    </row>
    <row r="322" spans="1:21" x14ac:dyDescent="0.3">
      <c r="A322" s="14" t="s">
        <v>176</v>
      </c>
      <c r="B322" s="14" t="s">
        <v>599</v>
      </c>
      <c r="C322" s="22"/>
      <c r="D322" s="15">
        <v>0.25</v>
      </c>
      <c r="E322" s="16">
        <v>0.25</v>
      </c>
      <c r="F322" s="17">
        <v>0.05</v>
      </c>
      <c r="G322" s="18">
        <v>40</v>
      </c>
      <c r="H322" s="18">
        <v>1197371.44</v>
      </c>
      <c r="I322" s="18" t="b">
        <v>0</v>
      </c>
      <c r="J322" s="14" t="s">
        <v>256</v>
      </c>
      <c r="K322" s="15">
        <v>10</v>
      </c>
      <c r="L322" s="16">
        <v>10</v>
      </c>
      <c r="M322" s="17">
        <v>2</v>
      </c>
      <c r="N322" s="18">
        <v>29934.286</v>
      </c>
      <c r="O322" s="15">
        <v>299342.86</v>
      </c>
      <c r="P322" s="16">
        <v>299342.86</v>
      </c>
      <c r="Q322" s="17">
        <v>59868.572</v>
      </c>
      <c r="R322" s="18" t="b">
        <v>1</v>
      </c>
      <c r="S322" s="18" t="b">
        <v>1</v>
      </c>
      <c r="T322" s="18" t="b">
        <v>1</v>
      </c>
      <c r="U322" s="14" t="s">
        <v>248</v>
      </c>
    </row>
    <row r="323" spans="1:21" x14ac:dyDescent="0.3">
      <c r="A323" s="14" t="s">
        <v>176</v>
      </c>
      <c r="B323" s="14" t="s">
        <v>600</v>
      </c>
      <c r="C323" s="22"/>
      <c r="D323" s="15">
        <v>0.25</v>
      </c>
      <c r="E323" s="16">
        <v>0.25</v>
      </c>
      <c r="F323" s="17">
        <v>0.05</v>
      </c>
      <c r="G323" s="18">
        <v>30</v>
      </c>
      <c r="H323" s="18">
        <v>2400000</v>
      </c>
      <c r="I323" s="18" t="b">
        <v>0</v>
      </c>
      <c r="J323" s="14" t="s">
        <v>256</v>
      </c>
      <c r="K323" s="15">
        <v>7</v>
      </c>
      <c r="L323" s="16">
        <v>7</v>
      </c>
      <c r="M323" s="17">
        <v>1</v>
      </c>
      <c r="N323" s="18">
        <v>80000</v>
      </c>
      <c r="O323" s="15">
        <v>560000</v>
      </c>
      <c r="P323" s="16">
        <v>560000</v>
      </c>
      <c r="Q323" s="17">
        <v>80000</v>
      </c>
      <c r="R323" s="18" t="b">
        <v>1</v>
      </c>
      <c r="S323" s="18" t="b">
        <v>1</v>
      </c>
      <c r="T323" s="18" t="b">
        <v>1</v>
      </c>
      <c r="U323" s="14" t="s">
        <v>257</v>
      </c>
    </row>
    <row r="324" spans="1:21" x14ac:dyDescent="0.3">
      <c r="A324" s="14" t="s">
        <v>176</v>
      </c>
      <c r="B324" s="14" t="s">
        <v>601</v>
      </c>
      <c r="C324" s="22"/>
      <c r="D324" s="15">
        <v>0.25</v>
      </c>
      <c r="E324" s="16">
        <v>0.25</v>
      </c>
      <c r="F324" s="17">
        <v>0.05</v>
      </c>
      <c r="G324" s="18">
        <v>40</v>
      </c>
      <c r="H324" s="18">
        <v>2400000</v>
      </c>
      <c r="I324" s="18" t="b">
        <v>0</v>
      </c>
      <c r="J324" s="14" t="s">
        <v>256</v>
      </c>
      <c r="K324" s="15">
        <v>10</v>
      </c>
      <c r="L324" s="16">
        <v>10</v>
      </c>
      <c r="M324" s="17">
        <v>2</v>
      </c>
      <c r="N324" s="18">
        <v>60000</v>
      </c>
      <c r="O324" s="15">
        <v>600000</v>
      </c>
      <c r="P324" s="16">
        <v>600000</v>
      </c>
      <c r="Q324" s="17">
        <v>120000</v>
      </c>
      <c r="R324" s="18" t="b">
        <v>1</v>
      </c>
      <c r="S324" s="18" t="b">
        <v>1</v>
      </c>
      <c r="T324" s="18" t="b">
        <v>1</v>
      </c>
      <c r="U324" s="14" t="s">
        <v>245</v>
      </c>
    </row>
    <row r="325" spans="1:21" x14ac:dyDescent="0.3">
      <c r="A325" s="14" t="s">
        <v>602</v>
      </c>
      <c r="B325" s="14" t="s">
        <v>603</v>
      </c>
      <c r="C325" s="22"/>
      <c r="D325" s="15">
        <v>0.25</v>
      </c>
      <c r="E325" s="16">
        <v>0.1</v>
      </c>
      <c r="F325" s="17">
        <v>0.05</v>
      </c>
      <c r="G325" s="18">
        <v>23</v>
      </c>
      <c r="H325" s="18">
        <v>138000</v>
      </c>
      <c r="I325" s="18" t="b">
        <v>0</v>
      </c>
      <c r="J325" s="14" t="s">
        <v>256</v>
      </c>
      <c r="K325" s="15">
        <v>5</v>
      </c>
      <c r="L325" s="16">
        <v>2</v>
      </c>
      <c r="M325" s="17">
        <v>1</v>
      </c>
      <c r="N325" s="18">
        <v>6000</v>
      </c>
      <c r="O325" s="15">
        <v>30000</v>
      </c>
      <c r="P325" s="16">
        <v>12000</v>
      </c>
      <c r="Q325" s="17">
        <v>6000</v>
      </c>
      <c r="R325" s="18" t="b">
        <v>1</v>
      </c>
      <c r="S325" s="18" t="b">
        <v>1</v>
      </c>
      <c r="T325" s="18" t="b">
        <v>1</v>
      </c>
      <c r="U325" s="14" t="s">
        <v>253</v>
      </c>
    </row>
    <row r="326" spans="1:21" x14ac:dyDescent="0.3">
      <c r="A326" s="14" t="s">
        <v>602</v>
      </c>
      <c r="B326" s="14" t="s">
        <v>604</v>
      </c>
      <c r="C326" s="22"/>
      <c r="D326" s="15">
        <v>0.25</v>
      </c>
      <c r="E326" s="16">
        <v>0.1</v>
      </c>
      <c r="F326" s="17">
        <v>0.05</v>
      </c>
      <c r="G326" s="18">
        <v>206</v>
      </c>
      <c r="H326" s="18">
        <v>280000</v>
      </c>
      <c r="I326" s="18" t="b">
        <v>0</v>
      </c>
      <c r="J326" s="14" t="s">
        <v>256</v>
      </c>
      <c r="K326" s="15">
        <v>51</v>
      </c>
      <c r="L326" s="16">
        <v>20</v>
      </c>
      <c r="M326" s="17">
        <v>10</v>
      </c>
      <c r="N326" s="18">
        <v>1359.2233009708741</v>
      </c>
      <c r="O326" s="15">
        <v>69320.388349514571</v>
      </c>
      <c r="P326" s="16">
        <v>27184.466019417479</v>
      </c>
      <c r="Q326" s="17">
        <v>13592.23300970874</v>
      </c>
      <c r="R326" s="18" t="b">
        <v>1</v>
      </c>
      <c r="S326" s="18" t="b">
        <v>1</v>
      </c>
      <c r="T326" s="18" t="b">
        <v>1</v>
      </c>
      <c r="U326" s="14" t="s">
        <v>383</v>
      </c>
    </row>
    <row r="327" spans="1:21" x14ac:dyDescent="0.3">
      <c r="A327" s="14" t="s">
        <v>602</v>
      </c>
      <c r="B327" s="14" t="s">
        <v>605</v>
      </c>
      <c r="C327" s="22"/>
      <c r="D327" s="15">
        <v>0.25</v>
      </c>
      <c r="E327" s="16">
        <v>0.1</v>
      </c>
      <c r="F327" s="17">
        <v>0.05</v>
      </c>
      <c r="G327" s="18">
        <v>206</v>
      </c>
      <c r="H327" s="18">
        <v>500000</v>
      </c>
      <c r="I327" s="18" t="b">
        <v>0</v>
      </c>
      <c r="J327" s="14" t="s">
        <v>256</v>
      </c>
      <c r="K327" s="15">
        <v>51</v>
      </c>
      <c r="L327" s="16">
        <v>20</v>
      </c>
      <c r="M327" s="17">
        <v>10</v>
      </c>
      <c r="N327" s="18">
        <v>2427.184466019417</v>
      </c>
      <c r="O327" s="15">
        <v>123786.40776699031</v>
      </c>
      <c r="P327" s="16">
        <v>48543.689320388352</v>
      </c>
      <c r="Q327" s="17">
        <v>24271.84466019418</v>
      </c>
      <c r="R327" s="18" t="b">
        <v>1</v>
      </c>
      <c r="S327" s="18" t="b">
        <v>1</v>
      </c>
      <c r="T327" s="18" t="b">
        <v>1</v>
      </c>
      <c r="U327" s="14" t="s">
        <v>257</v>
      </c>
    </row>
    <row r="328" spans="1:21" x14ac:dyDescent="0.3">
      <c r="A328" s="14" t="s">
        <v>602</v>
      </c>
      <c r="B328" s="14" t="s">
        <v>606</v>
      </c>
      <c r="C328" s="22"/>
      <c r="D328" s="15">
        <v>0.25</v>
      </c>
      <c r="E328" s="16">
        <v>0.1</v>
      </c>
      <c r="F328" s="17">
        <v>0.05</v>
      </c>
      <c r="G328" s="18">
        <v>59</v>
      </c>
      <c r="H328" s="18">
        <v>500000</v>
      </c>
      <c r="I328" s="18" t="b">
        <v>0</v>
      </c>
      <c r="J328" s="14" t="s">
        <v>256</v>
      </c>
      <c r="K328" s="15">
        <v>14</v>
      </c>
      <c r="L328" s="16">
        <v>5</v>
      </c>
      <c r="M328" s="17">
        <v>2</v>
      </c>
      <c r="N328" s="18">
        <v>8474.5762711864409</v>
      </c>
      <c r="O328" s="15">
        <v>118644.06779661019</v>
      </c>
      <c r="P328" s="16">
        <v>42372.881355932201</v>
      </c>
      <c r="Q328" s="17">
        <v>16949.152542372882</v>
      </c>
      <c r="R328" s="18" t="b">
        <v>1</v>
      </c>
      <c r="S328" s="18" t="b">
        <v>1</v>
      </c>
      <c r="T328" s="18" t="b">
        <v>1</v>
      </c>
      <c r="U328" s="14" t="s">
        <v>248</v>
      </c>
    </row>
    <row r="329" spans="1:21" x14ac:dyDescent="0.3">
      <c r="A329" s="14" t="s">
        <v>602</v>
      </c>
      <c r="B329" s="14" t="s">
        <v>607</v>
      </c>
      <c r="C329" s="22"/>
      <c r="D329" s="15">
        <v>0.25</v>
      </c>
      <c r="E329" s="16">
        <v>0.1</v>
      </c>
      <c r="F329" s="17">
        <v>0.05</v>
      </c>
      <c r="G329" s="18">
        <v>10</v>
      </c>
      <c r="H329" s="18">
        <v>900000</v>
      </c>
      <c r="I329" s="18" t="b">
        <v>0</v>
      </c>
      <c r="J329" s="14" t="s">
        <v>256</v>
      </c>
      <c r="K329" s="15">
        <v>2</v>
      </c>
      <c r="L329" s="16">
        <v>1</v>
      </c>
      <c r="M329" s="17">
        <v>0</v>
      </c>
      <c r="N329" s="18">
        <v>90000</v>
      </c>
      <c r="O329" s="15">
        <v>180000</v>
      </c>
      <c r="P329" s="16">
        <v>90000</v>
      </c>
      <c r="Q329" s="17">
        <v>0</v>
      </c>
      <c r="R329" s="18" t="b">
        <v>1</v>
      </c>
      <c r="S329" s="18" t="b">
        <v>1</v>
      </c>
      <c r="T329" s="18" t="b">
        <v>1</v>
      </c>
      <c r="U329" s="14" t="s">
        <v>245</v>
      </c>
    </row>
    <row r="330" spans="1:21" x14ac:dyDescent="0.3">
      <c r="A330" s="14" t="s">
        <v>602</v>
      </c>
      <c r="B330" s="14" t="s">
        <v>608</v>
      </c>
      <c r="C330" s="22"/>
      <c r="D330" s="15">
        <v>0.25</v>
      </c>
      <c r="E330" s="16">
        <v>0.1</v>
      </c>
      <c r="F330" s="17">
        <v>0.05</v>
      </c>
      <c r="G330" s="18">
        <v>9</v>
      </c>
      <c r="H330" s="18">
        <v>900000</v>
      </c>
      <c r="I330" s="18" t="b">
        <v>0</v>
      </c>
      <c r="J330" s="14" t="s">
        <v>256</v>
      </c>
      <c r="K330" s="15">
        <v>2</v>
      </c>
      <c r="L330" s="16">
        <v>0</v>
      </c>
      <c r="M330" s="17">
        <v>0</v>
      </c>
      <c r="N330" s="18">
        <v>100000</v>
      </c>
      <c r="O330" s="15">
        <v>200000</v>
      </c>
      <c r="P330" s="16">
        <v>0</v>
      </c>
      <c r="Q330" s="17">
        <v>0</v>
      </c>
      <c r="R330" s="18" t="b">
        <v>1</v>
      </c>
      <c r="S330" s="18" t="b">
        <v>1</v>
      </c>
      <c r="T330" s="18" t="b">
        <v>1</v>
      </c>
      <c r="U330" s="14" t="s">
        <v>245</v>
      </c>
    </row>
    <row r="331" spans="1:21" x14ac:dyDescent="0.3">
      <c r="A331" s="14" t="s">
        <v>602</v>
      </c>
      <c r="B331" s="14" t="s">
        <v>609</v>
      </c>
      <c r="C331" s="22"/>
      <c r="D331" s="15">
        <v>0.25</v>
      </c>
      <c r="E331" s="16">
        <v>0.1</v>
      </c>
      <c r="F331" s="17">
        <v>0.05</v>
      </c>
      <c r="G331" s="18">
        <v>206</v>
      </c>
      <c r="H331" s="18">
        <v>1990000</v>
      </c>
      <c r="I331" s="18" t="b">
        <v>0</v>
      </c>
      <c r="J331" s="14" t="s">
        <v>256</v>
      </c>
      <c r="K331" s="15">
        <v>51</v>
      </c>
      <c r="L331" s="16">
        <v>20</v>
      </c>
      <c r="M331" s="17">
        <v>10</v>
      </c>
      <c r="N331" s="18">
        <v>9660.1941747572819</v>
      </c>
      <c r="O331" s="15">
        <v>492669.90291262139</v>
      </c>
      <c r="P331" s="16">
        <v>193203.88349514571</v>
      </c>
      <c r="Q331" s="17">
        <v>96601.941747572826</v>
      </c>
      <c r="R331" s="18" t="b">
        <v>1</v>
      </c>
      <c r="S331" s="18" t="b">
        <v>1</v>
      </c>
      <c r="T331" s="18" t="b">
        <v>1</v>
      </c>
      <c r="U331" s="14" t="s">
        <v>248</v>
      </c>
    </row>
    <row r="332" spans="1:21" x14ac:dyDescent="0.3">
      <c r="A332" s="14" t="s">
        <v>610</v>
      </c>
      <c r="B332" s="14" t="s">
        <v>611</v>
      </c>
      <c r="C332" s="22"/>
      <c r="D332" s="15">
        <v>0.25</v>
      </c>
      <c r="E332" s="16">
        <v>0.1</v>
      </c>
      <c r="F332" s="17">
        <v>0.05</v>
      </c>
      <c r="G332" s="18">
        <v>10</v>
      </c>
      <c r="H332" s="18">
        <v>100000</v>
      </c>
      <c r="I332" s="18" t="b">
        <v>0</v>
      </c>
      <c r="J332" s="14" t="s">
        <v>256</v>
      </c>
      <c r="K332" s="15">
        <v>2</v>
      </c>
      <c r="L332" s="16">
        <v>1</v>
      </c>
      <c r="M332" s="17">
        <v>0</v>
      </c>
      <c r="N332" s="18">
        <v>10000</v>
      </c>
      <c r="O332" s="15">
        <v>20000</v>
      </c>
      <c r="P332" s="16">
        <v>10000</v>
      </c>
      <c r="Q332" s="17">
        <v>0</v>
      </c>
      <c r="R332" s="18" t="b">
        <v>1</v>
      </c>
      <c r="S332" s="18" t="b">
        <v>1</v>
      </c>
      <c r="T332" s="18" t="b">
        <v>1</v>
      </c>
      <c r="U332" s="14" t="s">
        <v>245</v>
      </c>
    </row>
    <row r="333" spans="1:21" x14ac:dyDescent="0.3">
      <c r="A333" s="14" t="s">
        <v>610</v>
      </c>
      <c r="B333" s="14" t="s">
        <v>612</v>
      </c>
      <c r="C333" s="22"/>
      <c r="D333" s="15">
        <v>0.25</v>
      </c>
      <c r="E333" s="16"/>
      <c r="F333" s="17"/>
      <c r="G333" s="18">
        <v>4</v>
      </c>
      <c r="H333" s="18">
        <v>144000</v>
      </c>
      <c r="I333" s="18" t="b">
        <v>0</v>
      </c>
      <c r="J333" s="14" t="s">
        <v>256</v>
      </c>
      <c r="K333" s="15">
        <v>1</v>
      </c>
      <c r="L333" s="16"/>
      <c r="M333" s="17"/>
      <c r="N333" s="18">
        <v>36000</v>
      </c>
      <c r="O333" s="15">
        <v>36000</v>
      </c>
      <c r="P333" s="16"/>
      <c r="Q333" s="17"/>
      <c r="R333" s="18" t="b">
        <v>1</v>
      </c>
      <c r="S333" s="18" t="b">
        <v>0</v>
      </c>
      <c r="T333" s="18" t="b">
        <v>0</v>
      </c>
      <c r="U333" s="14" t="s">
        <v>257</v>
      </c>
    </row>
    <row r="334" spans="1:21" x14ac:dyDescent="0.3">
      <c r="A334" s="14" t="s">
        <v>610</v>
      </c>
      <c r="B334" s="14" t="s">
        <v>613</v>
      </c>
      <c r="C334" s="22"/>
      <c r="D334" s="15">
        <v>0.25</v>
      </c>
      <c r="E334" s="16">
        <v>0.1</v>
      </c>
      <c r="F334" s="17">
        <v>0.05</v>
      </c>
      <c r="G334" s="18">
        <v>22</v>
      </c>
      <c r="H334" s="18">
        <v>514000</v>
      </c>
      <c r="I334" s="18" t="b">
        <v>0</v>
      </c>
      <c r="J334" s="14" t="s">
        <v>256</v>
      </c>
      <c r="K334" s="15">
        <v>5</v>
      </c>
      <c r="L334" s="16">
        <v>2</v>
      </c>
      <c r="M334" s="17">
        <v>1</v>
      </c>
      <c r="N334" s="18">
        <v>23363.63636363636</v>
      </c>
      <c r="O334" s="15">
        <v>116818.18181818179</v>
      </c>
      <c r="P334" s="16">
        <v>46727.272727272728</v>
      </c>
      <c r="Q334" s="17">
        <v>23363.63636363636</v>
      </c>
      <c r="R334" s="18" t="b">
        <v>1</v>
      </c>
      <c r="S334" s="18" t="b">
        <v>1</v>
      </c>
      <c r="T334" s="18" t="b">
        <v>1</v>
      </c>
      <c r="U334" s="14" t="s">
        <v>248</v>
      </c>
    </row>
    <row r="335" spans="1:21" x14ac:dyDescent="0.3">
      <c r="A335" s="14" t="s">
        <v>610</v>
      </c>
      <c r="B335" s="14" t="s">
        <v>614</v>
      </c>
      <c r="C335" s="22"/>
      <c r="D335" s="15">
        <v>0.25</v>
      </c>
      <c r="E335" s="16">
        <v>0.1</v>
      </c>
      <c r="F335" s="17">
        <v>0.05</v>
      </c>
      <c r="G335" s="18">
        <v>21</v>
      </c>
      <c r="H335" s="18">
        <v>542500</v>
      </c>
      <c r="I335" s="18" t="b">
        <v>0</v>
      </c>
      <c r="J335" s="14" t="s">
        <v>256</v>
      </c>
      <c r="K335" s="15">
        <v>5</v>
      </c>
      <c r="L335" s="16">
        <v>2</v>
      </c>
      <c r="M335" s="17">
        <v>1</v>
      </c>
      <c r="N335" s="18">
        <v>25833.333333333328</v>
      </c>
      <c r="O335" s="15">
        <v>129166.6666666667</v>
      </c>
      <c r="P335" s="16">
        <v>51666.666666666657</v>
      </c>
      <c r="Q335" s="17">
        <v>25833.333333333328</v>
      </c>
      <c r="R335" s="18" t="b">
        <v>1</v>
      </c>
      <c r="S335" s="18" t="b">
        <v>1</v>
      </c>
      <c r="T335" s="18" t="b">
        <v>1</v>
      </c>
      <c r="U335" s="14" t="s">
        <v>245</v>
      </c>
    </row>
    <row r="336" spans="1:21" x14ac:dyDescent="0.3">
      <c r="A336" s="14" t="s">
        <v>610</v>
      </c>
      <c r="B336" s="14" t="s">
        <v>615</v>
      </c>
      <c r="C336" s="22"/>
      <c r="D336" s="15">
        <v>0.25</v>
      </c>
      <c r="E336" s="16">
        <v>0.1</v>
      </c>
      <c r="F336" s="17">
        <v>0.05</v>
      </c>
      <c r="G336" s="18">
        <v>35</v>
      </c>
      <c r="H336" s="18">
        <v>814000</v>
      </c>
      <c r="I336" s="18" t="b">
        <v>0</v>
      </c>
      <c r="J336" s="14" t="s">
        <v>256</v>
      </c>
      <c r="K336" s="15">
        <v>8</v>
      </c>
      <c r="L336" s="16">
        <v>3</v>
      </c>
      <c r="M336" s="17">
        <v>1</v>
      </c>
      <c r="N336" s="18">
        <v>23257.142857142859</v>
      </c>
      <c r="O336" s="15">
        <v>186057.1428571429</v>
      </c>
      <c r="P336" s="16">
        <v>69771.42857142858</v>
      </c>
      <c r="Q336" s="17">
        <v>23257.142857142859</v>
      </c>
      <c r="R336" s="18" t="b">
        <v>1</v>
      </c>
      <c r="S336" s="18" t="b">
        <v>1</v>
      </c>
      <c r="T336" s="18" t="b">
        <v>1</v>
      </c>
      <c r="U336" s="14" t="s">
        <v>248</v>
      </c>
    </row>
    <row r="337" spans="1:21" x14ac:dyDescent="0.3">
      <c r="A337" s="14" t="s">
        <v>616</v>
      </c>
      <c r="B337" s="14" t="s">
        <v>617</v>
      </c>
      <c r="C337" s="22"/>
      <c r="D337" s="15">
        <v>0.25</v>
      </c>
      <c r="E337" s="16">
        <v>0.1</v>
      </c>
      <c r="F337" s="17">
        <v>0.05</v>
      </c>
      <c r="G337" s="18">
        <v>50</v>
      </c>
      <c r="H337" s="18">
        <v>1000000</v>
      </c>
      <c r="I337" s="18" t="b">
        <v>0</v>
      </c>
      <c r="J337" s="14" t="s">
        <v>256</v>
      </c>
      <c r="K337" s="15">
        <v>12</v>
      </c>
      <c r="L337" s="16">
        <v>5</v>
      </c>
      <c r="M337" s="17">
        <v>2</v>
      </c>
      <c r="N337" s="18">
        <v>20000</v>
      </c>
      <c r="O337" s="15">
        <v>240000</v>
      </c>
      <c r="P337" s="16">
        <v>100000</v>
      </c>
      <c r="Q337" s="17">
        <v>40000</v>
      </c>
      <c r="R337" s="18" t="b">
        <v>1</v>
      </c>
      <c r="S337" s="18" t="b">
        <v>1</v>
      </c>
      <c r="T337" s="18" t="b">
        <v>1</v>
      </c>
      <c r="U337" s="14" t="s">
        <v>253</v>
      </c>
    </row>
    <row r="338" spans="1:21" x14ac:dyDescent="0.3">
      <c r="A338" s="14" t="s">
        <v>616</v>
      </c>
      <c r="B338" s="14" t="s">
        <v>618</v>
      </c>
      <c r="C338" s="22"/>
      <c r="D338" s="15">
        <v>0.25</v>
      </c>
      <c r="E338" s="16">
        <v>0.1</v>
      </c>
      <c r="F338" s="17">
        <v>0.05</v>
      </c>
      <c r="G338" s="18">
        <v>97</v>
      </c>
      <c r="H338" s="18">
        <v>1036000</v>
      </c>
      <c r="I338" s="18" t="b">
        <v>0</v>
      </c>
      <c r="J338" s="14" t="s">
        <v>256</v>
      </c>
      <c r="K338" s="15">
        <v>24</v>
      </c>
      <c r="L338" s="16">
        <v>9</v>
      </c>
      <c r="M338" s="17">
        <v>4</v>
      </c>
      <c r="N338" s="18">
        <v>10680.41237113402</v>
      </c>
      <c r="O338" s="15">
        <v>256329.89690721649</v>
      </c>
      <c r="P338" s="16">
        <v>96123.71134020618</v>
      </c>
      <c r="Q338" s="17">
        <v>42721.649484536079</v>
      </c>
      <c r="R338" s="18" t="b">
        <v>1</v>
      </c>
      <c r="S338" s="18" t="b">
        <v>1</v>
      </c>
      <c r="T338" s="18" t="b">
        <v>1</v>
      </c>
      <c r="U338" s="14" t="s">
        <v>253</v>
      </c>
    </row>
    <row r="339" spans="1:21" x14ac:dyDescent="0.3">
      <c r="A339" s="14" t="s">
        <v>616</v>
      </c>
      <c r="B339" s="14" t="s">
        <v>619</v>
      </c>
      <c r="C339" s="22"/>
      <c r="D339" s="15">
        <v>0.25</v>
      </c>
      <c r="E339" s="16">
        <v>0.1</v>
      </c>
      <c r="F339" s="17">
        <v>0.05</v>
      </c>
      <c r="G339" s="18">
        <v>30</v>
      </c>
      <c r="H339" s="18">
        <v>1800000</v>
      </c>
      <c r="I339" s="18" t="b">
        <v>0</v>
      </c>
      <c r="J339" s="14" t="s">
        <v>256</v>
      </c>
      <c r="K339" s="15">
        <v>7</v>
      </c>
      <c r="L339" s="16">
        <v>3</v>
      </c>
      <c r="M339" s="17">
        <v>1</v>
      </c>
      <c r="N339" s="18">
        <v>60000</v>
      </c>
      <c r="O339" s="15">
        <v>420000</v>
      </c>
      <c r="P339" s="16">
        <v>180000</v>
      </c>
      <c r="Q339" s="17">
        <v>60000</v>
      </c>
      <c r="R339" s="18" t="b">
        <v>1</v>
      </c>
      <c r="S339" s="18" t="b">
        <v>1</v>
      </c>
      <c r="T339" s="18" t="b">
        <v>1</v>
      </c>
      <c r="U339" s="14" t="s">
        <v>245</v>
      </c>
    </row>
    <row r="340" spans="1:21" x14ac:dyDescent="0.3">
      <c r="A340" s="14" t="s">
        <v>616</v>
      </c>
      <c r="B340" s="14" t="s">
        <v>620</v>
      </c>
      <c r="C340" s="22"/>
      <c r="D340" s="15">
        <v>0.25</v>
      </c>
      <c r="E340" s="16">
        <v>0.1</v>
      </c>
      <c r="F340" s="17">
        <v>0.05</v>
      </c>
      <c r="G340" s="18">
        <v>55</v>
      </c>
      <c r="H340" s="18">
        <v>3980000</v>
      </c>
      <c r="I340" s="18" t="b">
        <v>0</v>
      </c>
      <c r="J340" s="14" t="s">
        <v>256</v>
      </c>
      <c r="K340" s="15">
        <v>13</v>
      </c>
      <c r="L340" s="16">
        <v>5</v>
      </c>
      <c r="M340" s="17">
        <v>2</v>
      </c>
      <c r="N340" s="18">
        <v>72363.636363636368</v>
      </c>
      <c r="O340" s="15">
        <v>940727.27272727282</v>
      </c>
      <c r="P340" s="16">
        <v>361818.18181818182</v>
      </c>
      <c r="Q340" s="17">
        <v>144727.27272727271</v>
      </c>
      <c r="R340" s="18" t="b">
        <v>1</v>
      </c>
      <c r="S340" s="18" t="b">
        <v>1</v>
      </c>
      <c r="T340" s="18" t="b">
        <v>1</v>
      </c>
      <c r="U340" s="14" t="s">
        <v>253</v>
      </c>
    </row>
    <row r="341" spans="1:21" x14ac:dyDescent="0.3">
      <c r="A341" s="14" t="s">
        <v>181</v>
      </c>
      <c r="B341" s="14" t="s">
        <v>621</v>
      </c>
      <c r="C341" s="22"/>
      <c r="D341" s="15">
        <v>0.25</v>
      </c>
      <c r="E341" s="16">
        <v>0.1</v>
      </c>
      <c r="F341" s="17">
        <v>0.05</v>
      </c>
      <c r="G341" s="18">
        <v>26</v>
      </c>
      <c r="H341" s="18">
        <v>510000</v>
      </c>
      <c r="I341" s="18" t="b">
        <v>0</v>
      </c>
      <c r="J341" s="14" t="s">
        <v>256</v>
      </c>
      <c r="K341" s="15">
        <v>6</v>
      </c>
      <c r="L341" s="16">
        <v>2</v>
      </c>
      <c r="M341" s="17">
        <v>1</v>
      </c>
      <c r="N341" s="18">
        <v>19615.384615384621</v>
      </c>
      <c r="O341" s="15">
        <v>117692.3076923077</v>
      </c>
      <c r="P341" s="16">
        <v>39230.769230769227</v>
      </c>
      <c r="Q341" s="17">
        <v>19615.384615384621</v>
      </c>
      <c r="R341" s="18" t="b">
        <v>1</v>
      </c>
      <c r="S341" s="18" t="b">
        <v>1</v>
      </c>
      <c r="T341" s="18" t="b">
        <v>1</v>
      </c>
      <c r="U341" s="14" t="s">
        <v>245</v>
      </c>
    </row>
    <row r="342" spans="1:21" x14ac:dyDescent="0.3">
      <c r="A342" s="14" t="s">
        <v>181</v>
      </c>
      <c r="B342" s="14" t="s">
        <v>622</v>
      </c>
      <c r="C342" s="22"/>
      <c r="D342" s="15">
        <v>0.25</v>
      </c>
      <c r="E342" s="16">
        <v>0.1</v>
      </c>
      <c r="F342" s="17">
        <v>0.05</v>
      </c>
      <c r="G342" s="18">
        <v>6</v>
      </c>
      <c r="H342" s="18">
        <v>571216.27</v>
      </c>
      <c r="I342" s="18" t="b">
        <v>0</v>
      </c>
      <c r="J342" s="14" t="s">
        <v>256</v>
      </c>
      <c r="K342" s="15">
        <v>1</v>
      </c>
      <c r="L342" s="16">
        <v>0</v>
      </c>
      <c r="M342" s="17">
        <v>0</v>
      </c>
      <c r="N342" s="18">
        <v>95202.71166666667</v>
      </c>
      <c r="O342" s="15">
        <v>95202.71166666667</v>
      </c>
      <c r="P342" s="16">
        <v>0</v>
      </c>
      <c r="Q342" s="17">
        <v>0</v>
      </c>
      <c r="R342" s="18" t="b">
        <v>1</v>
      </c>
      <c r="S342" s="18" t="b">
        <v>1</v>
      </c>
      <c r="T342" s="18" t="b">
        <v>1</v>
      </c>
      <c r="U342" s="14" t="s">
        <v>245</v>
      </c>
    </row>
    <row r="343" spans="1:21" x14ac:dyDescent="0.3">
      <c r="A343" s="14" t="s">
        <v>181</v>
      </c>
      <c r="B343" s="14" t="s">
        <v>623</v>
      </c>
      <c r="C343" s="22"/>
      <c r="D343" s="15">
        <v>0.25</v>
      </c>
      <c r="E343" s="16">
        <v>0.1</v>
      </c>
      <c r="F343" s="17">
        <v>0.05</v>
      </c>
      <c r="G343" s="18">
        <v>64</v>
      </c>
      <c r="H343" s="18">
        <v>2121592.46</v>
      </c>
      <c r="I343" s="18" t="b">
        <v>0</v>
      </c>
      <c r="J343" s="14" t="s">
        <v>256</v>
      </c>
      <c r="K343" s="15">
        <v>16</v>
      </c>
      <c r="L343" s="16">
        <v>6</v>
      </c>
      <c r="M343" s="17">
        <v>3</v>
      </c>
      <c r="N343" s="18">
        <v>33149.882187499999</v>
      </c>
      <c r="O343" s="15">
        <v>530398.11499999999</v>
      </c>
      <c r="P343" s="16">
        <v>198899.293125</v>
      </c>
      <c r="Q343" s="17">
        <v>99449.646562499998</v>
      </c>
      <c r="R343" s="18" t="b">
        <v>1</v>
      </c>
      <c r="S343" s="18" t="b">
        <v>1</v>
      </c>
      <c r="T343" s="18" t="b">
        <v>1</v>
      </c>
      <c r="U343" s="14" t="s">
        <v>248</v>
      </c>
    </row>
    <row r="344" spans="1:21" x14ac:dyDescent="0.3">
      <c r="A344" s="14" t="s">
        <v>186</v>
      </c>
      <c r="B344" s="14" t="s">
        <v>624</v>
      </c>
      <c r="C344" s="22"/>
      <c r="D344" s="15">
        <v>0.25</v>
      </c>
      <c r="E344" s="16">
        <v>0.1</v>
      </c>
      <c r="F344" s="17">
        <v>0.05</v>
      </c>
      <c r="G344" s="18">
        <v>32</v>
      </c>
      <c r="H344" s="18">
        <v>800000</v>
      </c>
      <c r="I344" s="18" t="b">
        <v>0</v>
      </c>
      <c r="J344" s="14" t="s">
        <v>256</v>
      </c>
      <c r="K344" s="15">
        <v>8</v>
      </c>
      <c r="L344" s="16">
        <v>3</v>
      </c>
      <c r="M344" s="17">
        <v>1</v>
      </c>
      <c r="N344" s="18">
        <v>25000</v>
      </c>
      <c r="O344" s="15">
        <v>200000</v>
      </c>
      <c r="P344" s="16">
        <v>75000</v>
      </c>
      <c r="Q344" s="17">
        <v>25000</v>
      </c>
      <c r="R344" s="18" t="b">
        <v>1</v>
      </c>
      <c r="S344" s="18" t="b">
        <v>1</v>
      </c>
      <c r="T344" s="18" t="b">
        <v>1</v>
      </c>
      <c r="U344" s="14" t="s">
        <v>245</v>
      </c>
    </row>
    <row r="345" spans="1:21" x14ac:dyDescent="0.3">
      <c r="A345" s="14" t="s">
        <v>186</v>
      </c>
      <c r="B345" s="14" t="s">
        <v>625</v>
      </c>
      <c r="C345" s="22"/>
      <c r="D345" s="15">
        <v>0.25</v>
      </c>
      <c r="E345" s="16">
        <v>0.1</v>
      </c>
      <c r="F345" s="17">
        <v>0.05</v>
      </c>
      <c r="G345" s="18">
        <v>32</v>
      </c>
      <c r="H345" s="18">
        <v>960000</v>
      </c>
      <c r="I345" s="18" t="b">
        <v>0</v>
      </c>
      <c r="J345" s="14" t="s">
        <v>256</v>
      </c>
      <c r="K345" s="15">
        <v>8</v>
      </c>
      <c r="L345" s="16">
        <v>3</v>
      </c>
      <c r="M345" s="17">
        <v>1</v>
      </c>
      <c r="N345" s="18">
        <v>30000</v>
      </c>
      <c r="O345" s="15">
        <v>240000</v>
      </c>
      <c r="P345" s="16">
        <v>90000</v>
      </c>
      <c r="Q345" s="17">
        <v>30000</v>
      </c>
      <c r="R345" s="18" t="b">
        <v>1</v>
      </c>
      <c r="S345" s="18" t="b">
        <v>1</v>
      </c>
      <c r="T345" s="18" t="b">
        <v>1</v>
      </c>
      <c r="U345" s="14" t="s">
        <v>245</v>
      </c>
    </row>
    <row r="346" spans="1:21" x14ac:dyDescent="0.3">
      <c r="A346" s="14" t="s">
        <v>186</v>
      </c>
      <c r="B346" s="14" t="s">
        <v>626</v>
      </c>
      <c r="C346" s="22"/>
      <c r="D346" s="15">
        <v>0.25</v>
      </c>
      <c r="E346" s="16"/>
      <c r="F346" s="17">
        <v>0.05</v>
      </c>
      <c r="G346" s="18">
        <v>49</v>
      </c>
      <c r="H346" s="18">
        <v>976000</v>
      </c>
      <c r="I346" s="18" t="b">
        <v>0</v>
      </c>
      <c r="J346" s="14" t="s">
        <v>256</v>
      </c>
      <c r="K346" s="15">
        <v>12</v>
      </c>
      <c r="L346" s="16"/>
      <c r="M346" s="17">
        <v>2</v>
      </c>
      <c r="N346" s="18">
        <v>19918.36734693878</v>
      </c>
      <c r="O346" s="15">
        <v>239020.4081632653</v>
      </c>
      <c r="P346" s="16"/>
      <c r="Q346" s="17">
        <v>39836.734693877552</v>
      </c>
      <c r="R346" s="18" t="b">
        <v>1</v>
      </c>
      <c r="S346" s="18" t="b">
        <v>0</v>
      </c>
      <c r="T346" s="18" t="b">
        <v>1</v>
      </c>
      <c r="U346" s="14" t="s">
        <v>383</v>
      </c>
    </row>
    <row r="347" spans="1:21" x14ac:dyDescent="0.3">
      <c r="A347" s="14" t="s">
        <v>211</v>
      </c>
      <c r="B347" s="14" t="s">
        <v>627</v>
      </c>
      <c r="C347" s="22"/>
      <c r="D347" s="15">
        <v>0.25</v>
      </c>
      <c r="E347" s="16">
        <v>0.1</v>
      </c>
      <c r="F347" s="17">
        <v>0.05</v>
      </c>
      <c r="G347" s="18"/>
      <c r="H347" s="18">
        <v>700000</v>
      </c>
      <c r="I347" s="18" t="b">
        <v>0</v>
      </c>
      <c r="J347" s="14" t="s">
        <v>256</v>
      </c>
      <c r="K347" s="15"/>
      <c r="L347" s="16"/>
      <c r="M347" s="17"/>
      <c r="N347" s="18"/>
      <c r="O347" s="15"/>
      <c r="P347" s="16"/>
      <c r="Q347" s="17"/>
      <c r="R347" s="18" t="b">
        <v>1</v>
      </c>
      <c r="S347" s="18" t="b">
        <v>1</v>
      </c>
      <c r="T347" s="18" t="b">
        <v>1</v>
      </c>
      <c r="U347" s="14" t="s">
        <v>248</v>
      </c>
    </row>
    <row r="348" spans="1:21" x14ac:dyDescent="0.3">
      <c r="A348" s="14" t="s">
        <v>211</v>
      </c>
      <c r="B348" s="14" t="s">
        <v>628</v>
      </c>
      <c r="C348" s="22"/>
      <c r="D348" s="15">
        <v>0.25</v>
      </c>
      <c r="E348" s="16">
        <v>0.1</v>
      </c>
      <c r="F348" s="17">
        <v>0.05</v>
      </c>
      <c r="G348" s="18"/>
      <c r="H348" s="18">
        <v>1000000</v>
      </c>
      <c r="I348" s="18" t="b">
        <v>0</v>
      </c>
      <c r="J348" s="14" t="s">
        <v>256</v>
      </c>
      <c r="K348" s="15"/>
      <c r="L348" s="16"/>
      <c r="M348" s="17"/>
      <c r="N348" s="18"/>
      <c r="O348" s="15"/>
      <c r="P348" s="16"/>
      <c r="Q348" s="17"/>
      <c r="R348" s="18" t="b">
        <v>1</v>
      </c>
      <c r="S348" s="18" t="b">
        <v>1</v>
      </c>
      <c r="T348" s="18" t="b">
        <v>1</v>
      </c>
      <c r="U348" s="14" t="s">
        <v>248</v>
      </c>
    </row>
    <row r="349" spans="1:21" x14ac:dyDescent="0.3">
      <c r="A349" s="14" t="s">
        <v>211</v>
      </c>
      <c r="B349" s="14" t="s">
        <v>629</v>
      </c>
      <c r="C349" s="22"/>
      <c r="D349" s="15">
        <v>0.25</v>
      </c>
      <c r="E349" s="16">
        <v>0.1</v>
      </c>
      <c r="F349" s="17">
        <v>0.05</v>
      </c>
      <c r="G349" s="18">
        <v>21</v>
      </c>
      <c r="H349" s="18">
        <v>2840000</v>
      </c>
      <c r="I349" s="18" t="b">
        <v>0</v>
      </c>
      <c r="J349" s="14" t="s">
        <v>256</v>
      </c>
      <c r="K349" s="15">
        <v>5</v>
      </c>
      <c r="L349" s="16">
        <v>2</v>
      </c>
      <c r="M349" s="17">
        <v>1</v>
      </c>
      <c r="N349" s="18">
        <v>135238.09523809521</v>
      </c>
      <c r="O349" s="15">
        <v>676190.47619047621</v>
      </c>
      <c r="P349" s="16">
        <v>270476.19047619047</v>
      </c>
      <c r="Q349" s="17">
        <v>135238.09523809521</v>
      </c>
      <c r="R349" s="18" t="b">
        <v>1</v>
      </c>
      <c r="S349" s="18" t="b">
        <v>1</v>
      </c>
      <c r="T349" s="18" t="b">
        <v>1</v>
      </c>
      <c r="U349" s="14" t="s">
        <v>245</v>
      </c>
    </row>
    <row r="350" spans="1:21" x14ac:dyDescent="0.3">
      <c r="A350" s="14" t="s">
        <v>211</v>
      </c>
      <c r="B350" s="14" t="s">
        <v>630</v>
      </c>
      <c r="C350" s="22"/>
      <c r="D350" s="15">
        <v>0.25</v>
      </c>
      <c r="E350" s="16">
        <v>0.1</v>
      </c>
      <c r="F350" s="17">
        <v>0.05</v>
      </c>
      <c r="G350" s="18">
        <v>30</v>
      </c>
      <c r="H350" s="18">
        <v>6600000</v>
      </c>
      <c r="I350" s="18" t="b">
        <v>0</v>
      </c>
      <c r="J350" s="14" t="s">
        <v>256</v>
      </c>
      <c r="K350" s="15">
        <v>7</v>
      </c>
      <c r="L350" s="16">
        <v>3</v>
      </c>
      <c r="M350" s="17">
        <v>1</v>
      </c>
      <c r="N350" s="18">
        <v>220000</v>
      </c>
      <c r="O350" s="15">
        <v>1540000</v>
      </c>
      <c r="P350" s="16">
        <v>660000</v>
      </c>
      <c r="Q350" s="17">
        <v>220000</v>
      </c>
      <c r="R350" s="18" t="b">
        <v>1</v>
      </c>
      <c r="S350" s="18" t="b">
        <v>1</v>
      </c>
      <c r="T350" s="18" t="b">
        <v>1</v>
      </c>
      <c r="U350" s="14" t="s">
        <v>245</v>
      </c>
    </row>
    <row r="351" spans="1:21" x14ac:dyDescent="0.3">
      <c r="A351" s="14" t="s">
        <v>631</v>
      </c>
      <c r="B351" s="14" t="s">
        <v>632</v>
      </c>
      <c r="C351" s="22"/>
      <c r="D351" s="15">
        <v>0.25</v>
      </c>
      <c r="E351" s="16">
        <v>0.1</v>
      </c>
      <c r="F351" s="17">
        <v>0.05</v>
      </c>
      <c r="G351" s="18">
        <v>74</v>
      </c>
      <c r="H351" s="18">
        <v>500000</v>
      </c>
      <c r="I351" s="18" t="b">
        <v>0</v>
      </c>
      <c r="J351" s="14" t="s">
        <v>256</v>
      </c>
      <c r="K351" s="15">
        <v>18</v>
      </c>
      <c r="L351" s="16">
        <v>7</v>
      </c>
      <c r="M351" s="17">
        <v>3</v>
      </c>
      <c r="N351" s="18">
        <v>6756.7567567567567</v>
      </c>
      <c r="O351" s="15">
        <v>121621.6216216216</v>
      </c>
      <c r="P351" s="16">
        <v>47297.297297297293</v>
      </c>
      <c r="Q351" s="17">
        <v>20270.27027027027</v>
      </c>
      <c r="R351" s="18" t="b">
        <v>1</v>
      </c>
      <c r="S351" s="18" t="b">
        <v>1</v>
      </c>
      <c r="T351" s="18" t="b">
        <v>1</v>
      </c>
      <c r="U351" s="14" t="s">
        <v>253</v>
      </c>
    </row>
    <row r="352" spans="1:21" x14ac:dyDescent="0.3">
      <c r="A352" s="14" t="s">
        <v>631</v>
      </c>
      <c r="B352" s="14" t="s">
        <v>633</v>
      </c>
      <c r="C352" s="22"/>
      <c r="D352" s="15">
        <v>0.25</v>
      </c>
      <c r="E352" s="16">
        <v>0.1</v>
      </c>
      <c r="F352" s="17">
        <v>0.05</v>
      </c>
      <c r="G352" s="18">
        <v>28</v>
      </c>
      <c r="H352" s="18">
        <v>950500</v>
      </c>
      <c r="I352" s="18" t="b">
        <v>0</v>
      </c>
      <c r="J352" s="14" t="s">
        <v>256</v>
      </c>
      <c r="K352" s="15">
        <v>7</v>
      </c>
      <c r="L352" s="16">
        <v>2</v>
      </c>
      <c r="M352" s="17">
        <v>1</v>
      </c>
      <c r="N352" s="18">
        <v>33946.428571428572</v>
      </c>
      <c r="O352" s="15">
        <v>237625</v>
      </c>
      <c r="P352" s="16">
        <v>67892.857142857145</v>
      </c>
      <c r="Q352" s="17">
        <v>33946.428571428572</v>
      </c>
      <c r="R352" s="18" t="b">
        <v>1</v>
      </c>
      <c r="S352" s="18" t="b">
        <v>1</v>
      </c>
      <c r="T352" s="18" t="b">
        <v>1</v>
      </c>
      <c r="U352" s="14" t="s">
        <v>245</v>
      </c>
    </row>
    <row r="353" spans="1:21" x14ac:dyDescent="0.3">
      <c r="A353" s="14" t="s">
        <v>631</v>
      </c>
      <c r="B353" s="14" t="s">
        <v>634</v>
      </c>
      <c r="C353" s="22"/>
      <c r="D353" s="15">
        <v>0.25</v>
      </c>
      <c r="E353" s="16">
        <v>0.1</v>
      </c>
      <c r="F353" s="17">
        <v>0.05</v>
      </c>
      <c r="G353" s="18">
        <v>10</v>
      </c>
      <c r="H353" s="18">
        <v>1000000</v>
      </c>
      <c r="I353" s="18" t="b">
        <v>0</v>
      </c>
      <c r="J353" s="14" t="s">
        <v>256</v>
      </c>
      <c r="K353" s="15">
        <v>2</v>
      </c>
      <c r="L353" s="16">
        <v>1</v>
      </c>
      <c r="M353" s="17">
        <v>0</v>
      </c>
      <c r="N353" s="18">
        <v>100000</v>
      </c>
      <c r="O353" s="15">
        <v>200000</v>
      </c>
      <c r="P353" s="16">
        <v>100000</v>
      </c>
      <c r="Q353" s="17">
        <v>0</v>
      </c>
      <c r="R353" s="18" t="b">
        <v>1</v>
      </c>
      <c r="S353" s="18" t="b">
        <v>1</v>
      </c>
      <c r="T353" s="18" t="b">
        <v>1</v>
      </c>
      <c r="U353" s="14" t="s">
        <v>245</v>
      </c>
    </row>
    <row r="354" spans="1:21" x14ac:dyDescent="0.3">
      <c r="A354" s="14" t="s">
        <v>631</v>
      </c>
      <c r="B354" s="14" t="s">
        <v>635</v>
      </c>
      <c r="C354" s="22"/>
      <c r="D354" s="15">
        <v>0.25</v>
      </c>
      <c r="E354" s="16">
        <v>0.1</v>
      </c>
      <c r="F354" s="17">
        <v>0.05</v>
      </c>
      <c r="G354" s="18">
        <v>182</v>
      </c>
      <c r="H354" s="18">
        <v>4500000</v>
      </c>
      <c r="I354" s="18" t="b">
        <v>0</v>
      </c>
      <c r="J354" s="14" t="s">
        <v>256</v>
      </c>
      <c r="K354" s="15">
        <v>45</v>
      </c>
      <c r="L354" s="16">
        <v>18</v>
      </c>
      <c r="M354" s="17">
        <v>9</v>
      </c>
      <c r="N354" s="18">
        <v>24725.274725274721</v>
      </c>
      <c r="O354" s="15">
        <v>1112637.3626373629</v>
      </c>
      <c r="P354" s="16">
        <v>445054.94505494513</v>
      </c>
      <c r="Q354" s="17">
        <v>222527.47252747251</v>
      </c>
      <c r="R354" s="18" t="b">
        <v>1</v>
      </c>
      <c r="S354" s="18" t="b">
        <v>1</v>
      </c>
      <c r="T354" s="18" t="b">
        <v>1</v>
      </c>
      <c r="U354" s="14" t="s">
        <v>248</v>
      </c>
    </row>
    <row r="355" spans="1:21" x14ac:dyDescent="0.3">
      <c r="A355" s="14" t="s">
        <v>636</v>
      </c>
      <c r="B355" s="14" t="s">
        <v>637</v>
      </c>
      <c r="C355" s="22"/>
      <c r="D355" s="15">
        <v>0.25</v>
      </c>
      <c r="E355" s="16">
        <v>0.1</v>
      </c>
      <c r="F355" s="17">
        <v>0.05</v>
      </c>
      <c r="G355" s="18">
        <v>1</v>
      </c>
      <c r="H355" s="18">
        <v>400000</v>
      </c>
      <c r="I355" s="18" t="b">
        <v>0</v>
      </c>
      <c r="J355" s="14" t="s">
        <v>256</v>
      </c>
      <c r="K355" s="15">
        <v>0</v>
      </c>
      <c r="L355" s="16">
        <v>0</v>
      </c>
      <c r="M355" s="17">
        <v>0</v>
      </c>
      <c r="N355" s="18">
        <v>400000</v>
      </c>
      <c r="O355" s="15">
        <v>0</v>
      </c>
      <c r="P355" s="16">
        <v>0</v>
      </c>
      <c r="Q355" s="17">
        <v>0</v>
      </c>
      <c r="R355" s="18" t="b">
        <v>1</v>
      </c>
      <c r="S355" s="18" t="b">
        <v>1</v>
      </c>
      <c r="T355" s="18" t="b">
        <v>1</v>
      </c>
      <c r="U355" s="14" t="s">
        <v>248</v>
      </c>
    </row>
    <row r="356" spans="1:21" x14ac:dyDescent="0.3">
      <c r="A356" s="14" t="s">
        <v>636</v>
      </c>
      <c r="B356" s="14" t="s">
        <v>638</v>
      </c>
      <c r="C356" s="22"/>
      <c r="D356" s="15">
        <v>0.25</v>
      </c>
      <c r="E356" s="16">
        <v>0.1</v>
      </c>
      <c r="F356" s="17">
        <v>0.05</v>
      </c>
      <c r="G356" s="18">
        <v>23</v>
      </c>
      <c r="H356" s="18">
        <v>685200</v>
      </c>
      <c r="I356" s="18" t="b">
        <v>0</v>
      </c>
      <c r="J356" s="14" t="s">
        <v>256</v>
      </c>
      <c r="K356" s="15">
        <v>5</v>
      </c>
      <c r="L356" s="16">
        <v>2</v>
      </c>
      <c r="M356" s="17">
        <v>1</v>
      </c>
      <c r="N356" s="18">
        <v>29791.304347826092</v>
      </c>
      <c r="O356" s="15">
        <v>148956.5217391304</v>
      </c>
      <c r="P356" s="16">
        <v>59582.608695652183</v>
      </c>
      <c r="Q356" s="17">
        <v>29791.304347826092</v>
      </c>
      <c r="R356" s="18" t="b">
        <v>1</v>
      </c>
      <c r="S356" s="18" t="b">
        <v>1</v>
      </c>
      <c r="T356" s="18" t="b">
        <v>1</v>
      </c>
      <c r="U356" s="14" t="s">
        <v>248</v>
      </c>
    </row>
    <row r="357" spans="1:21" x14ac:dyDescent="0.3">
      <c r="A357" s="14" t="s">
        <v>636</v>
      </c>
      <c r="B357" s="14" t="s">
        <v>639</v>
      </c>
      <c r="C357" s="22"/>
      <c r="D357" s="15">
        <v>0.25</v>
      </c>
      <c r="E357" s="16">
        <v>0.1</v>
      </c>
      <c r="F357" s="17">
        <v>0.05</v>
      </c>
      <c r="G357" s="18">
        <v>10</v>
      </c>
      <c r="H357" s="18">
        <v>800000</v>
      </c>
      <c r="I357" s="18" t="b">
        <v>0</v>
      </c>
      <c r="J357" s="14" t="s">
        <v>256</v>
      </c>
      <c r="K357" s="15">
        <v>2</v>
      </c>
      <c r="L357" s="16">
        <v>1</v>
      </c>
      <c r="M357" s="17">
        <v>0</v>
      </c>
      <c r="N357" s="18">
        <v>80000</v>
      </c>
      <c r="O357" s="15">
        <v>160000</v>
      </c>
      <c r="P357" s="16">
        <v>80000</v>
      </c>
      <c r="Q357" s="17">
        <v>0</v>
      </c>
      <c r="R357" s="18" t="b">
        <v>1</v>
      </c>
      <c r="S357" s="18" t="b">
        <v>1</v>
      </c>
      <c r="T357" s="18" t="b">
        <v>1</v>
      </c>
      <c r="U357" s="14" t="s">
        <v>248</v>
      </c>
    </row>
    <row r="358" spans="1:21" x14ac:dyDescent="0.3">
      <c r="A358" s="14" t="s">
        <v>636</v>
      </c>
      <c r="B358" s="14" t="s">
        <v>640</v>
      </c>
      <c r="C358" s="22"/>
      <c r="D358" s="15">
        <v>0.25</v>
      </c>
      <c r="E358" s="16">
        <v>0.37</v>
      </c>
      <c r="F358" s="17">
        <v>0.06</v>
      </c>
      <c r="G358" s="18">
        <v>16</v>
      </c>
      <c r="H358" s="18">
        <v>800000</v>
      </c>
      <c r="I358" s="18" t="b">
        <v>0</v>
      </c>
      <c r="J358" s="14" t="s">
        <v>256</v>
      </c>
      <c r="K358" s="15">
        <v>4</v>
      </c>
      <c r="L358" s="16">
        <v>5</v>
      </c>
      <c r="M358" s="17">
        <v>0</v>
      </c>
      <c r="N358" s="18">
        <v>50000</v>
      </c>
      <c r="O358" s="15">
        <v>200000</v>
      </c>
      <c r="P358" s="16">
        <v>250000</v>
      </c>
      <c r="Q358" s="17">
        <v>0</v>
      </c>
      <c r="R358" s="18" t="b">
        <v>1</v>
      </c>
      <c r="S358" s="18" t="b">
        <v>1</v>
      </c>
      <c r="T358" s="18" t="b">
        <v>1</v>
      </c>
      <c r="U358" s="14" t="s">
        <v>248</v>
      </c>
    </row>
    <row r="359" spans="1:21" x14ac:dyDescent="0.3">
      <c r="A359" s="14" t="s">
        <v>636</v>
      </c>
      <c r="B359" s="14" t="s">
        <v>641</v>
      </c>
      <c r="C359" s="22"/>
      <c r="D359" s="15">
        <v>0.25</v>
      </c>
      <c r="E359" s="16">
        <v>0.1</v>
      </c>
      <c r="F359" s="17">
        <v>0.05</v>
      </c>
      <c r="G359" s="18"/>
      <c r="H359" s="18">
        <v>3000000</v>
      </c>
      <c r="I359" s="18" t="b">
        <v>0</v>
      </c>
      <c r="J359" s="14" t="s">
        <v>256</v>
      </c>
      <c r="K359" s="15"/>
      <c r="L359" s="16"/>
      <c r="M359" s="17"/>
      <c r="N359" s="18"/>
      <c r="O359" s="15"/>
      <c r="P359" s="16"/>
      <c r="Q359" s="17"/>
      <c r="R359" s="18" t="b">
        <v>1</v>
      </c>
      <c r="S359" s="18" t="b">
        <v>1</v>
      </c>
      <c r="T359" s="18" t="b">
        <v>1</v>
      </c>
      <c r="U359" s="14" t="s">
        <v>248</v>
      </c>
    </row>
    <row r="360" spans="1:21" x14ac:dyDescent="0.3">
      <c r="A360" s="14" t="s">
        <v>636</v>
      </c>
      <c r="B360" s="14" t="s">
        <v>642</v>
      </c>
      <c r="C360" s="22"/>
      <c r="D360" s="15">
        <v>0.25</v>
      </c>
      <c r="E360" s="16">
        <v>0.1</v>
      </c>
      <c r="F360" s="17">
        <v>0.05</v>
      </c>
      <c r="G360" s="18">
        <v>15</v>
      </c>
      <c r="H360" s="18">
        <v>4000000</v>
      </c>
      <c r="I360" s="18" t="b">
        <v>0</v>
      </c>
      <c r="J360" s="14" t="s">
        <v>256</v>
      </c>
      <c r="K360" s="15">
        <v>3</v>
      </c>
      <c r="L360" s="16">
        <v>1</v>
      </c>
      <c r="M360" s="17">
        <v>0</v>
      </c>
      <c r="N360" s="18">
        <v>266666.66666666669</v>
      </c>
      <c r="O360" s="15">
        <v>800000</v>
      </c>
      <c r="P360" s="16">
        <v>266666.66666666669</v>
      </c>
      <c r="Q360" s="17">
        <v>0</v>
      </c>
      <c r="R360" s="18" t="b">
        <v>1</v>
      </c>
      <c r="S360" s="18" t="b">
        <v>1</v>
      </c>
      <c r="T360" s="18" t="b">
        <v>1</v>
      </c>
      <c r="U360" s="14" t="s">
        <v>248</v>
      </c>
    </row>
    <row r="361" spans="1:21" x14ac:dyDescent="0.3">
      <c r="A361" s="14" t="s">
        <v>636</v>
      </c>
      <c r="B361" s="14" t="s">
        <v>643</v>
      </c>
      <c r="C361" s="22"/>
      <c r="D361" s="15">
        <v>0.25</v>
      </c>
      <c r="E361" s="16">
        <v>0.1</v>
      </c>
      <c r="F361" s="17">
        <v>0.05</v>
      </c>
      <c r="G361" s="18">
        <v>10</v>
      </c>
      <c r="H361" s="18">
        <v>7000000</v>
      </c>
      <c r="I361" s="18" t="b">
        <v>0</v>
      </c>
      <c r="J361" s="14" t="s">
        <v>256</v>
      </c>
      <c r="K361" s="15">
        <v>2</v>
      </c>
      <c r="L361" s="16">
        <v>1</v>
      </c>
      <c r="M361" s="17">
        <v>0</v>
      </c>
      <c r="N361" s="18">
        <v>700000</v>
      </c>
      <c r="O361" s="15">
        <v>1400000</v>
      </c>
      <c r="P361" s="16">
        <v>700000</v>
      </c>
      <c r="Q361" s="17">
        <v>0</v>
      </c>
      <c r="R361" s="18" t="b">
        <v>1</v>
      </c>
      <c r="S361" s="18" t="b">
        <v>1</v>
      </c>
      <c r="T361" s="18" t="b">
        <v>1</v>
      </c>
      <c r="U361" s="14" t="s">
        <v>248</v>
      </c>
    </row>
    <row r="362" spans="1:21" x14ac:dyDescent="0.3">
      <c r="A362" s="14" t="s">
        <v>636</v>
      </c>
      <c r="B362" s="14" t="s">
        <v>644</v>
      </c>
      <c r="C362" s="22"/>
      <c r="D362" s="15">
        <v>0.25</v>
      </c>
      <c r="E362" s="16">
        <v>0.1</v>
      </c>
      <c r="F362" s="17">
        <v>0.05</v>
      </c>
      <c r="G362" s="18">
        <v>2</v>
      </c>
      <c r="H362" s="18">
        <v>8000000</v>
      </c>
      <c r="I362" s="18" t="b">
        <v>0</v>
      </c>
      <c r="J362" s="14" t="s">
        <v>256</v>
      </c>
      <c r="K362" s="15">
        <v>0</v>
      </c>
      <c r="L362" s="16">
        <v>0</v>
      </c>
      <c r="M362" s="17">
        <v>0</v>
      </c>
      <c r="N362" s="18">
        <v>4000000</v>
      </c>
      <c r="O362" s="15">
        <v>0</v>
      </c>
      <c r="P362" s="16">
        <v>0</v>
      </c>
      <c r="Q362" s="17">
        <v>0</v>
      </c>
      <c r="R362" s="18" t="b">
        <v>1</v>
      </c>
      <c r="S362" s="18" t="b">
        <v>1</v>
      </c>
      <c r="T362" s="18" t="b">
        <v>1</v>
      </c>
      <c r="U362" s="14" t="s">
        <v>248</v>
      </c>
    </row>
    <row r="363" spans="1:21" x14ac:dyDescent="0.3">
      <c r="A363" s="14" t="s">
        <v>636</v>
      </c>
      <c r="B363" s="14" t="s">
        <v>645</v>
      </c>
      <c r="C363" s="22"/>
      <c r="D363" s="15">
        <v>0.25</v>
      </c>
      <c r="E363" s="16">
        <v>0.1</v>
      </c>
      <c r="F363" s="17">
        <v>0.05</v>
      </c>
      <c r="G363" s="18">
        <v>510</v>
      </c>
      <c r="H363" s="18">
        <v>24300000</v>
      </c>
      <c r="I363" s="18" t="b">
        <v>0</v>
      </c>
      <c r="J363" s="14" t="s">
        <v>256</v>
      </c>
      <c r="K363" s="15">
        <v>127</v>
      </c>
      <c r="L363" s="16">
        <v>51</v>
      </c>
      <c r="M363" s="17">
        <v>25</v>
      </c>
      <c r="N363" s="18">
        <v>47647.058823529413</v>
      </c>
      <c r="O363" s="15">
        <v>6051176.4705882352</v>
      </c>
      <c r="P363" s="16">
        <v>2430000</v>
      </c>
      <c r="Q363" s="17">
        <v>1191176.470588235</v>
      </c>
      <c r="R363" s="18" t="b">
        <v>1</v>
      </c>
      <c r="S363" s="18" t="b">
        <v>1</v>
      </c>
      <c r="T363" s="18" t="b">
        <v>1</v>
      </c>
      <c r="U363" s="14" t="s">
        <v>245</v>
      </c>
    </row>
    <row r="364" spans="1:21" x14ac:dyDescent="0.3">
      <c r="A364" s="14" t="s">
        <v>205</v>
      </c>
      <c r="B364" s="14" t="s">
        <v>646</v>
      </c>
      <c r="C364" s="22"/>
      <c r="D364" s="15">
        <v>0.25</v>
      </c>
      <c r="E364" s="16">
        <v>0.1</v>
      </c>
      <c r="F364" s="17">
        <v>0.05</v>
      </c>
      <c r="G364" s="18">
        <v>71</v>
      </c>
      <c r="H364" s="18">
        <v>353008.73</v>
      </c>
      <c r="I364" s="18" t="b">
        <v>0</v>
      </c>
      <c r="J364" s="14" t="s">
        <v>256</v>
      </c>
      <c r="K364" s="15">
        <v>17</v>
      </c>
      <c r="L364" s="16">
        <v>7</v>
      </c>
      <c r="M364" s="17">
        <v>3</v>
      </c>
      <c r="N364" s="18">
        <v>4971.9539436619716</v>
      </c>
      <c r="O364" s="15">
        <v>84523.217042253513</v>
      </c>
      <c r="P364" s="16">
        <v>34803.677605633799</v>
      </c>
      <c r="Q364" s="17">
        <v>14915.861830985919</v>
      </c>
      <c r="R364" s="18" t="b">
        <v>1</v>
      </c>
      <c r="S364" s="18" t="b">
        <v>1</v>
      </c>
      <c r="T364" s="18" t="b">
        <v>1</v>
      </c>
      <c r="U364" s="14" t="s">
        <v>253</v>
      </c>
    </row>
    <row r="365" spans="1:21" x14ac:dyDescent="0.3">
      <c r="A365" s="14" t="s">
        <v>205</v>
      </c>
      <c r="B365" s="14" t="s">
        <v>647</v>
      </c>
      <c r="C365" s="22"/>
      <c r="D365" s="15">
        <v>0.25</v>
      </c>
      <c r="E365" s="16">
        <v>0.1</v>
      </c>
      <c r="F365" s="17">
        <v>0.05</v>
      </c>
      <c r="G365" s="18">
        <v>30</v>
      </c>
      <c r="H365" s="18">
        <v>600000</v>
      </c>
      <c r="I365" s="18" t="b">
        <v>0</v>
      </c>
      <c r="J365" s="14" t="s">
        <v>256</v>
      </c>
      <c r="K365" s="15">
        <v>7</v>
      </c>
      <c r="L365" s="16">
        <v>3</v>
      </c>
      <c r="M365" s="17">
        <v>1</v>
      </c>
      <c r="N365" s="18">
        <v>20000</v>
      </c>
      <c r="O365" s="15">
        <v>140000</v>
      </c>
      <c r="P365" s="16">
        <v>60000</v>
      </c>
      <c r="Q365" s="17">
        <v>20000</v>
      </c>
      <c r="R365" s="18" t="b">
        <v>1</v>
      </c>
      <c r="S365" s="18" t="b">
        <v>1</v>
      </c>
      <c r="T365" s="18" t="b">
        <v>1</v>
      </c>
      <c r="U365" s="14" t="s">
        <v>245</v>
      </c>
    </row>
    <row r="366" spans="1:21" x14ac:dyDescent="0.3">
      <c r="A366" s="14" t="s">
        <v>205</v>
      </c>
      <c r="B366" s="14" t="s">
        <v>648</v>
      </c>
      <c r="C366" s="22"/>
      <c r="D366" s="15">
        <v>0.25</v>
      </c>
      <c r="E366" s="16">
        <v>0.1</v>
      </c>
      <c r="F366" s="17">
        <v>0.05</v>
      </c>
      <c r="G366" s="18">
        <v>37</v>
      </c>
      <c r="H366" s="18">
        <v>3500000</v>
      </c>
      <c r="I366" s="18" t="b">
        <v>0</v>
      </c>
      <c r="J366" s="14" t="s">
        <v>256</v>
      </c>
      <c r="K366" s="15">
        <v>9</v>
      </c>
      <c r="L366" s="16">
        <v>3</v>
      </c>
      <c r="M366" s="17">
        <v>1</v>
      </c>
      <c r="N366" s="18">
        <v>94594.5945945946</v>
      </c>
      <c r="O366" s="15">
        <v>851351.35135135136</v>
      </c>
      <c r="P366" s="16">
        <v>283783.78378378379</v>
      </c>
      <c r="Q366" s="17">
        <v>94594.5945945946</v>
      </c>
      <c r="R366" s="18" t="b">
        <v>1</v>
      </c>
      <c r="S366" s="18" t="b">
        <v>1</v>
      </c>
      <c r="T366" s="18" t="b">
        <v>1</v>
      </c>
      <c r="U366" s="14" t="s">
        <v>248</v>
      </c>
    </row>
    <row r="367" spans="1:21" x14ac:dyDescent="0.3">
      <c r="A367" s="14" t="s">
        <v>649</v>
      </c>
      <c r="B367" s="14" t="s">
        <v>650</v>
      </c>
      <c r="C367" s="22"/>
      <c r="D367" s="15">
        <v>0.25</v>
      </c>
      <c r="E367" s="16">
        <v>0.1</v>
      </c>
      <c r="F367" s="17">
        <v>0.05</v>
      </c>
      <c r="G367" s="18">
        <v>6</v>
      </c>
      <c r="H367" s="18">
        <v>200000</v>
      </c>
      <c r="I367" s="18" t="b">
        <v>0</v>
      </c>
      <c r="J367" s="14" t="s">
        <v>256</v>
      </c>
      <c r="K367" s="15">
        <v>1</v>
      </c>
      <c r="L367" s="16">
        <v>0</v>
      </c>
      <c r="M367" s="17">
        <v>0</v>
      </c>
      <c r="N367" s="18">
        <v>33333.333333333343</v>
      </c>
      <c r="O367" s="15">
        <v>33333.333333333343</v>
      </c>
      <c r="P367" s="16">
        <v>0</v>
      </c>
      <c r="Q367" s="17">
        <v>0</v>
      </c>
      <c r="R367" s="18" t="b">
        <v>1</v>
      </c>
      <c r="S367" s="18" t="b">
        <v>1</v>
      </c>
      <c r="T367" s="18" t="b">
        <v>1</v>
      </c>
      <c r="U367" s="14" t="s">
        <v>248</v>
      </c>
    </row>
    <row r="368" spans="1:21" x14ac:dyDescent="0.3">
      <c r="A368" s="14" t="s">
        <v>649</v>
      </c>
      <c r="B368" s="14" t="s">
        <v>651</v>
      </c>
      <c r="C368" s="22"/>
      <c r="D368" s="15">
        <v>0.25</v>
      </c>
      <c r="E368" s="16">
        <v>0.1</v>
      </c>
      <c r="F368" s="17">
        <v>0.05</v>
      </c>
      <c r="G368" s="18">
        <v>18</v>
      </c>
      <c r="H368" s="18">
        <v>210000</v>
      </c>
      <c r="I368" s="18" t="b">
        <v>0</v>
      </c>
      <c r="J368" s="14" t="s">
        <v>256</v>
      </c>
      <c r="K368" s="15">
        <v>4</v>
      </c>
      <c r="L368" s="16">
        <v>1</v>
      </c>
      <c r="M368" s="17">
        <v>0</v>
      </c>
      <c r="N368" s="18">
        <v>11666.66666666667</v>
      </c>
      <c r="O368" s="15">
        <v>46666.666666666657</v>
      </c>
      <c r="P368" s="16">
        <v>11666.66666666667</v>
      </c>
      <c r="Q368" s="17">
        <v>0</v>
      </c>
      <c r="R368" s="18" t="b">
        <v>1</v>
      </c>
      <c r="S368" s="18" t="b">
        <v>1</v>
      </c>
      <c r="T368" s="18" t="b">
        <v>1</v>
      </c>
      <c r="U368" s="14" t="s">
        <v>257</v>
      </c>
    </row>
    <row r="369" spans="1:21" x14ac:dyDescent="0.3">
      <c r="A369" s="14" t="s">
        <v>649</v>
      </c>
      <c r="B369" s="14" t="s">
        <v>652</v>
      </c>
      <c r="C369" s="22"/>
      <c r="D369" s="15">
        <v>0.25</v>
      </c>
      <c r="E369" s="16">
        <v>0.1</v>
      </c>
      <c r="F369" s="17"/>
      <c r="G369" s="18">
        <v>7</v>
      </c>
      <c r="H369" s="18">
        <v>420000</v>
      </c>
      <c r="I369" s="18" t="b">
        <v>0</v>
      </c>
      <c r="J369" s="14" t="s">
        <v>256</v>
      </c>
      <c r="K369" s="15">
        <v>1</v>
      </c>
      <c r="L369" s="16">
        <v>0</v>
      </c>
      <c r="M369" s="17"/>
      <c r="N369" s="18">
        <v>60000</v>
      </c>
      <c r="O369" s="15">
        <v>60000</v>
      </c>
      <c r="P369" s="16">
        <v>0</v>
      </c>
      <c r="Q369" s="17"/>
      <c r="R369" s="18" t="b">
        <v>1</v>
      </c>
      <c r="S369" s="18" t="b">
        <v>1</v>
      </c>
      <c r="T369" s="18" t="b">
        <v>0</v>
      </c>
      <c r="U369" s="14" t="s">
        <v>248</v>
      </c>
    </row>
    <row r="370" spans="1:21" x14ac:dyDescent="0.3">
      <c r="A370" s="14" t="s">
        <v>649</v>
      </c>
      <c r="B370" s="14" t="s">
        <v>653</v>
      </c>
      <c r="C370" s="22"/>
      <c r="D370" s="15">
        <v>0.25</v>
      </c>
      <c r="E370" s="16">
        <v>0.1</v>
      </c>
      <c r="F370" s="17">
        <v>0.05</v>
      </c>
      <c r="G370" s="18">
        <v>50</v>
      </c>
      <c r="H370" s="18">
        <v>600000</v>
      </c>
      <c r="I370" s="18" t="b">
        <v>0</v>
      </c>
      <c r="J370" s="14" t="s">
        <v>256</v>
      </c>
      <c r="K370" s="15">
        <v>12</v>
      </c>
      <c r="L370" s="16">
        <v>5</v>
      </c>
      <c r="M370" s="17">
        <v>2</v>
      </c>
      <c r="N370" s="18">
        <v>12000</v>
      </c>
      <c r="O370" s="15">
        <v>144000</v>
      </c>
      <c r="P370" s="16">
        <v>60000</v>
      </c>
      <c r="Q370" s="17">
        <v>24000</v>
      </c>
      <c r="R370" s="18" t="b">
        <v>1</v>
      </c>
      <c r="S370" s="18" t="b">
        <v>1</v>
      </c>
      <c r="T370" s="18" t="b">
        <v>1</v>
      </c>
      <c r="U370" s="14" t="s">
        <v>248</v>
      </c>
    </row>
    <row r="371" spans="1:21" x14ac:dyDescent="0.3">
      <c r="A371" s="14" t="s">
        <v>649</v>
      </c>
      <c r="B371" s="14" t="s">
        <v>654</v>
      </c>
      <c r="C371" s="22"/>
      <c r="D371" s="15">
        <v>0.25</v>
      </c>
      <c r="E371" s="16">
        <v>0.1</v>
      </c>
      <c r="F371" s="17">
        <v>0.05</v>
      </c>
      <c r="G371" s="18">
        <v>21</v>
      </c>
      <c r="H371" s="18">
        <v>610558.69999999995</v>
      </c>
      <c r="I371" s="18" t="b">
        <v>0</v>
      </c>
      <c r="J371" s="14" t="s">
        <v>256</v>
      </c>
      <c r="K371" s="15">
        <v>5</v>
      </c>
      <c r="L371" s="16">
        <v>2</v>
      </c>
      <c r="M371" s="17">
        <v>1</v>
      </c>
      <c r="N371" s="18">
        <v>29074.22380952381</v>
      </c>
      <c r="O371" s="15">
        <v>145371.11904761899</v>
      </c>
      <c r="P371" s="16">
        <v>58148.447619047613</v>
      </c>
      <c r="Q371" s="17">
        <v>29074.22380952381</v>
      </c>
      <c r="R371" s="18" t="b">
        <v>1</v>
      </c>
      <c r="S371" s="18" t="b">
        <v>1</v>
      </c>
      <c r="T371" s="18" t="b">
        <v>1</v>
      </c>
      <c r="U371" s="14" t="s">
        <v>245</v>
      </c>
    </row>
    <row r="372" spans="1:21" x14ac:dyDescent="0.3">
      <c r="A372" s="14" t="s">
        <v>158</v>
      </c>
      <c r="B372" s="14" t="s">
        <v>655</v>
      </c>
      <c r="C372" s="22"/>
      <c r="D372" s="15">
        <v>0.25</v>
      </c>
      <c r="E372" s="16">
        <v>0.1</v>
      </c>
      <c r="F372" s="17">
        <v>0.1</v>
      </c>
      <c r="G372" s="18">
        <v>30</v>
      </c>
      <c r="H372" s="18">
        <v>350000</v>
      </c>
      <c r="I372" s="18" t="b">
        <v>1</v>
      </c>
      <c r="J372" s="14" t="s">
        <v>256</v>
      </c>
      <c r="K372" s="15">
        <v>7</v>
      </c>
      <c r="L372" s="16">
        <v>3</v>
      </c>
      <c r="M372" s="17">
        <v>3</v>
      </c>
      <c r="N372" s="18">
        <v>11666.66666666667</v>
      </c>
      <c r="O372" s="15">
        <v>81666.666666666657</v>
      </c>
      <c r="P372" s="16">
        <v>35000</v>
      </c>
      <c r="Q372" s="17">
        <v>35000</v>
      </c>
      <c r="R372" s="18" t="b">
        <v>1</v>
      </c>
      <c r="S372" s="18" t="b">
        <v>1</v>
      </c>
      <c r="T372" s="18" t="b">
        <v>1</v>
      </c>
      <c r="U372" s="14" t="s">
        <v>248</v>
      </c>
    </row>
    <row r="373" spans="1:21" x14ac:dyDescent="0.3">
      <c r="A373" s="14" t="s">
        <v>99</v>
      </c>
      <c r="B373" s="14" t="s">
        <v>656</v>
      </c>
      <c r="C373" s="22"/>
      <c r="D373" s="15">
        <v>0.25119999999999998</v>
      </c>
      <c r="E373" s="16">
        <v>9.8500000000000004E-2</v>
      </c>
      <c r="F373" s="17">
        <v>5.4199999999999998E-2</v>
      </c>
      <c r="G373" s="18">
        <v>203</v>
      </c>
      <c r="H373" s="18">
        <v>16400000</v>
      </c>
      <c r="I373" s="18" t="b">
        <v>0</v>
      </c>
      <c r="J373" s="14" t="s">
        <v>244</v>
      </c>
      <c r="K373" s="15">
        <v>50</v>
      </c>
      <c r="L373" s="16">
        <v>19</v>
      </c>
      <c r="M373" s="17">
        <v>11</v>
      </c>
      <c r="N373" s="18">
        <v>80788.177339901478</v>
      </c>
      <c r="O373" s="15">
        <v>4039408.8669950739</v>
      </c>
      <c r="P373" s="16">
        <v>1534975.369458128</v>
      </c>
      <c r="Q373" s="17">
        <v>888669.95073891629</v>
      </c>
      <c r="R373" s="18" t="b">
        <v>1</v>
      </c>
      <c r="S373" s="18" t="b">
        <v>0</v>
      </c>
      <c r="T373" s="18" t="b">
        <v>1</v>
      </c>
      <c r="U373" s="14" t="s">
        <v>248</v>
      </c>
    </row>
    <row r="374" spans="1:21" x14ac:dyDescent="0.3">
      <c r="A374" s="14" t="s">
        <v>99</v>
      </c>
      <c r="B374" s="14" t="s">
        <v>657</v>
      </c>
      <c r="C374" s="22"/>
      <c r="D374" s="15">
        <v>0.25290000000000001</v>
      </c>
      <c r="E374" s="16">
        <v>0.10340000000000001</v>
      </c>
      <c r="F374" s="17">
        <v>5.1700000000000003E-2</v>
      </c>
      <c r="G374" s="18">
        <v>174</v>
      </c>
      <c r="H374" s="18">
        <v>9700000</v>
      </c>
      <c r="I374" s="18" t="b">
        <v>0</v>
      </c>
      <c r="J374" s="14" t="s">
        <v>244</v>
      </c>
      <c r="K374" s="15">
        <v>44</v>
      </c>
      <c r="L374" s="16">
        <v>17</v>
      </c>
      <c r="M374" s="17">
        <v>8</v>
      </c>
      <c r="N374" s="18">
        <v>55747.126436781611</v>
      </c>
      <c r="O374" s="15">
        <v>2452873.563218391</v>
      </c>
      <c r="P374" s="16">
        <v>947701.14942528738</v>
      </c>
      <c r="Q374" s="17">
        <v>445977.01149425289</v>
      </c>
      <c r="R374" s="18" t="b">
        <v>1</v>
      </c>
      <c r="S374" s="18" t="b">
        <v>1</v>
      </c>
      <c r="T374" s="18" t="b">
        <v>1</v>
      </c>
      <c r="U374" s="14" t="s">
        <v>248</v>
      </c>
    </row>
    <row r="375" spans="1:21" x14ac:dyDescent="0.3">
      <c r="A375" s="14" t="s">
        <v>28</v>
      </c>
      <c r="B375" s="30" t="s">
        <v>658</v>
      </c>
      <c r="C375" s="22" t="s">
        <v>659</v>
      </c>
      <c r="D375" s="15">
        <v>0.253</v>
      </c>
      <c r="E375" s="16">
        <v>9.64E-2</v>
      </c>
      <c r="F375" s="17">
        <v>6.0199999999999997E-2</v>
      </c>
      <c r="G375" s="18">
        <v>83</v>
      </c>
      <c r="H375" s="18">
        <v>1780000</v>
      </c>
      <c r="I375" s="18" t="b">
        <v>0</v>
      </c>
      <c r="J375" s="14" t="s">
        <v>244</v>
      </c>
      <c r="K375" s="15">
        <v>20</v>
      </c>
      <c r="L375" s="16">
        <v>8</v>
      </c>
      <c r="M375" s="17">
        <v>4</v>
      </c>
      <c r="N375" s="18">
        <v>21445.783132530119</v>
      </c>
      <c r="O375" s="15">
        <v>428915.6626506024</v>
      </c>
      <c r="P375" s="16">
        <v>171566.26506024101</v>
      </c>
      <c r="Q375" s="17">
        <v>85783.132530120478</v>
      </c>
      <c r="R375" s="18" t="b">
        <v>1</v>
      </c>
      <c r="S375" s="18" t="b">
        <v>0</v>
      </c>
      <c r="T375" s="18" t="b">
        <v>1</v>
      </c>
      <c r="U375" s="14" t="s">
        <v>248</v>
      </c>
    </row>
    <row r="376" spans="1:21" x14ac:dyDescent="0.3">
      <c r="A376" s="14" t="s">
        <v>28</v>
      </c>
      <c r="B376" s="14" t="s">
        <v>660</v>
      </c>
      <c r="C376" s="22"/>
      <c r="D376" s="15">
        <v>0.2535</v>
      </c>
      <c r="E376" s="16">
        <v>9.8599999999999993E-2</v>
      </c>
      <c r="F376" s="17">
        <v>4.2299999999999997E-2</v>
      </c>
      <c r="G376" s="18">
        <v>71</v>
      </c>
      <c r="H376" s="18">
        <v>1200000</v>
      </c>
      <c r="I376" s="18" t="b">
        <v>0</v>
      </c>
      <c r="J376" s="14" t="s">
        <v>244</v>
      </c>
      <c r="K376" s="15">
        <v>17</v>
      </c>
      <c r="L376" s="16">
        <v>7</v>
      </c>
      <c r="M376" s="17">
        <v>3</v>
      </c>
      <c r="N376" s="18">
        <v>16901.408450704221</v>
      </c>
      <c r="O376" s="15">
        <v>287323.94366197177</v>
      </c>
      <c r="P376" s="16">
        <v>118309.8591549296</v>
      </c>
      <c r="Q376" s="17">
        <v>50704.225352112669</v>
      </c>
      <c r="R376" s="18" t="b">
        <v>1</v>
      </c>
      <c r="S376" s="18" t="b">
        <v>0</v>
      </c>
      <c r="T376" s="18" t="b">
        <v>0</v>
      </c>
      <c r="U376" s="14" t="s">
        <v>248</v>
      </c>
    </row>
    <row r="377" spans="1:21" x14ac:dyDescent="0.3">
      <c r="A377" s="14" t="s">
        <v>28</v>
      </c>
      <c r="B377" s="30" t="s">
        <v>661</v>
      </c>
      <c r="C377" s="22" t="s">
        <v>662</v>
      </c>
      <c r="D377" s="15">
        <v>0.2545</v>
      </c>
      <c r="E377" s="16">
        <v>9.0899999999999995E-2</v>
      </c>
      <c r="F377" s="17">
        <v>5.45E-2</v>
      </c>
      <c r="G377" s="18">
        <v>55</v>
      </c>
      <c r="H377" s="18">
        <v>1000000</v>
      </c>
      <c r="I377" s="18" t="b">
        <v>0</v>
      </c>
      <c r="J377" s="14" t="s">
        <v>244</v>
      </c>
      <c r="K377" s="15">
        <v>13</v>
      </c>
      <c r="L377" s="16">
        <v>4</v>
      </c>
      <c r="M377" s="17">
        <v>2</v>
      </c>
      <c r="N377" s="18">
        <v>18181.81818181818</v>
      </c>
      <c r="O377" s="15">
        <v>236363.63636363641</v>
      </c>
      <c r="P377" s="16">
        <v>72727.272727272721</v>
      </c>
      <c r="Q377" s="17">
        <v>36363.63636363636</v>
      </c>
      <c r="R377" s="18" t="b">
        <v>1</v>
      </c>
      <c r="S377" s="18" t="b">
        <v>0</v>
      </c>
      <c r="T377" s="18" t="b">
        <v>1</v>
      </c>
      <c r="U377" s="14" t="s">
        <v>248</v>
      </c>
    </row>
    <row r="378" spans="1:21" x14ac:dyDescent="0.3">
      <c r="A378" s="14" t="s">
        <v>28</v>
      </c>
      <c r="B378" s="14" t="s">
        <v>663</v>
      </c>
      <c r="C378" s="22"/>
      <c r="D378" s="15">
        <v>0.25530000000000003</v>
      </c>
      <c r="E378" s="16">
        <v>0.1176</v>
      </c>
      <c r="F378" s="17">
        <v>5.8799999999999998E-2</v>
      </c>
      <c r="G378" s="18">
        <v>17</v>
      </c>
      <c r="H378" s="18">
        <v>200000</v>
      </c>
      <c r="I378" s="18" t="b">
        <v>0</v>
      </c>
      <c r="J378" s="14" t="s">
        <v>244</v>
      </c>
      <c r="K378" s="15">
        <v>4</v>
      </c>
      <c r="L378" s="16">
        <v>1</v>
      </c>
      <c r="M378" s="17">
        <v>0</v>
      </c>
      <c r="N378" s="18">
        <v>11764.705882352941</v>
      </c>
      <c r="O378" s="15">
        <v>47058.823529411762</v>
      </c>
      <c r="P378" s="16">
        <v>11764.705882352941</v>
      </c>
      <c r="Q378" s="17">
        <v>0</v>
      </c>
      <c r="R378" s="18" t="b">
        <v>1</v>
      </c>
      <c r="S378" s="18" t="b">
        <v>1</v>
      </c>
      <c r="T378" s="18" t="b">
        <v>1</v>
      </c>
      <c r="U378" s="14" t="s">
        <v>248</v>
      </c>
    </row>
    <row r="379" spans="1:21" x14ac:dyDescent="0.3">
      <c r="A379" s="14" t="s">
        <v>28</v>
      </c>
      <c r="B379" s="19" t="s">
        <v>664</v>
      </c>
      <c r="C379" s="22" t="s">
        <v>254</v>
      </c>
      <c r="D379" s="15">
        <v>0.25640000000000002</v>
      </c>
      <c r="E379" s="16">
        <v>7.6899999999999996E-2</v>
      </c>
      <c r="F379" s="17">
        <v>5.1299999999999998E-2</v>
      </c>
      <c r="G379" s="18">
        <v>39</v>
      </c>
      <c r="H379" s="18">
        <v>900000</v>
      </c>
      <c r="I379" s="18" t="b">
        <v>0</v>
      </c>
      <c r="J379" s="14" t="s">
        <v>244</v>
      </c>
      <c r="K379" s="15">
        <v>9</v>
      </c>
      <c r="L379" s="16">
        <v>2</v>
      </c>
      <c r="M379" s="17">
        <v>2</v>
      </c>
      <c r="N379" s="18">
        <v>23076.923076923082</v>
      </c>
      <c r="O379" s="15">
        <v>207692.30769230769</v>
      </c>
      <c r="P379" s="16">
        <v>46153.846153846163</v>
      </c>
      <c r="Q379" s="17">
        <v>46153.846153846163</v>
      </c>
      <c r="R379" s="18" t="b">
        <v>1</v>
      </c>
      <c r="S379" s="18" t="b">
        <v>0</v>
      </c>
      <c r="T379" s="18" t="b">
        <v>1</v>
      </c>
      <c r="U379" s="14" t="s">
        <v>248</v>
      </c>
    </row>
    <row r="380" spans="1:21" x14ac:dyDescent="0.3">
      <c r="A380" s="14" t="s">
        <v>28</v>
      </c>
      <c r="B380" s="14" t="s">
        <v>665</v>
      </c>
      <c r="C380" s="22"/>
      <c r="D380" s="15">
        <v>0.25640000000000002</v>
      </c>
      <c r="E380" s="16">
        <v>0.1026</v>
      </c>
      <c r="F380" s="17">
        <v>7.6899999999999996E-2</v>
      </c>
      <c r="G380" s="18">
        <v>39</v>
      </c>
      <c r="H380" s="18">
        <v>900000</v>
      </c>
      <c r="I380" s="18" t="b">
        <v>0</v>
      </c>
      <c r="J380" s="14" t="s">
        <v>244</v>
      </c>
      <c r="K380" s="15">
        <v>9</v>
      </c>
      <c r="L380" s="16">
        <v>4</v>
      </c>
      <c r="M380" s="17">
        <v>2</v>
      </c>
      <c r="N380" s="18">
        <v>23076.923076923082</v>
      </c>
      <c r="O380" s="15">
        <v>207692.30769230769</v>
      </c>
      <c r="P380" s="16">
        <v>92307.692307692312</v>
      </c>
      <c r="Q380" s="17">
        <v>46153.846153846163</v>
      </c>
      <c r="R380" s="18" t="b">
        <v>1</v>
      </c>
      <c r="S380" s="18" t="b">
        <v>1</v>
      </c>
      <c r="T380" s="18" t="b">
        <v>1</v>
      </c>
      <c r="U380" s="14" t="s">
        <v>248</v>
      </c>
    </row>
    <row r="381" spans="1:21" x14ac:dyDescent="0.3">
      <c r="A381" s="14" t="s">
        <v>99</v>
      </c>
      <c r="B381" s="14" t="s">
        <v>666</v>
      </c>
      <c r="C381" s="22"/>
      <c r="D381" s="15">
        <v>0.25640000000000002</v>
      </c>
      <c r="E381" s="16">
        <v>0.1026</v>
      </c>
      <c r="F381" s="17">
        <v>5.1299999999999998E-2</v>
      </c>
      <c r="G381" s="18">
        <v>117</v>
      </c>
      <c r="H381" s="18">
        <v>2275000</v>
      </c>
      <c r="I381" s="18" t="b">
        <v>0</v>
      </c>
      <c r="J381" s="14" t="s">
        <v>244</v>
      </c>
      <c r="K381" s="15">
        <v>29</v>
      </c>
      <c r="L381" s="16">
        <v>12</v>
      </c>
      <c r="M381" s="17">
        <v>6</v>
      </c>
      <c r="N381" s="18">
        <v>19444.444444444449</v>
      </c>
      <c r="O381" s="15">
        <v>563888.88888888888</v>
      </c>
      <c r="P381" s="16">
        <v>233333.33333333331</v>
      </c>
      <c r="Q381" s="17">
        <v>116666.6666666667</v>
      </c>
      <c r="R381" s="18" t="b">
        <v>1</v>
      </c>
      <c r="S381" s="18" t="b">
        <v>1</v>
      </c>
      <c r="T381" s="18" t="b">
        <v>1</v>
      </c>
      <c r="U381" s="14" t="s">
        <v>383</v>
      </c>
    </row>
    <row r="382" spans="1:21" x14ac:dyDescent="0.3">
      <c r="A382" s="14" t="s">
        <v>283</v>
      </c>
      <c r="B382" s="14" t="s">
        <v>667</v>
      </c>
      <c r="C382" s="22"/>
      <c r="D382" s="15">
        <v>0.25650000000000001</v>
      </c>
      <c r="E382" s="16">
        <v>0.1017</v>
      </c>
      <c r="F382" s="17">
        <v>5.3100000000000001E-2</v>
      </c>
      <c r="G382" s="18">
        <v>659</v>
      </c>
      <c r="H382" s="18">
        <v>22220000</v>
      </c>
      <c r="I382" s="18" t="b">
        <v>0</v>
      </c>
      <c r="J382" s="14" t="s">
        <v>244</v>
      </c>
      <c r="K382" s="15">
        <v>169</v>
      </c>
      <c r="L382" s="16">
        <v>67</v>
      </c>
      <c r="M382" s="17">
        <v>34</v>
      </c>
      <c r="N382" s="18">
        <v>33717.754172989378</v>
      </c>
      <c r="O382" s="15">
        <v>5698300.4552352047</v>
      </c>
      <c r="P382" s="16">
        <v>2259089.5295902882</v>
      </c>
      <c r="Q382" s="17">
        <v>1146403.6418816389</v>
      </c>
      <c r="R382" s="18" t="b">
        <v>1</v>
      </c>
      <c r="S382" s="18" t="b">
        <v>1</v>
      </c>
      <c r="T382" s="18" t="b">
        <v>1</v>
      </c>
      <c r="U382" s="14" t="s">
        <v>248</v>
      </c>
    </row>
    <row r="383" spans="1:21" x14ac:dyDescent="0.3">
      <c r="A383" s="14" t="s">
        <v>28</v>
      </c>
      <c r="B383" s="14" t="s">
        <v>668</v>
      </c>
      <c r="C383" s="22"/>
      <c r="D383" s="15">
        <v>0.2571</v>
      </c>
      <c r="E383" s="16">
        <v>0.1</v>
      </c>
      <c r="F383" s="17">
        <v>7.1400000000000005E-2</v>
      </c>
      <c r="G383" s="18">
        <v>70</v>
      </c>
      <c r="H383" s="18">
        <v>1010000</v>
      </c>
      <c r="I383" s="18" t="b">
        <v>0</v>
      </c>
      <c r="J383" s="14" t="s">
        <v>244</v>
      </c>
      <c r="K383" s="15">
        <v>17</v>
      </c>
      <c r="L383" s="16">
        <v>7</v>
      </c>
      <c r="M383" s="17">
        <v>4</v>
      </c>
      <c r="N383" s="18">
        <v>14428.571428571429</v>
      </c>
      <c r="O383" s="15">
        <v>245285.71428571429</v>
      </c>
      <c r="P383" s="16">
        <v>101000</v>
      </c>
      <c r="Q383" s="17">
        <v>57714.285714285717</v>
      </c>
      <c r="R383" s="18" t="b">
        <v>1</v>
      </c>
      <c r="S383" s="18" t="b">
        <v>1</v>
      </c>
      <c r="T383" s="18" t="b">
        <v>1</v>
      </c>
      <c r="U383" s="14" t="s">
        <v>248</v>
      </c>
    </row>
    <row r="384" spans="1:21" x14ac:dyDescent="0.3">
      <c r="A384" s="14" t="s">
        <v>302</v>
      </c>
      <c r="B384" s="14" t="s">
        <v>669</v>
      </c>
      <c r="C384" s="22"/>
      <c r="D384" s="15">
        <v>0.2571</v>
      </c>
      <c r="E384" s="16">
        <v>0.1143</v>
      </c>
      <c r="F384" s="17">
        <v>8.5699999999999998E-2</v>
      </c>
      <c r="G384" s="18">
        <v>35</v>
      </c>
      <c r="H384" s="18">
        <v>2400000</v>
      </c>
      <c r="I384" s="18" t="b">
        <v>0</v>
      </c>
      <c r="J384" s="14" t="s">
        <v>244</v>
      </c>
      <c r="K384" s="15">
        <v>8</v>
      </c>
      <c r="L384" s="16">
        <v>4</v>
      </c>
      <c r="M384" s="17">
        <v>2</v>
      </c>
      <c r="N384" s="18">
        <v>68571.428571428565</v>
      </c>
      <c r="O384" s="15">
        <v>548571.42857142852</v>
      </c>
      <c r="P384" s="16">
        <v>274285.71428571432</v>
      </c>
      <c r="Q384" s="17">
        <v>137142.8571428571</v>
      </c>
      <c r="R384" s="18" t="b">
        <v>1</v>
      </c>
      <c r="S384" s="18" t="b">
        <v>1</v>
      </c>
      <c r="T384" s="18" t="b">
        <v>1</v>
      </c>
      <c r="U384" s="14" t="s">
        <v>248</v>
      </c>
    </row>
    <row r="385" spans="1:21" x14ac:dyDescent="0.3">
      <c r="A385" s="14" t="s">
        <v>49</v>
      </c>
      <c r="B385" s="14" t="s">
        <v>670</v>
      </c>
      <c r="C385" s="22"/>
      <c r="D385" s="15">
        <v>0.26</v>
      </c>
      <c r="E385" s="16">
        <v>0.12</v>
      </c>
      <c r="F385" s="17">
        <v>0.12</v>
      </c>
      <c r="G385" s="18">
        <v>42</v>
      </c>
      <c r="H385" s="18">
        <v>696000</v>
      </c>
      <c r="I385" s="18" t="b">
        <v>0</v>
      </c>
      <c r="J385" s="14" t="s">
        <v>244</v>
      </c>
      <c r="K385" s="15">
        <v>10</v>
      </c>
      <c r="L385" s="16">
        <v>5</v>
      </c>
      <c r="M385" s="17">
        <v>5</v>
      </c>
      <c r="N385" s="18">
        <v>16571.428571428569</v>
      </c>
      <c r="O385" s="15">
        <v>165714.28571428571</v>
      </c>
      <c r="P385" s="16">
        <v>82857.14285714287</v>
      </c>
      <c r="Q385" s="17">
        <v>82857.14285714287</v>
      </c>
      <c r="R385" s="18" t="b">
        <v>1</v>
      </c>
      <c r="S385" s="18" t="b">
        <v>1</v>
      </c>
      <c r="T385" s="18" t="b">
        <v>1</v>
      </c>
      <c r="U385" s="14" t="s">
        <v>383</v>
      </c>
    </row>
    <row r="386" spans="1:21" x14ac:dyDescent="0.3">
      <c r="A386" s="14" t="s">
        <v>28</v>
      </c>
      <c r="B386" s="14" t="s">
        <v>671</v>
      </c>
      <c r="C386" s="22"/>
      <c r="D386" s="15">
        <v>0.26</v>
      </c>
      <c r="E386" s="16">
        <v>0.1</v>
      </c>
      <c r="F386" s="17">
        <v>0.06</v>
      </c>
      <c r="G386" s="18">
        <v>50</v>
      </c>
      <c r="H386" s="18">
        <v>300000</v>
      </c>
      <c r="I386" s="18" t="b">
        <v>0</v>
      </c>
      <c r="J386" s="14" t="s">
        <v>244</v>
      </c>
      <c r="K386" s="15">
        <v>13</v>
      </c>
      <c r="L386" s="16">
        <v>5</v>
      </c>
      <c r="M386" s="17">
        <v>3</v>
      </c>
      <c r="N386" s="18">
        <v>6000</v>
      </c>
      <c r="O386" s="15">
        <v>78000</v>
      </c>
      <c r="P386" s="16">
        <v>30000</v>
      </c>
      <c r="Q386" s="17">
        <v>18000</v>
      </c>
      <c r="R386" s="18" t="b">
        <v>1</v>
      </c>
      <c r="S386" s="18" t="b">
        <v>1</v>
      </c>
      <c r="T386" s="18" t="b">
        <v>1</v>
      </c>
      <c r="U386" s="14" t="s">
        <v>253</v>
      </c>
    </row>
    <row r="387" spans="1:21" x14ac:dyDescent="0.3">
      <c r="A387" s="14" t="s">
        <v>144</v>
      </c>
      <c r="B387" s="14" t="s">
        <v>672</v>
      </c>
      <c r="C387" s="22"/>
      <c r="D387" s="15">
        <v>0.26</v>
      </c>
      <c r="E387" s="16">
        <v>0.1</v>
      </c>
      <c r="F387" s="17">
        <v>0.04</v>
      </c>
      <c r="G387" s="18">
        <v>50</v>
      </c>
      <c r="H387" s="18">
        <v>500000</v>
      </c>
      <c r="I387" s="18" t="b">
        <v>1</v>
      </c>
      <c r="J387" s="14" t="s">
        <v>244</v>
      </c>
      <c r="K387" s="15">
        <v>13</v>
      </c>
      <c r="L387" s="16">
        <v>5</v>
      </c>
      <c r="M387" s="17">
        <v>2</v>
      </c>
      <c r="N387" s="18">
        <v>10000</v>
      </c>
      <c r="O387" s="15">
        <v>130000</v>
      </c>
      <c r="P387" s="16">
        <v>50000</v>
      </c>
      <c r="Q387" s="17">
        <v>20000</v>
      </c>
      <c r="R387" s="18" t="b">
        <v>1</v>
      </c>
      <c r="S387" s="18" t="b">
        <v>1</v>
      </c>
      <c r="T387" s="18" t="b">
        <v>0</v>
      </c>
      <c r="U387" s="14" t="s">
        <v>253</v>
      </c>
    </row>
    <row r="388" spans="1:21" x14ac:dyDescent="0.3">
      <c r="A388" s="14" t="s">
        <v>551</v>
      </c>
      <c r="B388" s="14" t="s">
        <v>673</v>
      </c>
      <c r="C388" s="22"/>
      <c r="D388" s="15">
        <v>0.26</v>
      </c>
      <c r="E388" s="16">
        <v>0.1</v>
      </c>
      <c r="F388" s="17">
        <v>0.06</v>
      </c>
      <c r="G388" s="18">
        <v>50</v>
      </c>
      <c r="H388" s="18">
        <v>2004628.5</v>
      </c>
      <c r="I388" s="18" t="b">
        <v>0</v>
      </c>
      <c r="J388" s="14" t="s">
        <v>256</v>
      </c>
      <c r="K388" s="15">
        <v>13</v>
      </c>
      <c r="L388" s="16">
        <v>5</v>
      </c>
      <c r="M388" s="17">
        <v>3</v>
      </c>
      <c r="N388" s="18">
        <v>40092.57</v>
      </c>
      <c r="O388" s="15">
        <v>521203.41</v>
      </c>
      <c r="P388" s="16">
        <v>200462.85</v>
      </c>
      <c r="Q388" s="17">
        <v>120277.71</v>
      </c>
      <c r="R388" s="18" t="b">
        <v>1</v>
      </c>
      <c r="S388" s="18" t="b">
        <v>1</v>
      </c>
      <c r="T388" s="18" t="b">
        <v>1</v>
      </c>
      <c r="U388" s="14" t="s">
        <v>248</v>
      </c>
    </row>
    <row r="389" spans="1:21" x14ac:dyDescent="0.3">
      <c r="A389" s="14" t="s">
        <v>278</v>
      </c>
      <c r="B389" s="14" t="s">
        <v>674</v>
      </c>
      <c r="C389" s="22"/>
      <c r="D389" s="15">
        <v>0.26</v>
      </c>
      <c r="E389" s="16">
        <v>0.13</v>
      </c>
      <c r="F389" s="17">
        <v>0.06</v>
      </c>
      <c r="G389" s="18">
        <v>15</v>
      </c>
      <c r="H389" s="18">
        <v>200000</v>
      </c>
      <c r="I389" s="18" t="b">
        <v>0</v>
      </c>
      <c r="J389" s="14" t="s">
        <v>256</v>
      </c>
      <c r="K389" s="15">
        <v>3</v>
      </c>
      <c r="L389" s="16">
        <v>1</v>
      </c>
      <c r="M389" s="17">
        <v>0</v>
      </c>
      <c r="N389" s="18">
        <v>13333.33333333333</v>
      </c>
      <c r="O389" s="15">
        <v>40000</v>
      </c>
      <c r="P389" s="16">
        <v>13333.33333333333</v>
      </c>
      <c r="Q389" s="17">
        <v>0</v>
      </c>
      <c r="R389" s="18" t="b">
        <v>1</v>
      </c>
      <c r="S389" s="18" t="b">
        <v>1</v>
      </c>
      <c r="T389" s="18" t="b">
        <v>1</v>
      </c>
      <c r="U389" s="14" t="s">
        <v>383</v>
      </c>
    </row>
    <row r="390" spans="1:21" x14ac:dyDescent="0.3">
      <c r="A390" s="14" t="s">
        <v>278</v>
      </c>
      <c r="B390" s="14" t="s">
        <v>675</v>
      </c>
      <c r="C390" s="22"/>
      <c r="D390" s="15">
        <v>0.26</v>
      </c>
      <c r="E390" s="16">
        <v>0.1</v>
      </c>
      <c r="F390" s="17">
        <v>0.06</v>
      </c>
      <c r="G390" s="18">
        <v>30</v>
      </c>
      <c r="H390" s="18">
        <v>240000</v>
      </c>
      <c r="I390" s="18" t="b">
        <v>0</v>
      </c>
      <c r="J390" s="14" t="s">
        <v>256</v>
      </c>
      <c r="K390" s="15">
        <v>7</v>
      </c>
      <c r="L390" s="16">
        <v>3</v>
      </c>
      <c r="M390" s="17">
        <v>1</v>
      </c>
      <c r="N390" s="18">
        <v>8000</v>
      </c>
      <c r="O390" s="15">
        <v>56000</v>
      </c>
      <c r="P390" s="16">
        <v>24000</v>
      </c>
      <c r="Q390" s="17">
        <v>8000</v>
      </c>
      <c r="R390" s="18" t="b">
        <v>1</v>
      </c>
      <c r="S390" s="18" t="b">
        <v>1</v>
      </c>
      <c r="T390" s="18" t="b">
        <v>1</v>
      </c>
      <c r="U390" s="14" t="s">
        <v>253</v>
      </c>
    </row>
    <row r="391" spans="1:21" x14ac:dyDescent="0.3">
      <c r="A391" s="14" t="s">
        <v>588</v>
      </c>
      <c r="B391" s="14" t="s">
        <v>676</v>
      </c>
      <c r="C391" s="22"/>
      <c r="D391" s="15">
        <v>0.26</v>
      </c>
      <c r="E391" s="16">
        <v>0.1</v>
      </c>
      <c r="F391" s="17">
        <v>0.08</v>
      </c>
      <c r="G391" s="18">
        <v>51</v>
      </c>
      <c r="H391" s="18">
        <v>745000</v>
      </c>
      <c r="I391" s="18" t="b">
        <v>0</v>
      </c>
      <c r="J391" s="14" t="s">
        <v>256</v>
      </c>
      <c r="K391" s="15">
        <v>13</v>
      </c>
      <c r="L391" s="16">
        <v>5</v>
      </c>
      <c r="M391" s="17">
        <v>4</v>
      </c>
      <c r="N391" s="18">
        <v>14607.8431372549</v>
      </c>
      <c r="O391" s="15">
        <v>189901.96078431371</v>
      </c>
      <c r="P391" s="16">
        <v>73039.215686274518</v>
      </c>
      <c r="Q391" s="17">
        <v>58431.372549019608</v>
      </c>
      <c r="R391" s="18" t="b">
        <v>1</v>
      </c>
      <c r="S391" s="18" t="b">
        <v>1</v>
      </c>
      <c r="T391" s="18" t="b">
        <v>1</v>
      </c>
      <c r="U391" s="14" t="s">
        <v>248</v>
      </c>
    </row>
    <row r="392" spans="1:21" x14ac:dyDescent="0.3">
      <c r="A392" s="14" t="s">
        <v>49</v>
      </c>
      <c r="B392" s="14" t="s">
        <v>677</v>
      </c>
      <c r="C392" s="22"/>
      <c r="D392" s="15">
        <v>0.26229999999999998</v>
      </c>
      <c r="E392" s="16">
        <v>0.14749999999999999</v>
      </c>
      <c r="F392" s="17">
        <v>0.1148</v>
      </c>
      <c r="G392" s="18">
        <v>61</v>
      </c>
      <c r="H392" s="18">
        <v>1098000</v>
      </c>
      <c r="I392" s="18" t="b">
        <v>0</v>
      </c>
      <c r="J392" s="14" t="s">
        <v>244</v>
      </c>
      <c r="K392" s="15">
        <v>16</v>
      </c>
      <c r="L392" s="16">
        <v>8</v>
      </c>
      <c r="M392" s="17">
        <v>7</v>
      </c>
      <c r="N392" s="18">
        <v>18000</v>
      </c>
      <c r="O392" s="15">
        <v>288000</v>
      </c>
      <c r="P392" s="16">
        <v>144000</v>
      </c>
      <c r="Q392" s="17">
        <v>126000</v>
      </c>
      <c r="R392" s="18" t="b">
        <v>1</v>
      </c>
      <c r="S392" s="18" t="b">
        <v>1</v>
      </c>
      <c r="T392" s="18" t="b">
        <v>1</v>
      </c>
      <c r="U392" s="14" t="s">
        <v>257</v>
      </c>
    </row>
    <row r="393" spans="1:21" x14ac:dyDescent="0.3">
      <c r="A393" s="14" t="s">
        <v>28</v>
      </c>
      <c r="B393" s="14" t="s">
        <v>678</v>
      </c>
      <c r="C393" s="22"/>
      <c r="D393" s="15">
        <v>0.26319999999999999</v>
      </c>
      <c r="E393" s="16">
        <v>0.1053</v>
      </c>
      <c r="F393" s="17">
        <v>7.0199999999999999E-2</v>
      </c>
      <c r="G393" s="18">
        <v>57</v>
      </c>
      <c r="H393" s="18">
        <v>400000</v>
      </c>
      <c r="I393" s="18" t="b">
        <v>0</v>
      </c>
      <c r="J393" s="14" t="s">
        <v>244</v>
      </c>
      <c r="K393" s="15">
        <v>15</v>
      </c>
      <c r="L393" s="16">
        <v>6</v>
      </c>
      <c r="M393" s="17">
        <v>4</v>
      </c>
      <c r="N393" s="18">
        <v>7017.5438596491231</v>
      </c>
      <c r="O393" s="15">
        <v>105263.1578947368</v>
      </c>
      <c r="P393" s="16">
        <v>42105.26315789474</v>
      </c>
      <c r="Q393" s="17">
        <v>28070.175438596489</v>
      </c>
      <c r="R393" s="18" t="b">
        <v>1</v>
      </c>
      <c r="S393" s="18" t="b">
        <v>1</v>
      </c>
      <c r="T393" s="18" t="b">
        <v>1</v>
      </c>
      <c r="U393" s="14" t="s">
        <v>248</v>
      </c>
    </row>
    <row r="394" spans="1:21" x14ac:dyDescent="0.3">
      <c r="A394" s="14" t="s">
        <v>139</v>
      </c>
      <c r="B394" s="14" t="s">
        <v>679</v>
      </c>
      <c r="C394" s="22"/>
      <c r="D394" s="15">
        <v>0.26319999999999999</v>
      </c>
      <c r="E394" s="16">
        <v>0.1053</v>
      </c>
      <c r="F394" s="17">
        <v>5.2600000000000001E-2</v>
      </c>
      <c r="G394" s="18">
        <v>38</v>
      </c>
      <c r="H394" s="18">
        <v>4100000</v>
      </c>
      <c r="I394" s="18" t="b">
        <v>0</v>
      </c>
      <c r="J394" s="14" t="s">
        <v>244</v>
      </c>
      <c r="K394" s="15">
        <v>10</v>
      </c>
      <c r="L394" s="16">
        <v>4</v>
      </c>
      <c r="M394" s="17">
        <v>1</v>
      </c>
      <c r="N394" s="18">
        <v>107894.7368421053</v>
      </c>
      <c r="O394" s="15">
        <v>1078947.368421053</v>
      </c>
      <c r="P394" s="16">
        <v>431578.94736842113</v>
      </c>
      <c r="Q394" s="17">
        <v>107894.7368421053</v>
      </c>
      <c r="R394" s="18" t="b">
        <v>1</v>
      </c>
      <c r="S394" s="18" t="b">
        <v>1</v>
      </c>
      <c r="T394" s="18" t="b">
        <v>1</v>
      </c>
      <c r="U394" s="14" t="s">
        <v>248</v>
      </c>
    </row>
    <row r="395" spans="1:21" x14ac:dyDescent="0.3">
      <c r="A395" s="14" t="s">
        <v>28</v>
      </c>
      <c r="B395" s="14" t="s">
        <v>680</v>
      </c>
      <c r="C395" s="22"/>
      <c r="D395" s="15">
        <v>0.26669999999999999</v>
      </c>
      <c r="E395" s="16">
        <v>0.1</v>
      </c>
      <c r="F395" s="17">
        <v>6.6699999999999995E-2</v>
      </c>
      <c r="G395" s="18">
        <v>90</v>
      </c>
      <c r="H395" s="18">
        <v>1800000</v>
      </c>
      <c r="I395" s="18" t="b">
        <v>0</v>
      </c>
      <c r="J395" s="14" t="s">
        <v>244</v>
      </c>
      <c r="K395" s="15">
        <v>24</v>
      </c>
      <c r="L395" s="16">
        <v>9</v>
      </c>
      <c r="M395" s="17">
        <v>6</v>
      </c>
      <c r="N395" s="18">
        <v>20000</v>
      </c>
      <c r="O395" s="15">
        <v>480000</v>
      </c>
      <c r="P395" s="16">
        <v>180000</v>
      </c>
      <c r="Q395" s="17">
        <v>120000</v>
      </c>
      <c r="R395" s="18" t="b">
        <v>1</v>
      </c>
      <c r="S395" s="18" t="b">
        <v>1</v>
      </c>
      <c r="T395" s="18" t="b">
        <v>1</v>
      </c>
      <c r="U395" s="14" t="s">
        <v>248</v>
      </c>
    </row>
    <row r="396" spans="1:21" x14ac:dyDescent="0.3">
      <c r="A396" s="14" t="s">
        <v>293</v>
      </c>
      <c r="B396" s="14" t="s">
        <v>681</v>
      </c>
      <c r="C396" s="22"/>
      <c r="D396" s="15">
        <v>0.26829999999999998</v>
      </c>
      <c r="E396" s="16">
        <v>9.7600000000000006E-2</v>
      </c>
      <c r="F396" s="17">
        <v>4.8800000000000003E-2</v>
      </c>
      <c r="G396" s="18">
        <v>82</v>
      </c>
      <c r="H396" s="18">
        <v>3150000</v>
      </c>
      <c r="I396" s="18" t="b">
        <v>0</v>
      </c>
      <c r="J396" s="14" t="s">
        <v>244</v>
      </c>
      <c r="K396" s="15">
        <v>22</v>
      </c>
      <c r="L396" s="16">
        <v>8</v>
      </c>
      <c r="M396" s="17">
        <v>4</v>
      </c>
      <c r="N396" s="18">
        <v>38414.634146341457</v>
      </c>
      <c r="O396" s="15">
        <v>845121.95121951227</v>
      </c>
      <c r="P396" s="16">
        <v>307317.07317073172</v>
      </c>
      <c r="Q396" s="17">
        <v>153658.53658536589</v>
      </c>
      <c r="R396" s="18" t="b">
        <v>1</v>
      </c>
      <c r="S396" s="18" t="b">
        <v>0</v>
      </c>
      <c r="T396" s="18" t="b">
        <v>0</v>
      </c>
      <c r="U396" s="14" t="s">
        <v>245</v>
      </c>
    </row>
    <row r="397" spans="1:21" x14ac:dyDescent="0.3">
      <c r="A397" s="14" t="s">
        <v>49</v>
      </c>
      <c r="B397" s="14" t="s">
        <v>682</v>
      </c>
      <c r="C397" s="22"/>
      <c r="D397" s="15">
        <v>0.27800000000000002</v>
      </c>
      <c r="E397" s="16">
        <v>0.111</v>
      </c>
      <c r="F397" s="17">
        <v>5.6000000000000001E-2</v>
      </c>
      <c r="G397" s="18">
        <v>18</v>
      </c>
      <c r="H397" s="18">
        <v>300000</v>
      </c>
      <c r="I397" s="18" t="b">
        <v>0</v>
      </c>
      <c r="J397" s="14" t="s">
        <v>244</v>
      </c>
      <c r="K397" s="15">
        <v>5</v>
      </c>
      <c r="L397" s="16">
        <v>1</v>
      </c>
      <c r="M397" s="17">
        <v>1</v>
      </c>
      <c r="N397" s="18">
        <v>16666.666666666672</v>
      </c>
      <c r="O397" s="15">
        <v>83333.333333333343</v>
      </c>
      <c r="P397" s="16">
        <v>16666.666666666672</v>
      </c>
      <c r="Q397" s="17">
        <v>16666.666666666672</v>
      </c>
      <c r="R397" s="18" t="b">
        <v>1</v>
      </c>
      <c r="S397" s="18" t="b">
        <v>1</v>
      </c>
      <c r="T397" s="18" t="b">
        <v>1</v>
      </c>
      <c r="U397" s="14" t="s">
        <v>248</v>
      </c>
    </row>
    <row r="398" spans="1:21" x14ac:dyDescent="0.3">
      <c r="A398" s="14" t="s">
        <v>28</v>
      </c>
      <c r="B398" s="14" t="s">
        <v>683</v>
      </c>
      <c r="C398" s="22"/>
      <c r="D398" s="15">
        <v>0.28000000000000003</v>
      </c>
      <c r="E398" s="16">
        <v>0.125</v>
      </c>
      <c r="F398" s="17">
        <v>0.1</v>
      </c>
      <c r="G398" s="18">
        <v>50</v>
      </c>
      <c r="H398" s="18">
        <v>900000</v>
      </c>
      <c r="I398" s="18" t="b">
        <v>0</v>
      </c>
      <c r="J398" s="14" t="s">
        <v>244</v>
      </c>
      <c r="K398" s="15">
        <v>14</v>
      </c>
      <c r="L398" s="16">
        <v>6</v>
      </c>
      <c r="M398" s="17">
        <v>5</v>
      </c>
      <c r="N398" s="18">
        <v>18000</v>
      </c>
      <c r="O398" s="15">
        <v>252000</v>
      </c>
      <c r="P398" s="16">
        <v>108000</v>
      </c>
      <c r="Q398" s="17">
        <v>90000</v>
      </c>
      <c r="R398" s="18" t="b">
        <v>1</v>
      </c>
      <c r="S398" s="18" t="b">
        <v>1</v>
      </c>
      <c r="T398" s="18" t="b">
        <v>1</v>
      </c>
      <c r="U398" s="14" t="s">
        <v>248</v>
      </c>
    </row>
    <row r="399" spans="1:21" x14ac:dyDescent="0.3">
      <c r="A399" s="14" t="s">
        <v>44</v>
      </c>
      <c r="B399" s="14" t="s">
        <v>684</v>
      </c>
      <c r="C399" s="22"/>
      <c r="D399" s="15">
        <v>0.28000000000000003</v>
      </c>
      <c r="E399" s="16">
        <v>0.28000000000000003</v>
      </c>
      <c r="F399" s="17">
        <v>7.0000000000000007E-2</v>
      </c>
      <c r="G399" s="18">
        <v>14</v>
      </c>
      <c r="H399" s="18">
        <v>420000</v>
      </c>
      <c r="I399" s="18" t="b">
        <v>1</v>
      </c>
      <c r="J399" s="14" t="s">
        <v>244</v>
      </c>
      <c r="K399" s="15">
        <v>3</v>
      </c>
      <c r="L399" s="16">
        <v>3</v>
      </c>
      <c r="M399" s="17">
        <v>0</v>
      </c>
      <c r="N399" s="18">
        <v>30000</v>
      </c>
      <c r="O399" s="15">
        <v>90000</v>
      </c>
      <c r="P399" s="16">
        <v>90000</v>
      </c>
      <c r="Q399" s="17">
        <v>0</v>
      </c>
      <c r="R399" s="18" t="b">
        <v>1</v>
      </c>
      <c r="S399" s="18" t="b">
        <v>1</v>
      </c>
      <c r="T399" s="18" t="b">
        <v>1</v>
      </c>
      <c r="U399" s="14" t="s">
        <v>245</v>
      </c>
    </row>
    <row r="400" spans="1:21" x14ac:dyDescent="0.3">
      <c r="A400" s="14" t="s">
        <v>588</v>
      </c>
      <c r="B400" s="14" t="s">
        <v>685</v>
      </c>
      <c r="C400" s="22"/>
      <c r="D400" s="15">
        <v>0.28000000000000003</v>
      </c>
      <c r="E400" s="16">
        <v>0.1</v>
      </c>
      <c r="F400" s="17">
        <v>0.09</v>
      </c>
      <c r="G400" s="18">
        <v>46</v>
      </c>
      <c r="H400" s="18">
        <v>733500</v>
      </c>
      <c r="I400" s="18" t="b">
        <v>0</v>
      </c>
      <c r="J400" s="14" t="s">
        <v>256</v>
      </c>
      <c r="K400" s="15">
        <v>12</v>
      </c>
      <c r="L400" s="16">
        <v>4</v>
      </c>
      <c r="M400" s="17">
        <v>4</v>
      </c>
      <c r="N400" s="18">
        <v>15945.65217391304</v>
      </c>
      <c r="O400" s="15">
        <v>191347.82608695651</v>
      </c>
      <c r="P400" s="16">
        <v>63782.608695652183</v>
      </c>
      <c r="Q400" s="17">
        <v>63782.608695652183</v>
      </c>
      <c r="R400" s="18" t="b">
        <v>1</v>
      </c>
      <c r="S400" s="18" t="b">
        <v>1</v>
      </c>
      <c r="T400" s="18" t="b">
        <v>1</v>
      </c>
      <c r="U400" s="14" t="s">
        <v>248</v>
      </c>
    </row>
    <row r="401" spans="1:21" x14ac:dyDescent="0.3">
      <c r="A401" s="14" t="s">
        <v>49</v>
      </c>
      <c r="B401" s="14" t="s">
        <v>686</v>
      </c>
      <c r="C401" s="22"/>
      <c r="D401" s="15">
        <v>0.28570000000000001</v>
      </c>
      <c r="E401" s="16">
        <v>0.1429</v>
      </c>
      <c r="F401" s="17">
        <v>0.1429</v>
      </c>
      <c r="G401" s="18">
        <v>42</v>
      </c>
      <c r="H401" s="18">
        <v>1470000</v>
      </c>
      <c r="I401" s="18" t="b">
        <v>0</v>
      </c>
      <c r="J401" s="14" t="s">
        <v>244</v>
      </c>
      <c r="K401" s="15">
        <v>11</v>
      </c>
      <c r="L401" s="16">
        <v>6</v>
      </c>
      <c r="M401" s="17">
        <v>6</v>
      </c>
      <c r="N401" s="18">
        <v>35000</v>
      </c>
      <c r="O401" s="15">
        <v>385000</v>
      </c>
      <c r="P401" s="16">
        <v>210000</v>
      </c>
      <c r="Q401" s="17">
        <v>210000</v>
      </c>
      <c r="R401" s="18" t="b">
        <v>1</v>
      </c>
      <c r="S401" s="18" t="b">
        <v>1</v>
      </c>
      <c r="T401" s="18" t="b">
        <v>1</v>
      </c>
      <c r="U401" s="14" t="s">
        <v>245</v>
      </c>
    </row>
    <row r="402" spans="1:21" x14ac:dyDescent="0.3">
      <c r="A402" s="14" t="s">
        <v>104</v>
      </c>
      <c r="B402" s="14" t="s">
        <v>687</v>
      </c>
      <c r="C402" s="22"/>
      <c r="D402" s="15">
        <v>0.3</v>
      </c>
      <c r="E402" s="16">
        <v>0.1</v>
      </c>
      <c r="F402" s="17">
        <v>0.1</v>
      </c>
      <c r="G402" s="18">
        <v>50</v>
      </c>
      <c r="H402" s="18">
        <v>1957000</v>
      </c>
      <c r="I402" s="18" t="b">
        <v>0</v>
      </c>
      <c r="J402" s="14" t="s">
        <v>244</v>
      </c>
      <c r="K402" s="15">
        <v>15</v>
      </c>
      <c r="L402" s="16">
        <v>5</v>
      </c>
      <c r="M402" s="17">
        <v>5</v>
      </c>
      <c r="N402" s="18">
        <v>39140</v>
      </c>
      <c r="O402" s="15">
        <v>587100</v>
      </c>
      <c r="P402" s="16">
        <v>195700</v>
      </c>
      <c r="Q402" s="17">
        <v>195700</v>
      </c>
      <c r="R402" s="18" t="b">
        <v>1</v>
      </c>
      <c r="S402" s="18" t="b">
        <v>1</v>
      </c>
      <c r="T402" s="18" t="b">
        <v>1</v>
      </c>
      <c r="U402" s="14" t="s">
        <v>245</v>
      </c>
    </row>
    <row r="403" spans="1:21" x14ac:dyDescent="0.3">
      <c r="A403" s="14" t="s">
        <v>588</v>
      </c>
      <c r="B403" s="14" t="s">
        <v>688</v>
      </c>
      <c r="C403" s="22"/>
      <c r="D403" s="15">
        <v>0.3</v>
      </c>
      <c r="E403" s="16">
        <v>0.1</v>
      </c>
      <c r="F403" s="17">
        <v>0.1</v>
      </c>
      <c r="G403" s="18">
        <v>20</v>
      </c>
      <c r="H403" s="18">
        <v>462000</v>
      </c>
      <c r="I403" s="18" t="b">
        <v>0</v>
      </c>
      <c r="J403" s="14" t="s">
        <v>256</v>
      </c>
      <c r="K403" s="15">
        <v>6</v>
      </c>
      <c r="L403" s="16">
        <v>2</v>
      </c>
      <c r="M403" s="17">
        <v>2</v>
      </c>
      <c r="N403" s="18">
        <v>23100</v>
      </c>
      <c r="O403" s="15">
        <v>138600</v>
      </c>
      <c r="P403" s="16">
        <v>46200</v>
      </c>
      <c r="Q403" s="17">
        <v>46200</v>
      </c>
      <c r="R403" s="18" t="b">
        <v>1</v>
      </c>
      <c r="S403" s="18" t="b">
        <v>1</v>
      </c>
      <c r="T403" s="18" t="b">
        <v>1</v>
      </c>
      <c r="U403" s="14" t="s">
        <v>248</v>
      </c>
    </row>
    <row r="404" spans="1:21" x14ac:dyDescent="0.3">
      <c r="A404" s="14" t="s">
        <v>689</v>
      </c>
      <c r="B404" s="14" t="s">
        <v>690</v>
      </c>
      <c r="C404" s="22"/>
      <c r="D404" s="15">
        <v>0.3</v>
      </c>
      <c r="E404" s="16">
        <v>0.1</v>
      </c>
      <c r="F404" s="17">
        <v>0.05</v>
      </c>
      <c r="G404" s="18">
        <v>10</v>
      </c>
      <c r="H404" s="18">
        <v>500000</v>
      </c>
      <c r="I404" s="18" t="b">
        <v>0</v>
      </c>
      <c r="J404" s="14" t="s">
        <v>256</v>
      </c>
      <c r="K404" s="15">
        <v>3</v>
      </c>
      <c r="L404" s="16">
        <v>1</v>
      </c>
      <c r="M404" s="17">
        <v>0</v>
      </c>
      <c r="N404" s="18">
        <v>50000</v>
      </c>
      <c r="O404" s="15">
        <v>150000</v>
      </c>
      <c r="P404" s="16">
        <v>50000</v>
      </c>
      <c r="Q404" s="17">
        <v>0</v>
      </c>
      <c r="R404" s="18" t="b">
        <v>1</v>
      </c>
      <c r="S404" s="18" t="b">
        <v>1</v>
      </c>
      <c r="T404" s="18" t="b">
        <v>1</v>
      </c>
      <c r="U404" s="14" t="s">
        <v>248</v>
      </c>
    </row>
    <row r="405" spans="1:21" x14ac:dyDescent="0.3">
      <c r="A405" s="14" t="s">
        <v>689</v>
      </c>
      <c r="B405" s="14" t="s">
        <v>691</v>
      </c>
      <c r="C405" s="22"/>
      <c r="D405" s="15">
        <v>0.3</v>
      </c>
      <c r="E405" s="16">
        <v>0.1</v>
      </c>
      <c r="F405" s="17">
        <v>0.05</v>
      </c>
      <c r="G405" s="18"/>
      <c r="H405" s="18">
        <v>2099141.2999999998</v>
      </c>
      <c r="I405" s="18" t="b">
        <v>0</v>
      </c>
      <c r="J405" s="14" t="s">
        <v>256</v>
      </c>
      <c r="K405" s="15"/>
      <c r="L405" s="16"/>
      <c r="M405" s="17"/>
      <c r="N405" s="18"/>
      <c r="O405" s="15"/>
      <c r="P405" s="16"/>
      <c r="Q405" s="17"/>
      <c r="R405" s="18" t="b">
        <v>1</v>
      </c>
      <c r="S405" s="18" t="b">
        <v>1</v>
      </c>
      <c r="T405" s="18" t="b">
        <v>1</v>
      </c>
      <c r="U405" s="14" t="s">
        <v>248</v>
      </c>
    </row>
    <row r="406" spans="1:21" x14ac:dyDescent="0.3">
      <c r="A406" s="14" t="s">
        <v>689</v>
      </c>
      <c r="B406" s="14" t="s">
        <v>692</v>
      </c>
      <c r="C406" s="22"/>
      <c r="D406" s="15">
        <v>0.3</v>
      </c>
      <c r="E406" s="16">
        <v>0.1</v>
      </c>
      <c r="F406" s="17">
        <v>0.05</v>
      </c>
      <c r="G406" s="18"/>
      <c r="H406" s="18">
        <v>2800000</v>
      </c>
      <c r="I406" s="18" t="b">
        <v>0</v>
      </c>
      <c r="J406" s="14" t="s">
        <v>256</v>
      </c>
      <c r="K406" s="15"/>
      <c r="L406" s="16"/>
      <c r="M406" s="17"/>
      <c r="N406" s="18"/>
      <c r="O406" s="15"/>
      <c r="P406" s="16"/>
      <c r="Q406" s="17"/>
      <c r="R406" s="18" t="b">
        <v>1</v>
      </c>
      <c r="S406" s="18" t="b">
        <v>1</v>
      </c>
      <c r="T406" s="18" t="b">
        <v>1</v>
      </c>
      <c r="U406" s="14" t="s">
        <v>245</v>
      </c>
    </row>
    <row r="407" spans="1:21" x14ac:dyDescent="0.3">
      <c r="A407" s="14" t="s">
        <v>689</v>
      </c>
      <c r="B407" s="14" t="s">
        <v>693</v>
      </c>
      <c r="C407" s="22"/>
      <c r="D407" s="15">
        <v>0.3</v>
      </c>
      <c r="E407" s="16">
        <v>0.1</v>
      </c>
      <c r="F407" s="17">
        <v>0.05</v>
      </c>
      <c r="G407" s="18"/>
      <c r="H407" s="18">
        <v>4747853.3</v>
      </c>
      <c r="I407" s="18" t="b">
        <v>0</v>
      </c>
      <c r="J407" s="14" t="s">
        <v>256</v>
      </c>
      <c r="K407" s="15"/>
      <c r="L407" s="16"/>
      <c r="M407" s="17"/>
      <c r="N407" s="18"/>
      <c r="O407" s="15"/>
      <c r="P407" s="16"/>
      <c r="Q407" s="17"/>
      <c r="R407" s="18" t="b">
        <v>1</v>
      </c>
      <c r="S407" s="18" t="b">
        <v>1</v>
      </c>
      <c r="T407" s="18" t="b">
        <v>1</v>
      </c>
      <c r="U407" s="14" t="s">
        <v>248</v>
      </c>
    </row>
    <row r="408" spans="1:21" x14ac:dyDescent="0.3">
      <c r="A408" s="14" t="s">
        <v>211</v>
      </c>
      <c r="B408" s="14" t="s">
        <v>694</v>
      </c>
      <c r="C408" s="22"/>
      <c r="D408" s="15">
        <v>0.3</v>
      </c>
      <c r="E408" s="16">
        <v>0.1</v>
      </c>
      <c r="F408" s="17">
        <v>0.1</v>
      </c>
      <c r="G408" s="18">
        <v>20</v>
      </c>
      <c r="H408" s="18">
        <v>425000</v>
      </c>
      <c r="I408" s="18" t="b">
        <v>1</v>
      </c>
      <c r="J408" s="14" t="s">
        <v>256</v>
      </c>
      <c r="K408" s="15">
        <v>6</v>
      </c>
      <c r="L408" s="16">
        <v>2</v>
      </c>
      <c r="M408" s="17">
        <v>2</v>
      </c>
      <c r="N408" s="18">
        <v>21250</v>
      </c>
      <c r="O408" s="15">
        <v>127500</v>
      </c>
      <c r="P408" s="16">
        <v>42500</v>
      </c>
      <c r="Q408" s="17">
        <v>42500</v>
      </c>
      <c r="R408" s="18" t="b">
        <v>1</v>
      </c>
      <c r="S408" s="18" t="b">
        <v>1</v>
      </c>
      <c r="T408" s="18" t="b">
        <v>1</v>
      </c>
      <c r="U408" s="14" t="s">
        <v>248</v>
      </c>
    </row>
    <row r="409" spans="1:21" x14ac:dyDescent="0.3">
      <c r="A409" s="14" t="s">
        <v>49</v>
      </c>
      <c r="B409" s="14" t="s">
        <v>695</v>
      </c>
      <c r="C409" s="22"/>
      <c r="D409" s="15">
        <v>0.307</v>
      </c>
      <c r="E409" s="16">
        <v>0.15379999999999999</v>
      </c>
      <c r="F409" s="17">
        <v>7.6899999999999996E-2</v>
      </c>
      <c r="G409" s="18">
        <v>13</v>
      </c>
      <c r="H409" s="18">
        <v>2500000</v>
      </c>
      <c r="I409" s="18" t="b">
        <v>0</v>
      </c>
      <c r="J409" s="14" t="s">
        <v>244</v>
      </c>
      <c r="K409" s="15">
        <v>3</v>
      </c>
      <c r="L409" s="16">
        <v>1</v>
      </c>
      <c r="M409" s="17">
        <v>0</v>
      </c>
      <c r="N409" s="18">
        <v>192307.69230769231</v>
      </c>
      <c r="O409" s="15">
        <v>576923.07692307699</v>
      </c>
      <c r="P409" s="16">
        <v>192307.69230769231</v>
      </c>
      <c r="Q409" s="17">
        <v>0</v>
      </c>
      <c r="R409" s="18" t="b">
        <v>1</v>
      </c>
      <c r="S409" s="18" t="b">
        <v>1</v>
      </c>
      <c r="T409" s="18" t="b">
        <v>1</v>
      </c>
      <c r="U409" s="14" t="s">
        <v>248</v>
      </c>
    </row>
    <row r="410" spans="1:21" x14ac:dyDescent="0.3">
      <c r="A410" s="14" t="s">
        <v>28</v>
      </c>
      <c r="B410" s="14" t="s">
        <v>696</v>
      </c>
      <c r="C410" s="22"/>
      <c r="D410" s="15">
        <v>0.30769999999999997</v>
      </c>
      <c r="E410" s="16">
        <v>0.15379999999999999</v>
      </c>
      <c r="F410" s="17">
        <v>7.6899999999999996E-2</v>
      </c>
      <c r="G410" s="18">
        <v>52</v>
      </c>
      <c r="H410" s="18">
        <v>260000</v>
      </c>
      <c r="I410" s="18" t="b">
        <v>0</v>
      </c>
      <c r="J410" s="14" t="s">
        <v>244</v>
      </c>
      <c r="K410" s="15">
        <v>16</v>
      </c>
      <c r="L410" s="16">
        <v>7</v>
      </c>
      <c r="M410" s="17">
        <v>3</v>
      </c>
      <c r="N410" s="18">
        <v>5000</v>
      </c>
      <c r="O410" s="15">
        <v>80000</v>
      </c>
      <c r="P410" s="16">
        <v>35000</v>
      </c>
      <c r="Q410" s="17">
        <v>15000</v>
      </c>
      <c r="R410" s="18" t="b">
        <v>1</v>
      </c>
      <c r="S410" s="18" t="b">
        <v>1</v>
      </c>
      <c r="T410" s="18" t="b">
        <v>1</v>
      </c>
      <c r="U410" s="14" t="s">
        <v>253</v>
      </c>
    </row>
    <row r="411" spans="1:21" x14ac:dyDescent="0.3">
      <c r="A411" s="14" t="s">
        <v>405</v>
      </c>
      <c r="B411" s="14" t="s">
        <v>697</v>
      </c>
      <c r="C411" s="22"/>
      <c r="D411" s="15">
        <v>0.4</v>
      </c>
      <c r="E411" s="16">
        <v>0.1</v>
      </c>
      <c r="F411" s="17">
        <v>0.05</v>
      </c>
      <c r="G411" s="18">
        <v>4</v>
      </c>
      <c r="H411" s="18">
        <v>1499999.84</v>
      </c>
      <c r="I411" s="18" t="b">
        <v>0</v>
      </c>
      <c r="J411" s="14" t="s">
        <v>244</v>
      </c>
      <c r="K411" s="15">
        <v>1</v>
      </c>
      <c r="L411" s="16">
        <v>0</v>
      </c>
      <c r="M411" s="17">
        <v>0</v>
      </c>
      <c r="N411" s="18">
        <v>374999.96</v>
      </c>
      <c r="O411" s="15">
        <v>374999.96</v>
      </c>
      <c r="P411" s="16">
        <v>0</v>
      </c>
      <c r="Q411" s="17">
        <v>0</v>
      </c>
      <c r="R411" s="18" t="b">
        <v>1</v>
      </c>
      <c r="S411" s="18" t="b">
        <v>1</v>
      </c>
      <c r="T411" s="18" t="b">
        <v>1</v>
      </c>
      <c r="U411" s="14" t="s">
        <v>257</v>
      </c>
    </row>
    <row r="412" spans="1:21" x14ac:dyDescent="0.3">
      <c r="A412" s="14" t="s">
        <v>49</v>
      </c>
      <c r="B412" s="14" t="s">
        <v>698</v>
      </c>
      <c r="C412" s="22"/>
      <c r="D412" s="15">
        <v>0.5</v>
      </c>
      <c r="E412" s="16"/>
      <c r="F412" s="17"/>
      <c r="G412" s="18">
        <v>10</v>
      </c>
      <c r="H412" s="18">
        <v>200000</v>
      </c>
      <c r="I412" s="18" t="b">
        <v>0</v>
      </c>
      <c r="J412" s="14" t="s">
        <v>244</v>
      </c>
      <c r="K412" s="15">
        <v>5</v>
      </c>
      <c r="L412" s="16"/>
      <c r="M412" s="17"/>
      <c r="N412" s="18">
        <v>20000</v>
      </c>
      <c r="O412" s="15">
        <v>100000</v>
      </c>
      <c r="P412" s="16"/>
      <c r="Q412" s="17"/>
      <c r="R412" s="18" t="b">
        <v>1</v>
      </c>
      <c r="S412" s="18" t="b">
        <v>0</v>
      </c>
      <c r="T412" s="18" t="b">
        <v>0</v>
      </c>
      <c r="U412" s="14" t="s">
        <v>248</v>
      </c>
    </row>
    <row r="413" spans="1:21" x14ac:dyDescent="0.3">
      <c r="A413" s="14" t="s">
        <v>699</v>
      </c>
      <c r="B413" s="14" t="s">
        <v>700</v>
      </c>
      <c r="C413" s="22"/>
      <c r="D413" s="15">
        <v>0.5</v>
      </c>
      <c r="E413" s="16">
        <v>0.1</v>
      </c>
      <c r="F413" s="17">
        <v>0.05</v>
      </c>
      <c r="G413" s="18">
        <v>20</v>
      </c>
      <c r="H413" s="18">
        <v>1200000</v>
      </c>
      <c r="I413" s="18" t="b">
        <v>0</v>
      </c>
      <c r="J413" s="14" t="s">
        <v>244</v>
      </c>
      <c r="K413" s="15">
        <v>10</v>
      </c>
      <c r="L413" s="16">
        <v>2</v>
      </c>
      <c r="M413" s="17">
        <v>1</v>
      </c>
      <c r="N413" s="18">
        <v>60000</v>
      </c>
      <c r="O413" s="15">
        <v>600000</v>
      </c>
      <c r="P413" s="16">
        <v>120000</v>
      </c>
      <c r="Q413" s="17">
        <v>60000</v>
      </c>
      <c r="R413" s="18" t="b">
        <v>1</v>
      </c>
      <c r="S413" s="18" t="b">
        <v>1</v>
      </c>
      <c r="T413" s="18" t="b">
        <v>1</v>
      </c>
      <c r="U413" s="14" t="s">
        <v>383</v>
      </c>
    </row>
    <row r="414" spans="1:21" x14ac:dyDescent="0.3">
      <c r="A414" s="14" t="s">
        <v>699</v>
      </c>
      <c r="B414" s="14" t="s">
        <v>701</v>
      </c>
      <c r="C414" s="22"/>
      <c r="D414" s="15">
        <v>0.5</v>
      </c>
      <c r="E414" s="16"/>
      <c r="F414" s="17">
        <v>0.05</v>
      </c>
      <c r="G414" s="18">
        <v>66</v>
      </c>
      <c r="H414" s="18">
        <v>1980000</v>
      </c>
      <c r="I414" s="18" t="b">
        <v>0</v>
      </c>
      <c r="J414" s="14" t="s">
        <v>244</v>
      </c>
      <c r="K414" s="15">
        <v>33</v>
      </c>
      <c r="L414" s="16"/>
      <c r="M414" s="17">
        <v>3</v>
      </c>
      <c r="N414" s="18">
        <v>30000</v>
      </c>
      <c r="O414" s="15">
        <v>990000</v>
      </c>
      <c r="P414" s="16"/>
      <c r="Q414" s="17">
        <v>90000</v>
      </c>
      <c r="R414" s="18" t="b">
        <v>1</v>
      </c>
      <c r="S414" s="18" t="b">
        <v>0</v>
      </c>
      <c r="T414" s="18" t="b">
        <v>1</v>
      </c>
      <c r="U414" s="14" t="s">
        <v>245</v>
      </c>
    </row>
    <row r="415" spans="1:21" x14ac:dyDescent="0.3">
      <c r="A415" s="14" t="s">
        <v>699</v>
      </c>
      <c r="B415" s="14" t="s">
        <v>702</v>
      </c>
      <c r="C415" s="22"/>
      <c r="D415" s="15">
        <v>0.5</v>
      </c>
      <c r="E415" s="16">
        <v>0.1</v>
      </c>
      <c r="F415" s="17">
        <v>0.05</v>
      </c>
      <c r="G415" s="18">
        <v>74</v>
      </c>
      <c r="H415" s="18">
        <v>4220000</v>
      </c>
      <c r="I415" s="18" t="b">
        <v>0</v>
      </c>
      <c r="J415" s="14" t="s">
        <v>244</v>
      </c>
      <c r="K415" s="15">
        <v>37</v>
      </c>
      <c r="L415" s="16">
        <v>7</v>
      </c>
      <c r="M415" s="17">
        <v>3</v>
      </c>
      <c r="N415" s="18">
        <v>57027.027027027027</v>
      </c>
      <c r="O415" s="15">
        <v>2110000</v>
      </c>
      <c r="P415" s="16">
        <v>399189.18918918917</v>
      </c>
      <c r="Q415" s="17">
        <v>171081.08108108109</v>
      </c>
      <c r="R415" s="18" t="b">
        <v>1</v>
      </c>
      <c r="S415" s="18" t="b">
        <v>1</v>
      </c>
      <c r="T415" s="18" t="b">
        <v>1</v>
      </c>
      <c r="U415" s="14" t="s">
        <v>245</v>
      </c>
    </row>
    <row r="416" spans="1:21" x14ac:dyDescent="0.3">
      <c r="A416" s="14" t="s">
        <v>699</v>
      </c>
      <c r="B416" s="14" t="s">
        <v>703</v>
      </c>
      <c r="C416" s="22"/>
      <c r="D416" s="15">
        <v>0.5</v>
      </c>
      <c r="E416" s="16">
        <v>0.1</v>
      </c>
      <c r="F416" s="17">
        <v>0.05</v>
      </c>
      <c r="G416" s="18">
        <v>48</v>
      </c>
      <c r="H416" s="18">
        <v>3840000</v>
      </c>
      <c r="I416" s="18" t="b">
        <v>0</v>
      </c>
      <c r="J416" s="14" t="s">
        <v>244</v>
      </c>
      <c r="K416" s="15">
        <v>24</v>
      </c>
      <c r="L416" s="16">
        <v>4</v>
      </c>
      <c r="M416" s="17">
        <v>2</v>
      </c>
      <c r="N416" s="18">
        <v>80000</v>
      </c>
      <c r="O416" s="15">
        <v>1920000</v>
      </c>
      <c r="P416" s="16">
        <v>320000</v>
      </c>
      <c r="Q416" s="17">
        <v>160000</v>
      </c>
      <c r="R416" s="18" t="b">
        <v>1</v>
      </c>
      <c r="S416" s="18" t="b">
        <v>1</v>
      </c>
      <c r="T416" s="18" t="b">
        <v>1</v>
      </c>
      <c r="U416" s="14" t="s">
        <v>245</v>
      </c>
    </row>
    <row r="417" spans="1:21" x14ac:dyDescent="0.3">
      <c r="A417" s="14" t="s">
        <v>699</v>
      </c>
      <c r="B417" s="14" t="s">
        <v>704</v>
      </c>
      <c r="C417" s="22"/>
      <c r="D417" s="15">
        <v>0.5</v>
      </c>
      <c r="E417" s="16">
        <v>0.1</v>
      </c>
      <c r="F417" s="17">
        <v>0.05</v>
      </c>
      <c r="G417" s="18">
        <v>27</v>
      </c>
      <c r="H417" s="18">
        <v>1080000</v>
      </c>
      <c r="I417" s="18" t="b">
        <v>0</v>
      </c>
      <c r="J417" s="14" t="s">
        <v>244</v>
      </c>
      <c r="K417" s="15">
        <v>13</v>
      </c>
      <c r="L417" s="16">
        <v>2</v>
      </c>
      <c r="M417" s="17">
        <v>1</v>
      </c>
      <c r="N417" s="18">
        <v>40000</v>
      </c>
      <c r="O417" s="15">
        <v>520000</v>
      </c>
      <c r="P417" s="16">
        <v>80000</v>
      </c>
      <c r="Q417" s="17">
        <v>40000</v>
      </c>
      <c r="R417" s="18" t="b">
        <v>1</v>
      </c>
      <c r="S417" s="18" t="b">
        <v>1</v>
      </c>
      <c r="T417" s="18" t="b">
        <v>1</v>
      </c>
      <c r="U417" s="14" t="s">
        <v>245</v>
      </c>
    </row>
    <row r="418" spans="1:21" x14ac:dyDescent="0.3">
      <c r="A418" s="14" t="s">
        <v>699</v>
      </c>
      <c r="B418" s="14" t="s">
        <v>705</v>
      </c>
      <c r="C418" s="22"/>
      <c r="D418" s="15">
        <v>0.5</v>
      </c>
      <c r="E418" s="16">
        <v>0.1</v>
      </c>
      <c r="F418" s="17">
        <v>0.05</v>
      </c>
      <c r="G418" s="18">
        <v>7</v>
      </c>
      <c r="H418" s="18">
        <v>2100000</v>
      </c>
      <c r="I418" s="18" t="b">
        <v>0</v>
      </c>
      <c r="J418" s="14" t="s">
        <v>244</v>
      </c>
      <c r="K418" s="15">
        <v>3</v>
      </c>
      <c r="L418" s="16">
        <v>0</v>
      </c>
      <c r="M418" s="17">
        <v>0</v>
      </c>
      <c r="N418" s="18">
        <v>300000</v>
      </c>
      <c r="O418" s="15">
        <v>900000</v>
      </c>
      <c r="P418" s="16">
        <v>0</v>
      </c>
      <c r="Q418" s="17">
        <v>0</v>
      </c>
      <c r="R418" s="18" t="b">
        <v>1</v>
      </c>
      <c r="S418" s="18" t="b">
        <v>1</v>
      </c>
      <c r="T418" s="18" t="b">
        <v>1</v>
      </c>
      <c r="U418" s="14" t="s">
        <v>245</v>
      </c>
    </row>
    <row r="419" spans="1:21" x14ac:dyDescent="0.3">
      <c r="A419" s="14" t="s">
        <v>699</v>
      </c>
      <c r="B419" s="14" t="s">
        <v>706</v>
      </c>
      <c r="C419" s="22"/>
      <c r="D419" s="15">
        <v>0.5</v>
      </c>
      <c r="E419" s="16">
        <v>0.1</v>
      </c>
      <c r="F419" s="17">
        <v>0.05</v>
      </c>
      <c r="G419" s="18">
        <v>113</v>
      </c>
      <c r="H419" s="18">
        <v>7250000</v>
      </c>
      <c r="I419" s="18" t="b">
        <v>0</v>
      </c>
      <c r="J419" s="14" t="s">
        <v>244</v>
      </c>
      <c r="K419" s="15">
        <v>56</v>
      </c>
      <c r="L419" s="16">
        <v>11</v>
      </c>
      <c r="M419" s="17">
        <v>5</v>
      </c>
      <c r="N419" s="18">
        <v>64159.292035398234</v>
      </c>
      <c r="O419" s="15">
        <v>3592920.353982301</v>
      </c>
      <c r="P419" s="16">
        <v>705752.21238938055</v>
      </c>
      <c r="Q419" s="17">
        <v>320796.46017699118</v>
      </c>
      <c r="R419" s="18" t="b">
        <v>1</v>
      </c>
      <c r="S419" s="18" t="b">
        <v>1</v>
      </c>
      <c r="T419" s="18" t="b">
        <v>1</v>
      </c>
      <c r="U419" s="14" t="s">
        <v>248</v>
      </c>
    </row>
    <row r="420" spans="1:21" x14ac:dyDescent="0.3">
      <c r="A420" s="14" t="s">
        <v>699</v>
      </c>
      <c r="B420" s="14" t="s">
        <v>707</v>
      </c>
      <c r="C420" s="22"/>
      <c r="D420" s="15">
        <v>0.5</v>
      </c>
      <c r="E420" s="16">
        <v>0.1</v>
      </c>
      <c r="F420" s="17">
        <v>0.05</v>
      </c>
      <c r="G420" s="18">
        <v>36</v>
      </c>
      <c r="H420" s="18">
        <v>840000</v>
      </c>
      <c r="I420" s="18" t="b">
        <v>0</v>
      </c>
      <c r="J420" s="14" t="s">
        <v>244</v>
      </c>
      <c r="K420" s="15">
        <v>18</v>
      </c>
      <c r="L420" s="16">
        <v>3</v>
      </c>
      <c r="M420" s="17">
        <v>1</v>
      </c>
      <c r="N420" s="18">
        <v>23333.333333333328</v>
      </c>
      <c r="O420" s="15">
        <v>420000</v>
      </c>
      <c r="P420" s="16">
        <v>70000</v>
      </c>
      <c r="Q420" s="17">
        <v>23333.333333333328</v>
      </c>
      <c r="R420" s="18" t="b">
        <v>1</v>
      </c>
      <c r="S420" s="18" t="b">
        <v>1</v>
      </c>
      <c r="T420" s="18" t="b">
        <v>1</v>
      </c>
      <c r="U420" s="14" t="s">
        <v>248</v>
      </c>
    </row>
    <row r="421" spans="1:21" x14ac:dyDescent="0.3">
      <c r="A421" s="14" t="s">
        <v>699</v>
      </c>
      <c r="B421" s="14" t="s">
        <v>708</v>
      </c>
      <c r="C421" s="22"/>
      <c r="D421" s="15">
        <v>0.5</v>
      </c>
      <c r="E421" s="16">
        <v>0.1</v>
      </c>
      <c r="F421" s="17">
        <v>0.05</v>
      </c>
      <c r="G421" s="18">
        <v>12</v>
      </c>
      <c r="H421" s="18">
        <v>780000</v>
      </c>
      <c r="I421" s="18" t="b">
        <v>0</v>
      </c>
      <c r="J421" s="14" t="s">
        <v>244</v>
      </c>
      <c r="K421" s="15">
        <v>6</v>
      </c>
      <c r="L421" s="16">
        <v>1</v>
      </c>
      <c r="M421" s="17">
        <v>0</v>
      </c>
      <c r="N421" s="18">
        <v>65000</v>
      </c>
      <c r="O421" s="15">
        <v>390000</v>
      </c>
      <c r="P421" s="16">
        <v>65000</v>
      </c>
      <c r="Q421" s="17">
        <v>0</v>
      </c>
      <c r="R421" s="18" t="b">
        <v>1</v>
      </c>
      <c r="S421" s="18" t="b">
        <v>1</v>
      </c>
      <c r="T421" s="18" t="b">
        <v>1</v>
      </c>
      <c r="U421" s="14" t="s">
        <v>248</v>
      </c>
    </row>
    <row r="422" spans="1:21" x14ac:dyDescent="0.3">
      <c r="A422" s="14" t="s">
        <v>699</v>
      </c>
      <c r="B422" s="14" t="s">
        <v>709</v>
      </c>
      <c r="C422" s="22"/>
      <c r="D422" s="15">
        <v>0.5</v>
      </c>
      <c r="E422" s="16">
        <v>0.1</v>
      </c>
      <c r="F422" s="17">
        <v>0.05</v>
      </c>
      <c r="G422" s="18">
        <v>29</v>
      </c>
      <c r="H422" s="18">
        <v>6900000</v>
      </c>
      <c r="I422" s="18" t="b">
        <v>0</v>
      </c>
      <c r="J422" s="14" t="s">
        <v>244</v>
      </c>
      <c r="K422" s="15">
        <v>14</v>
      </c>
      <c r="L422" s="16">
        <v>2</v>
      </c>
      <c r="M422" s="17">
        <v>1</v>
      </c>
      <c r="N422" s="18">
        <v>237931.03448275861</v>
      </c>
      <c r="O422" s="15">
        <v>3331034.4827586212</v>
      </c>
      <c r="P422" s="16">
        <v>475862.06896551722</v>
      </c>
      <c r="Q422" s="17">
        <v>237931.03448275861</v>
      </c>
      <c r="R422" s="18" t="b">
        <v>1</v>
      </c>
      <c r="S422" s="18" t="b">
        <v>1</v>
      </c>
      <c r="T422" s="18" t="b">
        <v>1</v>
      </c>
      <c r="U422" s="14" t="s">
        <v>248</v>
      </c>
    </row>
    <row r="423" spans="1:21" x14ac:dyDescent="0.3">
      <c r="A423" s="14" t="s">
        <v>699</v>
      </c>
      <c r="B423" s="14" t="s">
        <v>710</v>
      </c>
      <c r="C423" s="22"/>
      <c r="D423" s="15">
        <v>0.5</v>
      </c>
      <c r="E423" s="16">
        <v>0.1</v>
      </c>
      <c r="F423" s="17">
        <v>0.05</v>
      </c>
      <c r="G423" s="18">
        <v>75</v>
      </c>
      <c r="H423" s="18">
        <v>7200000</v>
      </c>
      <c r="I423" s="18" t="b">
        <v>0</v>
      </c>
      <c r="J423" s="14" t="s">
        <v>244</v>
      </c>
      <c r="K423" s="15">
        <v>37</v>
      </c>
      <c r="L423" s="16">
        <v>7</v>
      </c>
      <c r="M423" s="17">
        <v>3</v>
      </c>
      <c r="N423" s="18">
        <v>96000</v>
      </c>
      <c r="O423" s="15">
        <v>3552000</v>
      </c>
      <c r="P423" s="16">
        <v>672000</v>
      </c>
      <c r="Q423" s="17">
        <v>288000</v>
      </c>
      <c r="R423" s="18" t="b">
        <v>1</v>
      </c>
      <c r="S423" s="18" t="b">
        <v>1</v>
      </c>
      <c r="T423" s="18" t="b">
        <v>1</v>
      </c>
      <c r="U423" s="14" t="s">
        <v>248</v>
      </c>
    </row>
    <row r="424" spans="1:21" x14ac:dyDescent="0.3">
      <c r="A424" s="14" t="s">
        <v>699</v>
      </c>
      <c r="B424" s="14" t="s">
        <v>711</v>
      </c>
      <c r="C424" s="22"/>
      <c r="D424" s="15">
        <v>0.5</v>
      </c>
      <c r="E424" s="16">
        <v>0.1</v>
      </c>
      <c r="F424" s="17"/>
      <c r="G424" s="18">
        <v>12</v>
      </c>
      <c r="H424" s="18">
        <v>3000000</v>
      </c>
      <c r="I424" s="18" t="b">
        <v>0</v>
      </c>
      <c r="J424" s="14" t="s">
        <v>244</v>
      </c>
      <c r="K424" s="15">
        <v>6</v>
      </c>
      <c r="L424" s="16">
        <v>1</v>
      </c>
      <c r="M424" s="17"/>
      <c r="N424" s="18">
        <v>250000</v>
      </c>
      <c r="O424" s="15">
        <v>1500000</v>
      </c>
      <c r="P424" s="16">
        <v>250000</v>
      </c>
      <c r="Q424" s="17"/>
      <c r="R424" s="18" t="b">
        <v>1</v>
      </c>
      <c r="S424" s="18" t="b">
        <v>1</v>
      </c>
      <c r="T424" s="18" t="b">
        <v>0</v>
      </c>
      <c r="U424" s="14" t="s">
        <v>248</v>
      </c>
    </row>
    <row r="425" spans="1:21" x14ac:dyDescent="0.3">
      <c r="A425" s="14" t="s">
        <v>699</v>
      </c>
      <c r="B425" s="14" t="s">
        <v>712</v>
      </c>
      <c r="C425" s="22"/>
      <c r="D425" s="15">
        <v>0.5</v>
      </c>
      <c r="E425" s="16">
        <v>0.1</v>
      </c>
      <c r="F425" s="17"/>
      <c r="G425" s="18">
        <v>10</v>
      </c>
      <c r="H425" s="18">
        <v>500000</v>
      </c>
      <c r="I425" s="18" t="b">
        <v>0</v>
      </c>
      <c r="J425" s="14" t="s">
        <v>244</v>
      </c>
      <c r="K425" s="15">
        <v>5</v>
      </c>
      <c r="L425" s="16">
        <v>1</v>
      </c>
      <c r="M425" s="17"/>
      <c r="N425" s="18">
        <v>50000</v>
      </c>
      <c r="O425" s="15">
        <v>250000</v>
      </c>
      <c r="P425" s="16">
        <v>50000</v>
      </c>
      <c r="Q425" s="17"/>
      <c r="R425" s="18" t="b">
        <v>1</v>
      </c>
      <c r="S425" s="18" t="b">
        <v>1</v>
      </c>
      <c r="T425" s="18" t="b">
        <v>0</v>
      </c>
      <c r="U425" s="14" t="s">
        <v>248</v>
      </c>
    </row>
    <row r="426" spans="1:21" x14ac:dyDescent="0.3">
      <c r="A426" s="14" t="s">
        <v>699</v>
      </c>
      <c r="B426" s="14" t="s">
        <v>713</v>
      </c>
      <c r="C426" s="22"/>
      <c r="D426" s="15">
        <v>0.5</v>
      </c>
      <c r="E426" s="16">
        <v>0.1</v>
      </c>
      <c r="F426" s="17">
        <v>0.05</v>
      </c>
      <c r="G426" s="18">
        <v>21</v>
      </c>
      <c r="H426" s="18">
        <v>1050000</v>
      </c>
      <c r="I426" s="18" t="b">
        <v>0</v>
      </c>
      <c r="J426" s="14" t="s">
        <v>244</v>
      </c>
      <c r="K426" s="15">
        <v>10</v>
      </c>
      <c r="L426" s="16">
        <v>2</v>
      </c>
      <c r="M426" s="17">
        <v>1</v>
      </c>
      <c r="N426" s="18">
        <v>50000</v>
      </c>
      <c r="O426" s="15">
        <v>500000</v>
      </c>
      <c r="P426" s="16">
        <v>100000</v>
      </c>
      <c r="Q426" s="17">
        <v>50000</v>
      </c>
      <c r="R426" s="18" t="b">
        <v>1</v>
      </c>
      <c r="S426" s="18" t="b">
        <v>1</v>
      </c>
      <c r="T426" s="18" t="b">
        <v>1</v>
      </c>
      <c r="U426" s="14" t="s">
        <v>248</v>
      </c>
    </row>
    <row r="427" spans="1:21" x14ac:dyDescent="0.3">
      <c r="A427" s="14" t="s">
        <v>699</v>
      </c>
      <c r="B427" s="14" t="s">
        <v>714</v>
      </c>
      <c r="C427" s="22"/>
      <c r="D427" s="15">
        <v>0.5</v>
      </c>
      <c r="E427" s="16">
        <v>0.1</v>
      </c>
      <c r="F427" s="17"/>
      <c r="G427" s="18">
        <v>8</v>
      </c>
      <c r="H427" s="18">
        <v>1200000</v>
      </c>
      <c r="I427" s="18" t="b">
        <v>0</v>
      </c>
      <c r="J427" s="14" t="s">
        <v>244</v>
      </c>
      <c r="K427" s="15">
        <v>4</v>
      </c>
      <c r="L427" s="16">
        <v>0</v>
      </c>
      <c r="M427" s="17"/>
      <c r="N427" s="18">
        <v>150000</v>
      </c>
      <c r="O427" s="15">
        <v>600000</v>
      </c>
      <c r="P427" s="16">
        <v>0</v>
      </c>
      <c r="Q427" s="17"/>
      <c r="R427" s="18" t="b">
        <v>1</v>
      </c>
      <c r="S427" s="18" t="b">
        <v>1</v>
      </c>
      <c r="T427" s="18" t="b">
        <v>0</v>
      </c>
      <c r="U427" s="14" t="s">
        <v>248</v>
      </c>
    </row>
    <row r="428" spans="1:21" x14ac:dyDescent="0.3">
      <c r="A428" s="14" t="s">
        <v>699</v>
      </c>
      <c r="B428" s="14" t="s">
        <v>715</v>
      </c>
      <c r="C428" s="22"/>
      <c r="D428" s="15">
        <v>0.5</v>
      </c>
      <c r="E428" s="16">
        <v>0.1</v>
      </c>
      <c r="F428" s="17"/>
      <c r="G428" s="18">
        <v>5</v>
      </c>
      <c r="H428" s="18">
        <v>1250000</v>
      </c>
      <c r="I428" s="18" t="b">
        <v>0</v>
      </c>
      <c r="J428" s="14" t="s">
        <v>244</v>
      </c>
      <c r="K428" s="15">
        <v>2</v>
      </c>
      <c r="L428" s="16">
        <v>0</v>
      </c>
      <c r="M428" s="17"/>
      <c r="N428" s="18">
        <v>250000</v>
      </c>
      <c r="O428" s="15">
        <v>500000</v>
      </c>
      <c r="P428" s="16">
        <v>0</v>
      </c>
      <c r="Q428" s="17"/>
      <c r="R428" s="18" t="b">
        <v>1</v>
      </c>
      <c r="S428" s="18" t="b">
        <v>1</v>
      </c>
      <c r="T428" s="18" t="b">
        <v>0</v>
      </c>
      <c r="U428" s="14" t="s">
        <v>248</v>
      </c>
    </row>
    <row r="429" spans="1:21" x14ac:dyDescent="0.3">
      <c r="A429" s="14" t="s">
        <v>699</v>
      </c>
      <c r="B429" s="14" t="s">
        <v>716</v>
      </c>
      <c r="C429" s="22"/>
      <c r="D429" s="15">
        <v>0.5</v>
      </c>
      <c r="E429" s="16">
        <v>0.1</v>
      </c>
      <c r="F429" s="17"/>
      <c r="G429" s="18">
        <v>40</v>
      </c>
      <c r="H429" s="18">
        <v>1700000</v>
      </c>
      <c r="I429" s="18" t="b">
        <v>0</v>
      </c>
      <c r="J429" s="14" t="s">
        <v>244</v>
      </c>
      <c r="K429" s="15">
        <v>20</v>
      </c>
      <c r="L429" s="16">
        <v>4</v>
      </c>
      <c r="M429" s="17"/>
      <c r="N429" s="18">
        <v>42500</v>
      </c>
      <c r="O429" s="15">
        <v>850000</v>
      </c>
      <c r="P429" s="16">
        <v>170000</v>
      </c>
      <c r="Q429" s="17"/>
      <c r="R429" s="18" t="b">
        <v>1</v>
      </c>
      <c r="S429" s="18" t="b">
        <v>1</v>
      </c>
      <c r="T429" s="18" t="b">
        <v>0</v>
      </c>
      <c r="U429" s="14" t="s">
        <v>248</v>
      </c>
    </row>
    <row r="430" spans="1:21" x14ac:dyDescent="0.3">
      <c r="A430" s="14" t="s">
        <v>699</v>
      </c>
      <c r="B430" s="14" t="s">
        <v>717</v>
      </c>
      <c r="C430" s="22"/>
      <c r="D430" s="15">
        <v>0.5</v>
      </c>
      <c r="E430" s="16">
        <v>0.1</v>
      </c>
      <c r="F430" s="17">
        <v>0.05</v>
      </c>
      <c r="G430" s="18">
        <v>43</v>
      </c>
      <c r="H430" s="18">
        <v>5150000</v>
      </c>
      <c r="I430" s="18" t="b">
        <v>0</v>
      </c>
      <c r="J430" s="14" t="s">
        <v>244</v>
      </c>
      <c r="K430" s="15">
        <v>21</v>
      </c>
      <c r="L430" s="16">
        <v>4</v>
      </c>
      <c r="M430" s="17">
        <v>2</v>
      </c>
      <c r="N430" s="18">
        <v>119767.4418604651</v>
      </c>
      <c r="O430" s="15">
        <v>2515116.2790697669</v>
      </c>
      <c r="P430" s="16">
        <v>479069.76744186052</v>
      </c>
      <c r="Q430" s="17">
        <v>239534.8837209302</v>
      </c>
      <c r="R430" s="18" t="b">
        <v>1</v>
      </c>
      <c r="S430" s="18" t="b">
        <v>1</v>
      </c>
      <c r="T430" s="18" t="b">
        <v>1</v>
      </c>
      <c r="U430" s="14" t="s">
        <v>248</v>
      </c>
    </row>
    <row r="431" spans="1:21" x14ac:dyDescent="0.3">
      <c r="A431" s="14" t="s">
        <v>699</v>
      </c>
      <c r="B431" s="14" t="s">
        <v>718</v>
      </c>
      <c r="C431" s="22"/>
      <c r="D431" s="15">
        <v>0.5</v>
      </c>
      <c r="E431" s="16">
        <v>0.1</v>
      </c>
      <c r="F431" s="17">
        <v>0.05</v>
      </c>
      <c r="G431" s="18">
        <v>20</v>
      </c>
      <c r="H431" s="18">
        <v>900000</v>
      </c>
      <c r="I431" s="18" t="b">
        <v>0</v>
      </c>
      <c r="J431" s="14" t="s">
        <v>244</v>
      </c>
      <c r="K431" s="15">
        <v>10</v>
      </c>
      <c r="L431" s="16">
        <v>2</v>
      </c>
      <c r="M431" s="17">
        <v>1</v>
      </c>
      <c r="N431" s="18">
        <v>45000</v>
      </c>
      <c r="O431" s="15">
        <v>450000</v>
      </c>
      <c r="P431" s="16">
        <v>90000</v>
      </c>
      <c r="Q431" s="17">
        <v>45000</v>
      </c>
      <c r="R431" s="18" t="b">
        <v>1</v>
      </c>
      <c r="S431" s="18" t="b">
        <v>1</v>
      </c>
      <c r="T431" s="18" t="b">
        <v>1</v>
      </c>
      <c r="U431" s="14" t="s">
        <v>248</v>
      </c>
    </row>
    <row r="432" spans="1:21" x14ac:dyDescent="0.3">
      <c r="A432" s="14" t="s">
        <v>699</v>
      </c>
      <c r="B432" s="14" t="s">
        <v>719</v>
      </c>
      <c r="C432" s="22"/>
      <c r="D432" s="15">
        <v>0.5</v>
      </c>
      <c r="E432" s="16">
        <v>0.1</v>
      </c>
      <c r="F432" s="17">
        <v>0.05</v>
      </c>
      <c r="G432" s="18">
        <v>35</v>
      </c>
      <c r="H432" s="18">
        <v>1750000</v>
      </c>
      <c r="I432" s="18" t="b">
        <v>0</v>
      </c>
      <c r="J432" s="14" t="s">
        <v>244</v>
      </c>
      <c r="K432" s="15">
        <v>17</v>
      </c>
      <c r="L432" s="16">
        <v>3</v>
      </c>
      <c r="M432" s="17">
        <v>1</v>
      </c>
      <c r="N432" s="18">
        <v>50000</v>
      </c>
      <c r="O432" s="15">
        <v>850000</v>
      </c>
      <c r="P432" s="16">
        <v>150000</v>
      </c>
      <c r="Q432" s="17">
        <v>50000</v>
      </c>
      <c r="R432" s="18" t="b">
        <v>1</v>
      </c>
      <c r="S432" s="18" t="b">
        <v>1</v>
      </c>
      <c r="T432" s="18" t="b">
        <v>1</v>
      </c>
      <c r="U432" s="14" t="s">
        <v>248</v>
      </c>
    </row>
    <row r="433" spans="1:21" x14ac:dyDescent="0.3">
      <c r="A433" s="14" t="s">
        <v>699</v>
      </c>
      <c r="B433" s="14" t="s">
        <v>720</v>
      </c>
      <c r="C433" s="22"/>
      <c r="D433" s="15">
        <v>0.5</v>
      </c>
      <c r="E433" s="16">
        <v>0.1</v>
      </c>
      <c r="F433" s="17">
        <v>0.05</v>
      </c>
      <c r="G433" s="18">
        <v>33</v>
      </c>
      <c r="H433" s="18">
        <v>1000000</v>
      </c>
      <c r="I433" s="18" t="b">
        <v>0</v>
      </c>
      <c r="J433" s="14" t="s">
        <v>244</v>
      </c>
      <c r="K433" s="15">
        <v>16</v>
      </c>
      <c r="L433" s="16">
        <v>3</v>
      </c>
      <c r="M433" s="17">
        <v>1</v>
      </c>
      <c r="N433" s="18">
        <v>30303.0303030303</v>
      </c>
      <c r="O433" s="15">
        <v>484848.48484848492</v>
      </c>
      <c r="P433" s="16">
        <v>90909.090909090912</v>
      </c>
      <c r="Q433" s="17">
        <v>30303.0303030303</v>
      </c>
      <c r="R433" s="18" t="b">
        <v>1</v>
      </c>
      <c r="S433" s="18" t="b">
        <v>1</v>
      </c>
      <c r="T433" s="18" t="b">
        <v>1</v>
      </c>
      <c r="U433" s="14" t="s">
        <v>248</v>
      </c>
    </row>
    <row r="434" spans="1:21" x14ac:dyDescent="0.3">
      <c r="A434" s="14" t="s">
        <v>699</v>
      </c>
      <c r="B434" s="14" t="s">
        <v>721</v>
      </c>
      <c r="C434" s="22"/>
      <c r="D434" s="15">
        <v>0.5</v>
      </c>
      <c r="E434" s="16">
        <v>0.1</v>
      </c>
      <c r="F434" s="17">
        <v>0.05</v>
      </c>
      <c r="G434" s="18">
        <v>12</v>
      </c>
      <c r="H434" s="18">
        <v>3000000</v>
      </c>
      <c r="I434" s="18" t="b">
        <v>0</v>
      </c>
      <c r="J434" s="14" t="s">
        <v>244</v>
      </c>
      <c r="K434" s="15">
        <v>6</v>
      </c>
      <c r="L434" s="16">
        <v>1</v>
      </c>
      <c r="M434" s="17">
        <v>0</v>
      </c>
      <c r="N434" s="18">
        <v>250000</v>
      </c>
      <c r="O434" s="15">
        <v>1500000</v>
      </c>
      <c r="P434" s="16">
        <v>250000</v>
      </c>
      <c r="Q434" s="17">
        <v>0</v>
      </c>
      <c r="R434" s="18" t="b">
        <v>1</v>
      </c>
      <c r="S434" s="18" t="b">
        <v>1</v>
      </c>
      <c r="T434" s="18" t="b">
        <v>1</v>
      </c>
      <c r="U434" s="14" t="s">
        <v>248</v>
      </c>
    </row>
    <row r="435" spans="1:21" x14ac:dyDescent="0.3">
      <c r="A435" s="14" t="s">
        <v>699</v>
      </c>
      <c r="B435" s="14" t="s">
        <v>722</v>
      </c>
      <c r="C435" s="22"/>
      <c r="D435" s="15">
        <v>0.5</v>
      </c>
      <c r="E435" s="16">
        <v>0.1</v>
      </c>
      <c r="F435" s="17">
        <v>0.05</v>
      </c>
      <c r="G435" s="18">
        <v>30</v>
      </c>
      <c r="H435" s="18">
        <v>900000</v>
      </c>
      <c r="I435" s="18" t="b">
        <v>0</v>
      </c>
      <c r="J435" s="14" t="s">
        <v>244</v>
      </c>
      <c r="K435" s="15">
        <v>15</v>
      </c>
      <c r="L435" s="16">
        <v>3</v>
      </c>
      <c r="M435" s="17">
        <v>1</v>
      </c>
      <c r="N435" s="18">
        <v>30000</v>
      </c>
      <c r="O435" s="15">
        <v>450000</v>
      </c>
      <c r="P435" s="16">
        <v>90000</v>
      </c>
      <c r="Q435" s="17">
        <v>30000</v>
      </c>
      <c r="R435" s="18" t="b">
        <v>1</v>
      </c>
      <c r="S435" s="18" t="b">
        <v>1</v>
      </c>
      <c r="T435" s="18" t="b">
        <v>1</v>
      </c>
      <c r="U435" s="14" t="s">
        <v>253</v>
      </c>
    </row>
    <row r="436" spans="1:21" x14ac:dyDescent="0.3">
      <c r="A436" s="14" t="s">
        <v>699</v>
      </c>
      <c r="B436" s="14" t="s">
        <v>723</v>
      </c>
      <c r="C436" s="22"/>
      <c r="D436" s="15">
        <v>0.5</v>
      </c>
      <c r="E436" s="16">
        <v>0.1</v>
      </c>
      <c r="F436" s="17">
        <v>0.05</v>
      </c>
      <c r="G436" s="18">
        <v>16</v>
      </c>
      <c r="H436" s="18">
        <v>160000</v>
      </c>
      <c r="I436" s="18" t="b">
        <v>0</v>
      </c>
      <c r="J436" s="14" t="s">
        <v>244</v>
      </c>
      <c r="K436" s="15">
        <v>8</v>
      </c>
      <c r="L436" s="16">
        <v>1</v>
      </c>
      <c r="M436" s="17">
        <v>0</v>
      </c>
      <c r="N436" s="18">
        <v>10000</v>
      </c>
      <c r="O436" s="15">
        <v>80000</v>
      </c>
      <c r="P436" s="16">
        <v>10000</v>
      </c>
      <c r="Q436" s="17">
        <v>0</v>
      </c>
      <c r="R436" s="18" t="b">
        <v>1</v>
      </c>
      <c r="S436" s="18" t="b">
        <v>1</v>
      </c>
      <c r="T436" s="18" t="b">
        <v>1</v>
      </c>
      <c r="U436" s="14" t="s">
        <v>253</v>
      </c>
    </row>
    <row r="437" spans="1:21" x14ac:dyDescent="0.3">
      <c r="A437" s="14" t="s">
        <v>699</v>
      </c>
      <c r="B437" s="14" t="s">
        <v>724</v>
      </c>
      <c r="C437" s="22"/>
      <c r="D437" s="15">
        <v>0.5</v>
      </c>
      <c r="E437" s="16">
        <v>0.1</v>
      </c>
      <c r="F437" s="17">
        <v>0.05</v>
      </c>
      <c r="G437" s="18">
        <v>28</v>
      </c>
      <c r="H437" s="18">
        <v>840000</v>
      </c>
      <c r="I437" s="18" t="b">
        <v>0</v>
      </c>
      <c r="J437" s="14" t="s">
        <v>244</v>
      </c>
      <c r="K437" s="15">
        <v>14</v>
      </c>
      <c r="L437" s="16">
        <v>2</v>
      </c>
      <c r="M437" s="17">
        <v>1</v>
      </c>
      <c r="N437" s="18">
        <v>30000</v>
      </c>
      <c r="O437" s="15">
        <v>420000</v>
      </c>
      <c r="P437" s="16">
        <v>60000</v>
      </c>
      <c r="Q437" s="17">
        <v>30000</v>
      </c>
      <c r="R437" s="18" t="b">
        <v>1</v>
      </c>
      <c r="S437" s="18" t="b">
        <v>1</v>
      </c>
      <c r="T437" s="18" t="b">
        <v>1</v>
      </c>
      <c r="U437" s="14" t="s">
        <v>253</v>
      </c>
    </row>
    <row r="438" spans="1:21" x14ac:dyDescent="0.3">
      <c r="A438" s="14" t="s">
        <v>699</v>
      </c>
      <c r="B438" s="14" t="s">
        <v>725</v>
      </c>
      <c r="C438" s="22"/>
      <c r="D438" s="15">
        <v>0.5</v>
      </c>
      <c r="E438" s="16">
        <v>0.1071</v>
      </c>
      <c r="F438" s="17">
        <v>4.7600000000000003E-2</v>
      </c>
      <c r="G438" s="18">
        <v>84</v>
      </c>
      <c r="H438" s="18">
        <v>2520000</v>
      </c>
      <c r="I438" s="18" t="b">
        <v>0</v>
      </c>
      <c r="J438" s="14" t="s">
        <v>244</v>
      </c>
      <c r="K438" s="15">
        <v>42</v>
      </c>
      <c r="L438" s="16">
        <v>8</v>
      </c>
      <c r="M438" s="17">
        <v>3</v>
      </c>
      <c r="N438" s="18">
        <v>30000</v>
      </c>
      <c r="O438" s="15">
        <v>1260000</v>
      </c>
      <c r="P438" s="16">
        <v>240000</v>
      </c>
      <c r="Q438" s="17">
        <v>90000</v>
      </c>
      <c r="R438" s="18" t="b">
        <v>1</v>
      </c>
      <c r="S438" s="18" t="b">
        <v>1</v>
      </c>
      <c r="T438" s="18" t="b">
        <v>0</v>
      </c>
      <c r="U438" s="14" t="s">
        <v>253</v>
      </c>
    </row>
    <row r="439" spans="1:21" x14ac:dyDescent="0.3">
      <c r="A439" s="14" t="s">
        <v>699</v>
      </c>
      <c r="B439" s="14" t="s">
        <v>726</v>
      </c>
      <c r="C439" s="22"/>
      <c r="D439" s="15">
        <v>0.5</v>
      </c>
      <c r="E439" s="16">
        <v>0.1</v>
      </c>
      <c r="F439" s="17">
        <v>0.05</v>
      </c>
      <c r="G439" s="18">
        <v>20</v>
      </c>
      <c r="H439" s="18">
        <v>1000000</v>
      </c>
      <c r="I439" s="18" t="b">
        <v>0</v>
      </c>
      <c r="J439" s="14" t="s">
        <v>244</v>
      </c>
      <c r="K439" s="15">
        <v>10</v>
      </c>
      <c r="L439" s="16">
        <v>2</v>
      </c>
      <c r="M439" s="17">
        <v>1</v>
      </c>
      <c r="N439" s="18">
        <v>50000</v>
      </c>
      <c r="O439" s="15">
        <v>500000</v>
      </c>
      <c r="P439" s="16">
        <v>100000</v>
      </c>
      <c r="Q439" s="17">
        <v>50000</v>
      </c>
      <c r="R439" s="18" t="b">
        <v>1</v>
      </c>
      <c r="S439" s="18" t="b">
        <v>1</v>
      </c>
      <c r="T439" s="18" t="b">
        <v>1</v>
      </c>
      <c r="U439" s="14" t="s">
        <v>257</v>
      </c>
    </row>
    <row r="440" spans="1:21" x14ac:dyDescent="0.3">
      <c r="A440" s="14" t="s">
        <v>283</v>
      </c>
      <c r="B440" s="14" t="s">
        <v>727</v>
      </c>
      <c r="C440" s="22"/>
      <c r="D440" s="15">
        <v>0.5</v>
      </c>
      <c r="E440" s="16">
        <v>0.5</v>
      </c>
      <c r="F440" s="17">
        <v>0.5</v>
      </c>
      <c r="G440" s="18">
        <v>3</v>
      </c>
      <c r="H440" s="18">
        <v>900000</v>
      </c>
      <c r="I440" s="18" t="b">
        <v>0</v>
      </c>
      <c r="J440" s="14" t="s">
        <v>244</v>
      </c>
      <c r="K440" s="15">
        <v>1</v>
      </c>
      <c r="L440" s="16">
        <v>1</v>
      </c>
      <c r="M440" s="17">
        <v>1</v>
      </c>
      <c r="N440" s="18">
        <v>300000</v>
      </c>
      <c r="O440" s="15">
        <v>300000</v>
      </c>
      <c r="P440" s="16">
        <v>300000</v>
      </c>
      <c r="Q440" s="17">
        <v>300000</v>
      </c>
      <c r="R440" s="18" t="b">
        <v>1</v>
      </c>
      <c r="S440" s="18" t="b">
        <v>1</v>
      </c>
      <c r="T440" s="18" t="b">
        <v>1</v>
      </c>
      <c r="U440" s="14" t="s">
        <v>245</v>
      </c>
    </row>
    <row r="441" spans="1:21" x14ac:dyDescent="0.3">
      <c r="A441" s="14" t="s">
        <v>728</v>
      </c>
      <c r="B441" s="14" t="s">
        <v>729</v>
      </c>
      <c r="C441" s="22"/>
      <c r="D441" s="15">
        <v>0.5</v>
      </c>
      <c r="E441" s="16">
        <v>0.1</v>
      </c>
      <c r="F441" s="17">
        <v>0.05</v>
      </c>
      <c r="G441" s="18">
        <v>25</v>
      </c>
      <c r="H441" s="18">
        <v>400000</v>
      </c>
      <c r="I441" s="18" t="b">
        <v>0</v>
      </c>
      <c r="J441" s="14" t="s">
        <v>256</v>
      </c>
      <c r="K441" s="15">
        <v>12</v>
      </c>
      <c r="L441" s="16">
        <v>2</v>
      </c>
      <c r="M441" s="17">
        <v>1</v>
      </c>
      <c r="N441" s="18">
        <v>16000</v>
      </c>
      <c r="O441" s="15">
        <v>192000</v>
      </c>
      <c r="P441" s="16">
        <v>32000</v>
      </c>
      <c r="Q441" s="17">
        <v>16000</v>
      </c>
      <c r="R441" s="18" t="b">
        <v>1</v>
      </c>
      <c r="S441" s="18" t="b">
        <v>1</v>
      </c>
      <c r="T441" s="18" t="b">
        <v>1</v>
      </c>
      <c r="U441" s="14" t="s">
        <v>248</v>
      </c>
    </row>
    <row r="442" spans="1:21" x14ac:dyDescent="0.3">
      <c r="A442" s="14" t="s">
        <v>728</v>
      </c>
      <c r="B442" s="14" t="s">
        <v>730</v>
      </c>
      <c r="C442" s="22"/>
      <c r="D442" s="15">
        <v>0.5</v>
      </c>
      <c r="E442" s="16">
        <v>0.1</v>
      </c>
      <c r="F442" s="17">
        <v>0.05</v>
      </c>
      <c r="G442" s="18">
        <v>20</v>
      </c>
      <c r="H442" s="18">
        <v>400000</v>
      </c>
      <c r="I442" s="18" t="b">
        <v>0</v>
      </c>
      <c r="J442" s="14" t="s">
        <v>256</v>
      </c>
      <c r="K442" s="15">
        <v>10</v>
      </c>
      <c r="L442" s="16">
        <v>2</v>
      </c>
      <c r="M442" s="17">
        <v>1</v>
      </c>
      <c r="N442" s="18">
        <v>20000</v>
      </c>
      <c r="O442" s="15">
        <v>200000</v>
      </c>
      <c r="P442" s="16">
        <v>40000</v>
      </c>
      <c r="Q442" s="17">
        <v>20000</v>
      </c>
      <c r="R442" s="18" t="b">
        <v>1</v>
      </c>
      <c r="S442" s="18" t="b">
        <v>1</v>
      </c>
      <c r="T442" s="18" t="b">
        <v>1</v>
      </c>
      <c r="U442" s="14" t="s">
        <v>257</v>
      </c>
    </row>
    <row r="443" spans="1:21" x14ac:dyDescent="0.3">
      <c r="A443" s="14" t="s">
        <v>728</v>
      </c>
      <c r="B443" s="14" t="s">
        <v>731</v>
      </c>
      <c r="C443" s="22"/>
      <c r="D443" s="15">
        <v>0.5</v>
      </c>
      <c r="E443" s="16">
        <v>0.1</v>
      </c>
      <c r="F443" s="17">
        <v>0.05</v>
      </c>
      <c r="G443" s="18"/>
      <c r="H443" s="18">
        <v>800000</v>
      </c>
      <c r="I443" s="18" t="b">
        <v>0</v>
      </c>
      <c r="J443" s="14" t="s">
        <v>256</v>
      </c>
      <c r="K443" s="15"/>
      <c r="L443" s="16"/>
      <c r="M443" s="17"/>
      <c r="N443" s="18"/>
      <c r="O443" s="15"/>
      <c r="P443" s="16"/>
      <c r="Q443" s="17"/>
      <c r="R443" s="18" t="b">
        <v>1</v>
      </c>
      <c r="S443" s="18" t="b">
        <v>1</v>
      </c>
      <c r="T443" s="18" t="b">
        <v>1</v>
      </c>
      <c r="U443" s="14" t="s">
        <v>383</v>
      </c>
    </row>
    <row r="444" spans="1:21" x14ac:dyDescent="0.3">
      <c r="A444" s="14" t="s">
        <v>728</v>
      </c>
      <c r="B444" s="14" t="s">
        <v>732</v>
      </c>
      <c r="C444" s="22"/>
      <c r="D444" s="15">
        <v>0.5</v>
      </c>
      <c r="E444" s="16">
        <v>0.1</v>
      </c>
      <c r="F444" s="17">
        <v>0.05</v>
      </c>
      <c r="G444" s="18">
        <v>60</v>
      </c>
      <c r="H444" s="18">
        <v>800000</v>
      </c>
      <c r="I444" s="18" t="b">
        <v>0</v>
      </c>
      <c r="J444" s="14" t="s">
        <v>256</v>
      </c>
      <c r="K444" s="15">
        <v>30</v>
      </c>
      <c r="L444" s="16">
        <v>6</v>
      </c>
      <c r="M444" s="17">
        <v>3</v>
      </c>
      <c r="N444" s="18">
        <v>13333.33333333333</v>
      </c>
      <c r="O444" s="15">
        <v>400000</v>
      </c>
      <c r="P444" s="16">
        <v>80000</v>
      </c>
      <c r="Q444" s="17">
        <v>40000</v>
      </c>
      <c r="R444" s="18" t="b">
        <v>1</v>
      </c>
      <c r="S444" s="18" t="b">
        <v>1</v>
      </c>
      <c r="T444" s="18" t="b">
        <v>1</v>
      </c>
      <c r="U444" s="14" t="s">
        <v>248</v>
      </c>
    </row>
    <row r="445" spans="1:21" x14ac:dyDescent="0.3">
      <c r="A445" s="14" t="s">
        <v>728</v>
      </c>
      <c r="B445" s="14" t="s">
        <v>733</v>
      </c>
      <c r="C445" s="22"/>
      <c r="D445" s="15">
        <v>0.5</v>
      </c>
      <c r="E445" s="16">
        <v>0.1</v>
      </c>
      <c r="F445" s="17">
        <v>0.05</v>
      </c>
      <c r="G445" s="18">
        <v>2</v>
      </c>
      <c r="H445" s="18">
        <v>1950000</v>
      </c>
      <c r="I445" s="18" t="b">
        <v>0</v>
      </c>
      <c r="J445" s="14" t="s">
        <v>256</v>
      </c>
      <c r="K445" s="15">
        <v>1</v>
      </c>
      <c r="L445" s="16">
        <v>0</v>
      </c>
      <c r="M445" s="17">
        <v>0</v>
      </c>
      <c r="N445" s="18">
        <v>975000</v>
      </c>
      <c r="O445" s="15">
        <v>975000</v>
      </c>
      <c r="P445" s="16">
        <v>0</v>
      </c>
      <c r="Q445" s="17">
        <v>0</v>
      </c>
      <c r="R445" s="18" t="b">
        <v>1</v>
      </c>
      <c r="S445" s="18" t="b">
        <v>1</v>
      </c>
      <c r="T445" s="18" t="b">
        <v>1</v>
      </c>
      <c r="U445" s="14" t="s">
        <v>248</v>
      </c>
    </row>
    <row r="446" spans="1:21" x14ac:dyDescent="0.3">
      <c r="A446" s="14" t="s">
        <v>728</v>
      </c>
      <c r="B446" s="14" t="s">
        <v>734</v>
      </c>
      <c r="C446" s="22"/>
      <c r="D446" s="15">
        <v>0.5</v>
      </c>
      <c r="E446" s="16">
        <v>0.1</v>
      </c>
      <c r="F446" s="17">
        <v>0.05</v>
      </c>
      <c r="G446" s="18">
        <v>40</v>
      </c>
      <c r="H446" s="18">
        <v>2000000</v>
      </c>
      <c r="I446" s="18" t="b">
        <v>0</v>
      </c>
      <c r="J446" s="14" t="s">
        <v>256</v>
      </c>
      <c r="K446" s="15">
        <v>20</v>
      </c>
      <c r="L446" s="16">
        <v>4</v>
      </c>
      <c r="M446" s="17">
        <v>2</v>
      </c>
      <c r="N446" s="18">
        <v>50000</v>
      </c>
      <c r="O446" s="15">
        <v>1000000</v>
      </c>
      <c r="P446" s="16">
        <v>200000</v>
      </c>
      <c r="Q446" s="17">
        <v>100000</v>
      </c>
      <c r="R446" s="18" t="b">
        <v>1</v>
      </c>
      <c r="S446" s="18" t="b">
        <v>1</v>
      </c>
      <c r="T446" s="18" t="b">
        <v>1</v>
      </c>
      <c r="U446" s="14" t="s">
        <v>248</v>
      </c>
    </row>
    <row r="447" spans="1:21" x14ac:dyDescent="0.3">
      <c r="A447" s="14" t="s">
        <v>728</v>
      </c>
      <c r="B447" s="14" t="s">
        <v>735</v>
      </c>
      <c r="C447" s="22"/>
      <c r="D447" s="15">
        <v>0.5</v>
      </c>
      <c r="E447" s="16">
        <v>0.1</v>
      </c>
      <c r="F447" s="17">
        <v>0.05</v>
      </c>
      <c r="G447" s="18">
        <v>20</v>
      </c>
      <c r="H447" s="18">
        <v>2000000</v>
      </c>
      <c r="I447" s="18" t="b">
        <v>0</v>
      </c>
      <c r="J447" s="14" t="s">
        <v>256</v>
      </c>
      <c r="K447" s="15">
        <v>10</v>
      </c>
      <c r="L447" s="16">
        <v>2</v>
      </c>
      <c r="M447" s="17">
        <v>1</v>
      </c>
      <c r="N447" s="18">
        <v>100000</v>
      </c>
      <c r="O447" s="15">
        <v>1000000</v>
      </c>
      <c r="P447" s="16">
        <v>200000</v>
      </c>
      <c r="Q447" s="17">
        <v>100000</v>
      </c>
      <c r="R447" s="18" t="b">
        <v>1</v>
      </c>
      <c r="S447" s="18" t="b">
        <v>1</v>
      </c>
      <c r="T447" s="18" t="b">
        <v>1</v>
      </c>
      <c r="U447" s="14" t="s">
        <v>248</v>
      </c>
    </row>
    <row r="448" spans="1:21" x14ac:dyDescent="0.3">
      <c r="A448" s="14" t="s">
        <v>728</v>
      </c>
      <c r="B448" s="14" t="s">
        <v>736</v>
      </c>
      <c r="C448" s="22"/>
      <c r="D448" s="15">
        <v>0.5</v>
      </c>
      <c r="E448" s="16">
        <v>0.1</v>
      </c>
      <c r="F448" s="17">
        <v>0.05</v>
      </c>
      <c r="G448" s="18">
        <v>82</v>
      </c>
      <c r="H448" s="18">
        <v>4260000</v>
      </c>
      <c r="I448" s="18" t="b">
        <v>0</v>
      </c>
      <c r="J448" s="14" t="s">
        <v>256</v>
      </c>
      <c r="K448" s="15">
        <v>41</v>
      </c>
      <c r="L448" s="16">
        <v>8</v>
      </c>
      <c r="M448" s="17">
        <v>4</v>
      </c>
      <c r="N448" s="18">
        <v>51951.219512195123</v>
      </c>
      <c r="O448" s="15">
        <v>2130000</v>
      </c>
      <c r="P448" s="16">
        <v>415609.75609756098</v>
      </c>
      <c r="Q448" s="17">
        <v>207804.87804878049</v>
      </c>
      <c r="R448" s="18" t="b">
        <v>1</v>
      </c>
      <c r="S448" s="18" t="b">
        <v>1</v>
      </c>
      <c r="T448" s="18" t="b">
        <v>1</v>
      </c>
      <c r="U448" s="14" t="s">
        <v>245</v>
      </c>
    </row>
    <row r="449" spans="1:21" s="36" customFormat="1" x14ac:dyDescent="0.3">
      <c r="A449" s="14" t="s">
        <v>728</v>
      </c>
      <c r="B449" s="14" t="s">
        <v>737</v>
      </c>
      <c r="C449" s="22"/>
      <c r="D449" s="15">
        <v>0.5</v>
      </c>
      <c r="E449" s="16">
        <v>0.1</v>
      </c>
      <c r="F449" s="17">
        <v>0.05</v>
      </c>
      <c r="G449" s="18">
        <v>30</v>
      </c>
      <c r="H449" s="18">
        <v>5600000</v>
      </c>
      <c r="I449" s="18" t="b">
        <v>0</v>
      </c>
      <c r="J449" s="14" t="s">
        <v>256</v>
      </c>
      <c r="K449" s="15">
        <v>15</v>
      </c>
      <c r="L449" s="16">
        <v>3</v>
      </c>
      <c r="M449" s="17">
        <v>1</v>
      </c>
      <c r="N449" s="18">
        <v>186666.66666666669</v>
      </c>
      <c r="O449" s="15">
        <v>2800000</v>
      </c>
      <c r="P449" s="16">
        <v>560000</v>
      </c>
      <c r="Q449" s="17">
        <v>186666.66666666669</v>
      </c>
      <c r="R449" s="18" t="b">
        <v>1</v>
      </c>
      <c r="S449" s="18" t="b">
        <v>1</v>
      </c>
      <c r="T449" s="18" t="b">
        <v>1</v>
      </c>
      <c r="U449" s="14" t="s">
        <v>248</v>
      </c>
    </row>
    <row r="450" spans="1:21" s="26" customFormat="1" x14ac:dyDescent="0.3">
      <c r="A450" s="14" t="s">
        <v>278</v>
      </c>
      <c r="B450" s="35" t="s">
        <v>738</v>
      </c>
      <c r="C450" s="22" t="s">
        <v>739</v>
      </c>
      <c r="D450" s="31">
        <v>0.43</v>
      </c>
      <c r="E450" s="36">
        <v>0.1</v>
      </c>
      <c r="F450" s="36">
        <v>7.0000000000000007E-2</v>
      </c>
      <c r="G450" s="31">
        <v>40</v>
      </c>
      <c r="H450" s="36">
        <v>240000</v>
      </c>
      <c r="I450" s="36" t="b">
        <v>0</v>
      </c>
      <c r="J450" s="35" t="s">
        <v>256</v>
      </c>
      <c r="K450" s="36">
        <v>30</v>
      </c>
      <c r="L450" s="36">
        <v>3</v>
      </c>
      <c r="M450" s="36">
        <v>2</v>
      </c>
      <c r="N450" s="36">
        <v>8000</v>
      </c>
      <c r="O450" s="36">
        <v>240000</v>
      </c>
      <c r="P450" s="36">
        <v>24000</v>
      </c>
      <c r="Q450" s="36">
        <v>16000</v>
      </c>
      <c r="R450" s="36" t="b">
        <v>1</v>
      </c>
      <c r="S450" s="36" t="b">
        <v>1</v>
      </c>
      <c r="T450" s="36" t="b">
        <v>1</v>
      </c>
      <c r="U450" s="35" t="s">
        <v>253</v>
      </c>
    </row>
    <row r="451" spans="1:21" x14ac:dyDescent="0.3">
      <c r="A451" s="14" t="s">
        <v>49</v>
      </c>
      <c r="B451" s="20" t="s">
        <v>740</v>
      </c>
      <c r="C451" s="22" t="s">
        <v>741</v>
      </c>
      <c r="D451" s="26"/>
      <c r="E451" s="26"/>
      <c r="F451" s="26"/>
      <c r="G451" s="26">
        <v>1</v>
      </c>
      <c r="H451" s="26">
        <v>418069.1</v>
      </c>
      <c r="I451" s="26" t="b">
        <v>0</v>
      </c>
      <c r="J451" s="20" t="s">
        <v>244</v>
      </c>
      <c r="K451" s="26"/>
      <c r="L451" s="26"/>
      <c r="M451" s="26"/>
      <c r="N451" s="26">
        <v>418069.1</v>
      </c>
      <c r="O451" s="26"/>
      <c r="P451" s="26"/>
      <c r="Q451" s="26"/>
      <c r="R451" s="26" t="b">
        <v>0</v>
      </c>
      <c r="S451" s="26" t="b">
        <v>0</v>
      </c>
      <c r="T451" s="26" t="b">
        <v>0</v>
      </c>
      <c r="U451" s="20" t="s">
        <v>245</v>
      </c>
    </row>
    <row r="452" spans="1:21" s="26" customFormat="1" x14ac:dyDescent="0.3">
      <c r="A452" s="14" t="s">
        <v>49</v>
      </c>
      <c r="B452" s="20" t="s">
        <v>742</v>
      </c>
      <c r="C452" s="22" t="s">
        <v>743</v>
      </c>
      <c r="D452" s="15"/>
      <c r="E452" s="16"/>
      <c r="F452" s="17">
        <v>0.15</v>
      </c>
      <c r="G452" s="18">
        <v>80</v>
      </c>
      <c r="H452" s="18">
        <v>1200000</v>
      </c>
      <c r="I452" s="18" t="b">
        <v>0</v>
      </c>
      <c r="J452" s="14" t="s">
        <v>244</v>
      </c>
      <c r="K452" s="15"/>
      <c r="L452" s="16"/>
      <c r="M452" s="17">
        <v>12</v>
      </c>
      <c r="N452" s="18">
        <v>15000</v>
      </c>
      <c r="O452" s="15"/>
      <c r="P452" s="16"/>
      <c r="Q452" s="17">
        <v>180000</v>
      </c>
      <c r="R452" s="18" t="b">
        <v>0</v>
      </c>
      <c r="S452" s="18" t="b">
        <v>0</v>
      </c>
      <c r="T452" s="18" t="b">
        <v>1</v>
      </c>
      <c r="U452" s="14" t="s">
        <v>253</v>
      </c>
    </row>
    <row r="453" spans="1:21" x14ac:dyDescent="0.3">
      <c r="A453" s="14" t="s">
        <v>28</v>
      </c>
      <c r="B453" s="20" t="s">
        <v>744</v>
      </c>
      <c r="C453" s="22" t="s">
        <v>741</v>
      </c>
      <c r="D453" s="26"/>
      <c r="E453" s="26"/>
      <c r="F453" s="26"/>
      <c r="G453" s="26">
        <v>2</v>
      </c>
      <c r="H453" s="26">
        <v>653000</v>
      </c>
      <c r="I453" s="26" t="b">
        <v>0</v>
      </c>
      <c r="J453" s="20" t="s">
        <v>244</v>
      </c>
      <c r="K453" s="26"/>
      <c r="L453" s="26"/>
      <c r="M453" s="26"/>
      <c r="N453" s="26">
        <v>326500</v>
      </c>
      <c r="O453" s="26"/>
      <c r="P453" s="26"/>
      <c r="Q453" s="26"/>
      <c r="R453" s="26" t="b">
        <v>0</v>
      </c>
      <c r="S453" s="26" t="b">
        <v>0</v>
      </c>
      <c r="T453" s="26" t="b">
        <v>0</v>
      </c>
      <c r="U453" s="20" t="s">
        <v>245</v>
      </c>
    </row>
    <row r="454" spans="1:21" x14ac:dyDescent="0.3">
      <c r="A454" s="14" t="s">
        <v>44</v>
      </c>
      <c r="B454" s="20" t="s">
        <v>745</v>
      </c>
      <c r="C454" s="22" t="s">
        <v>746</v>
      </c>
      <c r="D454" s="15">
        <v>0</v>
      </c>
      <c r="E454" s="16">
        <v>0</v>
      </c>
      <c r="F454" s="17">
        <v>0.25</v>
      </c>
      <c r="G454" s="18">
        <v>44</v>
      </c>
      <c r="H454" s="18">
        <v>1413000</v>
      </c>
      <c r="I454" s="18" t="b">
        <v>0</v>
      </c>
      <c r="J454" s="14" t="s">
        <v>244</v>
      </c>
      <c r="K454" s="15"/>
      <c r="L454" s="16"/>
      <c r="M454" s="17">
        <v>11</v>
      </c>
      <c r="N454" s="18">
        <v>32113.63636363636</v>
      </c>
      <c r="O454" s="15"/>
      <c r="P454" s="16"/>
      <c r="Q454" s="17">
        <v>353250</v>
      </c>
      <c r="R454" s="18" t="b">
        <v>0</v>
      </c>
      <c r="S454" s="18" t="b">
        <v>0</v>
      </c>
      <c r="T454" s="18" t="b">
        <v>1</v>
      </c>
      <c r="U454" s="14" t="s">
        <v>248</v>
      </c>
    </row>
    <row r="455" spans="1:21" x14ac:dyDescent="0.3">
      <c r="A455" s="14" t="s">
        <v>44</v>
      </c>
      <c r="B455" s="20" t="s">
        <v>747</v>
      </c>
      <c r="C455" s="22" t="s">
        <v>743</v>
      </c>
      <c r="D455" s="15">
        <v>0</v>
      </c>
      <c r="E455" s="16">
        <v>0</v>
      </c>
      <c r="F455" s="17">
        <v>0.05</v>
      </c>
      <c r="G455" s="18">
        <v>40</v>
      </c>
      <c r="H455" s="18">
        <v>1413000</v>
      </c>
      <c r="I455" s="18" t="b">
        <v>0</v>
      </c>
      <c r="J455" s="14" t="s">
        <v>244</v>
      </c>
      <c r="K455" s="15"/>
      <c r="L455" s="16"/>
      <c r="M455" s="17">
        <v>2</v>
      </c>
      <c r="N455" s="18">
        <v>35325</v>
      </c>
      <c r="O455" s="15"/>
      <c r="P455" s="16"/>
      <c r="Q455" s="17">
        <v>70650</v>
      </c>
      <c r="R455" s="18" t="b">
        <v>0</v>
      </c>
      <c r="S455" s="18" t="b">
        <v>0</v>
      </c>
      <c r="T455" s="18" t="b">
        <v>1</v>
      </c>
      <c r="U455" s="14" t="s">
        <v>248</v>
      </c>
    </row>
    <row r="456" spans="1:21" x14ac:dyDescent="0.3">
      <c r="A456" s="14" t="s">
        <v>699</v>
      </c>
      <c r="B456" s="20" t="s">
        <v>748</v>
      </c>
      <c r="C456" s="22" t="s">
        <v>749</v>
      </c>
      <c r="D456" s="15">
        <v>0</v>
      </c>
      <c r="E456" s="16">
        <v>0</v>
      </c>
      <c r="F456" s="17">
        <v>4.65E-2</v>
      </c>
      <c r="G456" s="18">
        <v>86</v>
      </c>
      <c r="H456" s="18">
        <v>4300000</v>
      </c>
      <c r="I456" s="18" t="b">
        <v>0</v>
      </c>
      <c r="J456" s="14" t="s">
        <v>244</v>
      </c>
      <c r="K456" s="15"/>
      <c r="L456" s="16"/>
      <c r="M456" s="17">
        <v>3</v>
      </c>
      <c r="N456" s="18">
        <v>50000</v>
      </c>
      <c r="O456" s="15"/>
      <c r="P456" s="16"/>
      <c r="Q456" s="17">
        <v>150000</v>
      </c>
      <c r="R456" s="18" t="b">
        <v>0</v>
      </c>
      <c r="S456" s="18" t="b">
        <v>0</v>
      </c>
      <c r="T456" s="18" t="b">
        <v>0</v>
      </c>
      <c r="U456" s="14" t="s">
        <v>257</v>
      </c>
    </row>
    <row r="457" spans="1:21" x14ac:dyDescent="0.3">
      <c r="A457" s="14" t="s">
        <v>699</v>
      </c>
      <c r="B457" s="20" t="s">
        <v>750</v>
      </c>
      <c r="C457" s="22" t="s">
        <v>751</v>
      </c>
      <c r="D457" s="15"/>
      <c r="E457" s="16">
        <v>0.1132</v>
      </c>
      <c r="F457" s="17">
        <v>5.6599999999999998E-2</v>
      </c>
      <c r="G457" s="18">
        <v>53</v>
      </c>
      <c r="H457" s="18">
        <v>4200000</v>
      </c>
      <c r="I457" s="18" t="b">
        <v>0</v>
      </c>
      <c r="J457" s="14" t="s">
        <v>244</v>
      </c>
      <c r="K457" s="15"/>
      <c r="L457" s="16">
        <v>5</v>
      </c>
      <c r="M457" s="17">
        <v>2</v>
      </c>
      <c r="N457" s="18">
        <v>79245.283018867922</v>
      </c>
      <c r="O457" s="15"/>
      <c r="P457" s="16">
        <v>396226.41509433958</v>
      </c>
      <c r="Q457" s="17">
        <v>158490.56603773581</v>
      </c>
      <c r="R457" s="18" t="b">
        <v>0</v>
      </c>
      <c r="S457" s="18" t="b">
        <v>1</v>
      </c>
      <c r="T457" s="18" t="b">
        <v>1</v>
      </c>
      <c r="U457" s="14" t="s">
        <v>257</v>
      </c>
    </row>
    <row r="458" spans="1:21" x14ac:dyDescent="0.3">
      <c r="A458" s="14" t="s">
        <v>55</v>
      </c>
      <c r="B458" s="37" t="s">
        <v>56</v>
      </c>
      <c r="C458" s="22" t="s">
        <v>254</v>
      </c>
      <c r="D458" s="15">
        <v>0</v>
      </c>
      <c r="E458" s="16">
        <v>0</v>
      </c>
      <c r="F458" s="17">
        <v>0</v>
      </c>
      <c r="G458" s="18">
        <v>98</v>
      </c>
      <c r="H458" s="18">
        <v>3000000</v>
      </c>
      <c r="I458" s="18" t="b">
        <v>0</v>
      </c>
      <c r="J458" s="14" t="s">
        <v>244</v>
      </c>
      <c r="K458" s="15"/>
      <c r="L458" s="16"/>
      <c r="M458" s="17"/>
      <c r="N458" s="18">
        <v>30612.244897959179</v>
      </c>
      <c r="O458" s="15"/>
      <c r="P458" s="16"/>
      <c r="Q458" s="17"/>
      <c r="R458" s="18" t="b">
        <v>0</v>
      </c>
      <c r="S458" s="18" t="b">
        <v>0</v>
      </c>
      <c r="T458" s="18" t="b">
        <v>0</v>
      </c>
      <c r="U458" s="14" t="s">
        <v>253</v>
      </c>
    </row>
    <row r="459" spans="1:21" x14ac:dyDescent="0.3">
      <c r="A459" s="14" t="s">
        <v>55</v>
      </c>
      <c r="B459" s="38" t="s">
        <v>60</v>
      </c>
      <c r="C459" s="22" t="s">
        <v>254</v>
      </c>
      <c r="D459" s="15">
        <v>0</v>
      </c>
      <c r="E459" s="15">
        <v>0</v>
      </c>
      <c r="F459" s="15">
        <v>0</v>
      </c>
      <c r="G459" s="18">
        <v>40</v>
      </c>
      <c r="H459" s="18"/>
      <c r="I459" s="18" t="b">
        <v>0</v>
      </c>
      <c r="J459" s="14" t="s">
        <v>244</v>
      </c>
      <c r="K459" s="15"/>
      <c r="L459" s="16"/>
      <c r="M459" s="17"/>
      <c r="N459" s="18"/>
      <c r="O459" s="15"/>
      <c r="P459" s="16"/>
      <c r="Q459" s="17"/>
      <c r="R459" s="18" t="b">
        <v>0</v>
      </c>
      <c r="S459" s="18" t="b">
        <v>0</v>
      </c>
      <c r="T459" s="18" t="b">
        <v>0</v>
      </c>
      <c r="U459" s="14" t="s">
        <v>248</v>
      </c>
    </row>
    <row r="460" spans="1:21" x14ac:dyDescent="0.3">
      <c r="A460" s="14" t="s">
        <v>55</v>
      </c>
      <c r="B460" s="38" t="s">
        <v>68</v>
      </c>
      <c r="C460" s="22" t="s">
        <v>254</v>
      </c>
      <c r="D460" s="15">
        <v>0</v>
      </c>
      <c r="E460" s="15">
        <v>0</v>
      </c>
      <c r="F460" s="15">
        <v>0</v>
      </c>
      <c r="G460" s="18">
        <v>184</v>
      </c>
      <c r="H460" s="18"/>
      <c r="I460" s="18" t="b">
        <v>0</v>
      </c>
      <c r="J460" s="14" t="s">
        <v>244</v>
      </c>
      <c r="K460" s="15"/>
      <c r="L460" s="16"/>
      <c r="M460" s="17"/>
      <c r="N460" s="18"/>
      <c r="O460" s="15"/>
      <c r="P460" s="16"/>
      <c r="Q460" s="17"/>
      <c r="R460" s="18" t="b">
        <v>0</v>
      </c>
      <c r="S460" s="18" t="b">
        <v>0</v>
      </c>
      <c r="T460" s="18" t="b">
        <v>0</v>
      </c>
      <c r="U460" s="14" t="s">
        <v>248</v>
      </c>
    </row>
    <row r="461" spans="1:21" x14ac:dyDescent="0.3">
      <c r="A461" s="14" t="s">
        <v>80</v>
      </c>
      <c r="B461" s="19" t="s">
        <v>752</v>
      </c>
      <c r="C461" s="22" t="s">
        <v>254</v>
      </c>
      <c r="D461" s="15">
        <v>0</v>
      </c>
      <c r="E461" s="15">
        <v>0</v>
      </c>
      <c r="F461" s="15">
        <v>0</v>
      </c>
      <c r="G461" s="18">
        <v>10</v>
      </c>
      <c r="H461" s="18">
        <v>1000000</v>
      </c>
      <c r="I461" s="18" t="b">
        <v>0</v>
      </c>
      <c r="J461" s="14" t="s">
        <v>244</v>
      </c>
      <c r="K461" s="15"/>
      <c r="L461" s="16"/>
      <c r="M461" s="17"/>
      <c r="N461" s="18">
        <v>100000</v>
      </c>
      <c r="O461" s="15"/>
      <c r="P461" s="16"/>
      <c r="Q461" s="17"/>
      <c r="R461" s="18" t="b">
        <v>0</v>
      </c>
      <c r="S461" s="18" t="b">
        <v>0</v>
      </c>
      <c r="T461" s="18" t="b">
        <v>0</v>
      </c>
      <c r="U461" s="14" t="s">
        <v>248</v>
      </c>
    </row>
    <row r="462" spans="1:21" x14ac:dyDescent="0.3">
      <c r="A462" s="14" t="s">
        <v>80</v>
      </c>
      <c r="B462" s="19" t="s">
        <v>753</v>
      </c>
      <c r="C462" s="22" t="s">
        <v>254</v>
      </c>
      <c r="D462" s="15">
        <v>0</v>
      </c>
      <c r="E462" s="15">
        <v>0</v>
      </c>
      <c r="F462" s="15">
        <v>0</v>
      </c>
      <c r="G462" s="18">
        <v>10</v>
      </c>
      <c r="H462" s="18">
        <v>800000</v>
      </c>
      <c r="I462" s="18" t="b">
        <v>0</v>
      </c>
      <c r="J462" s="14" t="s">
        <v>244</v>
      </c>
      <c r="K462" s="15"/>
      <c r="L462" s="16"/>
      <c r="M462" s="17"/>
      <c r="N462" s="18">
        <v>80000</v>
      </c>
      <c r="O462" s="15"/>
      <c r="P462" s="16"/>
      <c r="Q462" s="17"/>
      <c r="R462" s="18" t="b">
        <v>0</v>
      </c>
      <c r="S462" s="18" t="b">
        <v>0</v>
      </c>
      <c r="T462" s="18" t="b">
        <v>0</v>
      </c>
      <c r="U462" s="14" t="s">
        <v>253</v>
      </c>
    </row>
    <row r="463" spans="1:21" s="26" customFormat="1" x14ac:dyDescent="0.3">
      <c r="A463" s="14" t="s">
        <v>80</v>
      </c>
      <c r="B463" s="19" t="s">
        <v>754</v>
      </c>
      <c r="C463" s="22" t="s">
        <v>254</v>
      </c>
      <c r="D463" s="15">
        <v>0</v>
      </c>
      <c r="E463" s="15">
        <v>0</v>
      </c>
      <c r="F463" s="15">
        <v>0</v>
      </c>
      <c r="G463" s="18">
        <v>20</v>
      </c>
      <c r="H463" s="18">
        <v>400000</v>
      </c>
      <c r="I463" s="18" t="b">
        <v>0</v>
      </c>
      <c r="J463" s="14" t="s">
        <v>244</v>
      </c>
      <c r="K463" s="15"/>
      <c r="L463" s="16"/>
      <c r="M463" s="17"/>
      <c r="N463" s="18">
        <v>20000</v>
      </c>
      <c r="O463" s="15"/>
      <c r="P463" s="16"/>
      <c r="Q463" s="17"/>
      <c r="R463" s="18" t="b">
        <v>0</v>
      </c>
      <c r="S463" s="18" t="b">
        <v>0</v>
      </c>
      <c r="T463" s="18" t="b">
        <v>0</v>
      </c>
      <c r="U463" s="14" t="s">
        <v>253</v>
      </c>
    </row>
    <row r="464" spans="1:21" x14ac:dyDescent="0.3">
      <c r="A464" s="14" t="s">
        <v>273</v>
      </c>
      <c r="B464" s="20" t="s">
        <v>755</v>
      </c>
      <c r="C464" s="22" t="s">
        <v>741</v>
      </c>
      <c r="D464" s="26"/>
      <c r="E464" s="26"/>
      <c r="F464" s="26"/>
      <c r="G464" s="26">
        <v>1</v>
      </c>
      <c r="H464" s="26">
        <v>488000</v>
      </c>
      <c r="I464" s="26" t="b">
        <v>0</v>
      </c>
      <c r="J464" s="20" t="s">
        <v>244</v>
      </c>
      <c r="K464" s="26"/>
      <c r="L464" s="26"/>
      <c r="M464" s="26"/>
      <c r="N464" s="26">
        <v>488000</v>
      </c>
      <c r="O464" s="26"/>
      <c r="P464" s="26"/>
      <c r="Q464" s="26"/>
      <c r="R464" s="26" t="b">
        <v>0</v>
      </c>
      <c r="S464" s="26" t="b">
        <v>0</v>
      </c>
      <c r="T464" s="26" t="b">
        <v>0</v>
      </c>
      <c r="U464" s="20" t="s">
        <v>245</v>
      </c>
    </row>
    <row r="465" spans="1:21" x14ac:dyDescent="0.3">
      <c r="A465" s="14" t="s">
        <v>125</v>
      </c>
      <c r="B465" s="20" t="s">
        <v>756</v>
      </c>
      <c r="C465" s="22" t="s">
        <v>757</v>
      </c>
      <c r="D465" s="15">
        <v>0</v>
      </c>
      <c r="E465" s="16">
        <v>0</v>
      </c>
      <c r="F465" s="31">
        <v>6.6000000000000003E-2</v>
      </c>
      <c r="G465" s="18">
        <v>75</v>
      </c>
      <c r="H465" s="18">
        <v>450000</v>
      </c>
      <c r="I465" s="18" t="b">
        <v>0</v>
      </c>
      <c r="J465" s="14" t="s">
        <v>244</v>
      </c>
      <c r="K465" s="15"/>
      <c r="L465" s="16"/>
      <c r="M465" s="17"/>
      <c r="N465" s="18">
        <v>6000</v>
      </c>
      <c r="O465" s="15"/>
      <c r="P465" s="16"/>
      <c r="Q465" s="17"/>
      <c r="R465" s="18" t="b">
        <v>0</v>
      </c>
      <c r="S465" s="18" t="b">
        <v>0</v>
      </c>
      <c r="T465" s="18" t="b">
        <v>0</v>
      </c>
      <c r="U465" s="14" t="s">
        <v>253</v>
      </c>
    </row>
    <row r="466" spans="1:21" x14ac:dyDescent="0.3">
      <c r="A466" s="14" t="s">
        <v>99</v>
      </c>
      <c r="B466" s="20" t="s">
        <v>758</v>
      </c>
      <c r="C466" s="22" t="s">
        <v>759</v>
      </c>
      <c r="D466" s="31">
        <v>0.25900000000000001</v>
      </c>
      <c r="E466" s="31">
        <v>0.1</v>
      </c>
      <c r="F466" s="31">
        <v>4.8000000000000001E-2</v>
      </c>
      <c r="G466" s="18">
        <v>104</v>
      </c>
      <c r="H466" s="18">
        <v>1462500</v>
      </c>
      <c r="I466" s="18" t="b">
        <v>0</v>
      </c>
      <c r="J466" s="14" t="s">
        <v>244</v>
      </c>
      <c r="K466" s="15"/>
      <c r="L466" s="16"/>
      <c r="M466" s="17"/>
      <c r="N466" s="18">
        <v>14062.5</v>
      </c>
      <c r="O466" s="15"/>
      <c r="P466" s="16"/>
      <c r="Q466" s="17"/>
      <c r="R466" s="18" t="b">
        <v>0</v>
      </c>
      <c r="S466" s="18" t="b">
        <v>0</v>
      </c>
      <c r="T466" s="18" t="b">
        <v>0</v>
      </c>
      <c r="U466" s="14" t="s">
        <v>383</v>
      </c>
    </row>
    <row r="467" spans="1:21" x14ac:dyDescent="0.3">
      <c r="A467" s="14" t="s">
        <v>99</v>
      </c>
      <c r="B467" s="20" t="s">
        <v>760</v>
      </c>
      <c r="C467" s="22" t="s">
        <v>759</v>
      </c>
      <c r="D467" s="31">
        <v>0.25</v>
      </c>
      <c r="E467" s="31">
        <v>0.1</v>
      </c>
      <c r="F467" s="31">
        <v>4.9000000000000002E-2</v>
      </c>
      <c r="G467" s="18">
        <v>286</v>
      </c>
      <c r="H467" s="18">
        <v>7150000</v>
      </c>
      <c r="I467" s="18" t="b">
        <v>0</v>
      </c>
      <c r="J467" s="14" t="s">
        <v>244</v>
      </c>
      <c r="K467" s="15"/>
      <c r="L467" s="16"/>
      <c r="M467" s="17"/>
      <c r="N467" s="18">
        <v>25000</v>
      </c>
      <c r="O467" s="15"/>
      <c r="P467" s="16"/>
      <c r="Q467" s="17"/>
      <c r="R467" s="18" t="b">
        <v>0</v>
      </c>
      <c r="S467" s="18" t="b">
        <v>0</v>
      </c>
      <c r="T467" s="18" t="b">
        <v>0</v>
      </c>
      <c r="U467" s="14" t="s">
        <v>248</v>
      </c>
    </row>
    <row r="468" spans="1:21" x14ac:dyDescent="0.3">
      <c r="A468" s="14" t="s">
        <v>99</v>
      </c>
      <c r="B468" s="19" t="s">
        <v>761</v>
      </c>
      <c r="C468" s="22" t="s">
        <v>762</v>
      </c>
      <c r="D468" s="31">
        <v>0.22789999999999999</v>
      </c>
      <c r="E468" s="31">
        <v>0.11600000000000001</v>
      </c>
      <c r="F468" s="31">
        <v>4.1000000000000002E-2</v>
      </c>
      <c r="G468" s="18">
        <v>215</v>
      </c>
      <c r="H468" s="18">
        <v>5340000</v>
      </c>
      <c r="I468" s="18" t="b">
        <v>0</v>
      </c>
      <c r="J468" s="14" t="s">
        <v>244</v>
      </c>
      <c r="K468" s="15"/>
      <c r="L468" s="16"/>
      <c r="M468" s="17"/>
      <c r="N468" s="18">
        <v>24837.20930232558</v>
      </c>
      <c r="O468" s="15"/>
      <c r="P468" s="16"/>
      <c r="Q468" s="17"/>
      <c r="R468" s="18" t="b">
        <v>0</v>
      </c>
      <c r="S468" s="18" t="b">
        <v>0</v>
      </c>
      <c r="T468" s="18" t="b">
        <v>0</v>
      </c>
      <c r="U468" s="14" t="s">
        <v>248</v>
      </c>
    </row>
    <row r="469" spans="1:21" x14ac:dyDescent="0.3">
      <c r="A469" s="14" t="s">
        <v>99</v>
      </c>
      <c r="B469" s="19" t="s">
        <v>763</v>
      </c>
      <c r="C469" s="22" t="s">
        <v>762</v>
      </c>
      <c r="D469" s="31">
        <v>0.24099999999999999</v>
      </c>
      <c r="E469" s="31">
        <v>9.5000000000000001E-2</v>
      </c>
      <c r="F469" s="31">
        <v>0.05</v>
      </c>
      <c r="G469" s="18">
        <v>347</v>
      </c>
      <c r="H469" s="18">
        <v>13262500</v>
      </c>
      <c r="I469" s="18" t="b">
        <v>0</v>
      </c>
      <c r="J469" s="14" t="s">
        <v>244</v>
      </c>
      <c r="K469" s="15"/>
      <c r="L469" s="16"/>
      <c r="M469" s="17"/>
      <c r="N469" s="18">
        <v>38220.461095100873</v>
      </c>
      <c r="O469" s="15"/>
      <c r="P469" s="16"/>
      <c r="Q469" s="17"/>
      <c r="R469" s="18" t="b">
        <v>0</v>
      </c>
      <c r="S469" s="18" t="b">
        <v>0</v>
      </c>
      <c r="T469" s="18" t="b">
        <v>0</v>
      </c>
      <c r="U469" s="14" t="s">
        <v>248</v>
      </c>
    </row>
    <row r="470" spans="1:21" x14ac:dyDescent="0.3">
      <c r="A470" s="14" t="s">
        <v>99</v>
      </c>
      <c r="B470" s="19" t="s">
        <v>764</v>
      </c>
      <c r="C470" s="22" t="s">
        <v>762</v>
      </c>
      <c r="D470" s="31">
        <v>0.25800000000000001</v>
      </c>
      <c r="E470" s="31">
        <v>0.109</v>
      </c>
      <c r="F470" s="31">
        <v>4.8000000000000001E-2</v>
      </c>
      <c r="G470" s="18">
        <v>201</v>
      </c>
      <c r="H470" s="18">
        <v>8820000</v>
      </c>
      <c r="I470" s="18" t="b">
        <v>0</v>
      </c>
      <c r="J470" s="14" t="s">
        <v>244</v>
      </c>
      <c r="K470" s="15"/>
      <c r="L470" s="16"/>
      <c r="M470" s="17"/>
      <c r="N470" s="18">
        <v>43880.59701492537</v>
      </c>
      <c r="O470" s="15"/>
      <c r="P470" s="16"/>
      <c r="Q470" s="17"/>
      <c r="R470" s="18" t="b">
        <v>0</v>
      </c>
      <c r="S470" s="18" t="b">
        <v>0</v>
      </c>
      <c r="T470" s="18" t="b">
        <v>0</v>
      </c>
      <c r="U470" s="14" t="s">
        <v>248</v>
      </c>
    </row>
    <row r="471" spans="1:21" s="26" customFormat="1" x14ac:dyDescent="0.3">
      <c r="A471" s="14" t="s">
        <v>99</v>
      </c>
      <c r="B471" s="19" t="s">
        <v>765</v>
      </c>
      <c r="C471" s="22" t="s">
        <v>762</v>
      </c>
      <c r="D471" s="31">
        <v>0.25700000000000001</v>
      </c>
      <c r="E471" s="31">
        <v>0.11</v>
      </c>
      <c r="F471" s="31">
        <v>4.2000000000000003E-2</v>
      </c>
      <c r="G471" s="31">
        <v>163</v>
      </c>
      <c r="H471" s="18">
        <v>8895000</v>
      </c>
      <c r="I471" s="18" t="b">
        <v>0</v>
      </c>
      <c r="J471" s="14" t="s">
        <v>244</v>
      </c>
      <c r="K471" s="15"/>
      <c r="L471" s="16"/>
      <c r="M471" s="17"/>
      <c r="N471" s="18"/>
      <c r="O471" s="15"/>
      <c r="P471" s="16"/>
      <c r="Q471" s="17"/>
      <c r="R471" s="18" t="b">
        <v>0</v>
      </c>
      <c r="S471" s="18" t="b">
        <v>0</v>
      </c>
      <c r="T471" s="18" t="b">
        <v>0</v>
      </c>
      <c r="U471" s="14" t="s">
        <v>257</v>
      </c>
    </row>
    <row r="472" spans="1:21" x14ac:dyDescent="0.3">
      <c r="A472" s="14" t="s">
        <v>414</v>
      </c>
      <c r="B472" s="39" t="s">
        <v>766</v>
      </c>
      <c r="C472" s="22" t="s">
        <v>743</v>
      </c>
      <c r="D472" s="26"/>
      <c r="E472" s="26"/>
      <c r="F472" s="26">
        <v>0.05</v>
      </c>
      <c r="G472" s="26">
        <v>55</v>
      </c>
      <c r="H472" s="26">
        <v>800000</v>
      </c>
      <c r="I472" s="26" t="b">
        <v>0</v>
      </c>
      <c r="J472" s="20" t="s">
        <v>244</v>
      </c>
      <c r="K472" s="26"/>
      <c r="L472" s="26"/>
      <c r="M472" s="26">
        <v>2</v>
      </c>
      <c r="N472" s="26">
        <v>14545.45454545455</v>
      </c>
      <c r="O472" s="26"/>
      <c r="P472" s="26"/>
      <c r="Q472" s="26">
        <v>29090.909090909088</v>
      </c>
      <c r="R472" s="26" t="b">
        <v>0</v>
      </c>
      <c r="S472" s="26" t="b">
        <v>0</v>
      </c>
      <c r="T472" s="26" t="b">
        <v>1</v>
      </c>
      <c r="U472" s="20" t="s">
        <v>253</v>
      </c>
    </row>
    <row r="473" spans="1:21" x14ac:dyDescent="0.3">
      <c r="A473" s="14" t="s">
        <v>414</v>
      </c>
      <c r="B473" s="39" t="s">
        <v>767</v>
      </c>
      <c r="C473" s="22" t="s">
        <v>768</v>
      </c>
      <c r="D473" s="15">
        <v>0</v>
      </c>
      <c r="E473" s="16">
        <v>0</v>
      </c>
      <c r="F473" s="17">
        <v>0.05</v>
      </c>
      <c r="G473" s="18">
        <v>55</v>
      </c>
      <c r="H473" s="18">
        <v>800000</v>
      </c>
      <c r="I473" s="18" t="b">
        <v>0</v>
      </c>
      <c r="J473" s="14" t="s">
        <v>244</v>
      </c>
      <c r="K473" s="15"/>
      <c r="L473" s="16"/>
      <c r="M473" s="17">
        <v>2</v>
      </c>
      <c r="N473" s="18">
        <v>14545.45454545455</v>
      </c>
      <c r="O473" s="15"/>
      <c r="P473" s="16"/>
      <c r="Q473" s="17">
        <v>29090.909090909088</v>
      </c>
      <c r="R473" s="18" t="b">
        <v>0</v>
      </c>
      <c r="S473" s="18" t="b">
        <v>0</v>
      </c>
      <c r="T473" s="18" t="b">
        <v>1</v>
      </c>
      <c r="U473" s="14" t="s">
        <v>253</v>
      </c>
    </row>
    <row r="474" spans="1:21" x14ac:dyDescent="0.3">
      <c r="A474" s="14" t="s">
        <v>414</v>
      </c>
      <c r="B474" s="20" t="s">
        <v>769</v>
      </c>
      <c r="C474" s="22" t="s">
        <v>770</v>
      </c>
      <c r="D474" s="15">
        <v>0</v>
      </c>
      <c r="E474" s="16">
        <v>0</v>
      </c>
      <c r="F474" s="17">
        <v>0.05</v>
      </c>
      <c r="G474" s="18">
        <v>55</v>
      </c>
      <c r="H474" s="18">
        <v>800000</v>
      </c>
      <c r="I474" s="18" t="b">
        <v>0</v>
      </c>
      <c r="J474" s="14" t="s">
        <v>244</v>
      </c>
      <c r="K474" s="15"/>
      <c r="L474" s="16"/>
      <c r="M474" s="17">
        <v>2</v>
      </c>
      <c r="N474" s="18">
        <v>14545.45454545455</v>
      </c>
      <c r="O474" s="15"/>
      <c r="P474" s="16"/>
      <c r="Q474" s="17">
        <v>29090.909090909088</v>
      </c>
      <c r="R474" s="18" t="b">
        <v>0</v>
      </c>
      <c r="S474" s="18" t="b">
        <v>0</v>
      </c>
      <c r="T474" s="18" t="b">
        <v>1</v>
      </c>
      <c r="U474" s="14" t="s">
        <v>253</v>
      </c>
    </row>
    <row r="475" spans="1:21" s="36" customFormat="1" x14ac:dyDescent="0.3">
      <c r="A475" s="14" t="s">
        <v>436</v>
      </c>
      <c r="B475" s="40" t="s">
        <v>771</v>
      </c>
      <c r="C475" s="22" t="s">
        <v>772</v>
      </c>
      <c r="D475" s="36">
        <v>1</v>
      </c>
      <c r="E475" s="36">
        <v>0.1</v>
      </c>
      <c r="F475" s="36">
        <v>0.05</v>
      </c>
      <c r="G475" s="36">
        <v>100</v>
      </c>
      <c r="H475" s="36">
        <v>1000000</v>
      </c>
      <c r="I475" s="36" t="b">
        <v>0</v>
      </c>
      <c r="J475" s="35" t="s">
        <v>244</v>
      </c>
      <c r="L475" s="36">
        <v>10</v>
      </c>
      <c r="M475" s="36">
        <v>5</v>
      </c>
      <c r="N475" s="36">
        <v>10000</v>
      </c>
      <c r="P475" s="36">
        <v>100000</v>
      </c>
      <c r="Q475" s="36">
        <v>50000</v>
      </c>
      <c r="R475" s="36" t="b">
        <v>0</v>
      </c>
      <c r="S475" s="36" t="b">
        <v>1</v>
      </c>
      <c r="T475" s="36" t="b">
        <v>1</v>
      </c>
      <c r="U475" s="35" t="s">
        <v>253</v>
      </c>
    </row>
    <row r="476" spans="1:21" s="26" customFormat="1" x14ac:dyDescent="0.3">
      <c r="A476" s="14" t="s">
        <v>211</v>
      </c>
      <c r="B476" s="25" t="s">
        <v>773</v>
      </c>
      <c r="C476" s="22" t="s">
        <v>741</v>
      </c>
      <c r="G476" s="26">
        <v>2</v>
      </c>
      <c r="H476" s="26">
        <v>4800000</v>
      </c>
      <c r="I476" s="26" t="b">
        <v>0</v>
      </c>
      <c r="J476" s="20" t="s">
        <v>244</v>
      </c>
      <c r="N476" s="26">
        <v>2400000</v>
      </c>
      <c r="R476" s="26" t="b">
        <v>0</v>
      </c>
      <c r="S476" s="26" t="b">
        <v>0</v>
      </c>
      <c r="T476" s="26" t="b">
        <v>0</v>
      </c>
      <c r="U476" s="20" t="s">
        <v>245</v>
      </c>
    </row>
    <row r="477" spans="1:21" x14ac:dyDescent="0.3">
      <c r="A477" s="14" t="s">
        <v>455</v>
      </c>
      <c r="B477" s="91" t="s">
        <v>774</v>
      </c>
      <c r="C477" s="22" t="s">
        <v>768</v>
      </c>
      <c r="D477" s="15"/>
      <c r="E477" s="16"/>
      <c r="F477" s="17">
        <v>0.05</v>
      </c>
      <c r="G477" s="18">
        <v>40</v>
      </c>
      <c r="H477" s="18">
        <v>1200000</v>
      </c>
      <c r="I477" s="18" t="b">
        <v>0</v>
      </c>
      <c r="J477" s="14" t="s">
        <v>244</v>
      </c>
      <c r="K477" s="15"/>
      <c r="L477" s="16"/>
      <c r="M477" s="17">
        <v>2</v>
      </c>
      <c r="N477" s="18">
        <v>30000</v>
      </c>
      <c r="O477" s="15"/>
      <c r="P477" s="16"/>
      <c r="Q477" s="17">
        <v>60000</v>
      </c>
      <c r="R477" s="18" t="b">
        <v>0</v>
      </c>
      <c r="S477" s="18" t="b">
        <v>0</v>
      </c>
      <c r="T477" s="18" t="b">
        <v>1</v>
      </c>
      <c r="U477" s="14" t="s">
        <v>253</v>
      </c>
    </row>
    <row r="478" spans="1:21" s="26" customFormat="1" x14ac:dyDescent="0.3">
      <c r="A478" s="14" t="s">
        <v>455</v>
      </c>
      <c r="B478" s="92" t="s">
        <v>775</v>
      </c>
      <c r="C478" s="22" t="s">
        <v>743</v>
      </c>
      <c r="F478" s="26">
        <v>0.05</v>
      </c>
      <c r="G478" s="26">
        <v>22</v>
      </c>
      <c r="H478" s="26">
        <v>660000</v>
      </c>
      <c r="I478" s="26" t="b">
        <v>0</v>
      </c>
      <c r="J478" s="20" t="s">
        <v>244</v>
      </c>
      <c r="M478" s="26">
        <v>1</v>
      </c>
      <c r="N478" s="26">
        <v>30000</v>
      </c>
      <c r="Q478" s="26">
        <v>30000</v>
      </c>
      <c r="R478" s="26" t="b">
        <v>0</v>
      </c>
      <c r="S478" s="26" t="b">
        <v>0</v>
      </c>
      <c r="T478" s="26" t="b">
        <v>1</v>
      </c>
      <c r="U478" s="20" t="s">
        <v>253</v>
      </c>
    </row>
    <row r="479" spans="1:21" s="26" customFormat="1" x14ac:dyDescent="0.3">
      <c r="A479" s="14" t="s">
        <v>455</v>
      </c>
      <c r="B479" s="25" t="s">
        <v>776</v>
      </c>
      <c r="C479" s="22" t="s">
        <v>741</v>
      </c>
      <c r="G479" s="26">
        <v>2</v>
      </c>
      <c r="H479" s="26">
        <v>600000</v>
      </c>
      <c r="I479" s="26" t="b">
        <v>0</v>
      </c>
      <c r="J479" s="20" t="s">
        <v>244</v>
      </c>
      <c r="N479" s="26">
        <v>300000</v>
      </c>
      <c r="R479" s="26" t="b">
        <v>0</v>
      </c>
      <c r="S479" s="26" t="b">
        <v>0</v>
      </c>
      <c r="T479" s="26" t="b">
        <v>0</v>
      </c>
      <c r="U479" s="20" t="s">
        <v>245</v>
      </c>
    </row>
    <row r="480" spans="1:21" x14ac:dyDescent="0.3">
      <c r="A480" s="14" t="s">
        <v>455</v>
      </c>
      <c r="B480" s="93" t="s">
        <v>777</v>
      </c>
      <c r="C480" s="22" t="s">
        <v>746</v>
      </c>
      <c r="D480" s="15">
        <v>1</v>
      </c>
      <c r="E480" s="16">
        <v>0</v>
      </c>
      <c r="F480" s="17">
        <v>0.05</v>
      </c>
      <c r="G480" s="18">
        <v>30</v>
      </c>
      <c r="H480" s="18">
        <v>620000</v>
      </c>
      <c r="I480" s="18" t="b">
        <v>0</v>
      </c>
      <c r="J480" s="14" t="s">
        <v>244</v>
      </c>
      <c r="K480" s="15"/>
      <c r="L480" s="16"/>
      <c r="M480" s="17">
        <v>1</v>
      </c>
      <c r="N480" s="18">
        <v>20666.666666666672</v>
      </c>
      <c r="O480" s="15"/>
      <c r="P480" s="16"/>
      <c r="Q480" s="17">
        <v>20666.666666666672</v>
      </c>
      <c r="R480" s="18" t="b">
        <v>0</v>
      </c>
      <c r="S480" s="18" t="b">
        <v>0</v>
      </c>
      <c r="T480" s="18" t="b">
        <v>1</v>
      </c>
      <c r="U480" s="14" t="s">
        <v>248</v>
      </c>
    </row>
    <row r="481" spans="1:21" x14ac:dyDescent="0.3">
      <c r="A481" s="14" t="s">
        <v>139</v>
      </c>
      <c r="B481" s="28" t="s">
        <v>778</v>
      </c>
      <c r="C481" s="29" t="s">
        <v>779</v>
      </c>
      <c r="D481" s="31">
        <v>0.26800000000000002</v>
      </c>
      <c r="E481" s="31">
        <v>0.1</v>
      </c>
      <c r="F481" s="31">
        <v>0.05</v>
      </c>
      <c r="G481" s="18">
        <v>67</v>
      </c>
      <c r="H481" s="18">
        <v>7900000</v>
      </c>
      <c r="I481" s="18" t="b">
        <v>0</v>
      </c>
      <c r="J481" s="14" t="s">
        <v>244</v>
      </c>
      <c r="K481" s="15"/>
      <c r="L481" s="16"/>
      <c r="M481" s="17"/>
      <c r="N481" s="18">
        <v>117910.44776119399</v>
      </c>
      <c r="O481" s="15"/>
      <c r="P481" s="16"/>
      <c r="Q481" s="17"/>
      <c r="R481" s="18" t="b">
        <v>0</v>
      </c>
      <c r="S481" s="18" t="b">
        <v>0</v>
      </c>
      <c r="T481" s="18" t="b">
        <v>0</v>
      </c>
      <c r="U481" s="14" t="s">
        <v>248</v>
      </c>
    </row>
    <row r="482" spans="1:21" x14ac:dyDescent="0.3">
      <c r="A482" s="14" t="s">
        <v>139</v>
      </c>
      <c r="B482" s="28" t="s">
        <v>780</v>
      </c>
      <c r="C482" s="29" t="s">
        <v>781</v>
      </c>
      <c r="D482" s="31">
        <v>0.26600000000000001</v>
      </c>
      <c r="E482" s="31">
        <v>0.1</v>
      </c>
      <c r="F482" s="31">
        <v>3.3000000000000002E-2</v>
      </c>
      <c r="G482" s="18">
        <v>30</v>
      </c>
      <c r="H482" s="18">
        <v>4000000</v>
      </c>
      <c r="I482" s="18" t="b">
        <v>0</v>
      </c>
      <c r="J482" s="14" t="s">
        <v>244</v>
      </c>
      <c r="K482" s="15"/>
      <c r="L482" s="16"/>
      <c r="M482" s="17"/>
      <c r="N482" s="18">
        <v>133333.33333333331</v>
      </c>
      <c r="O482" s="15"/>
      <c r="P482" s="16"/>
      <c r="Q482" s="17"/>
      <c r="R482" s="18" t="b">
        <v>0</v>
      </c>
      <c r="S482" s="18" t="b">
        <v>0</v>
      </c>
      <c r="T482" s="18" t="b">
        <v>0</v>
      </c>
      <c r="U482" s="14" t="s">
        <v>248</v>
      </c>
    </row>
    <row r="483" spans="1:21" x14ac:dyDescent="0.3">
      <c r="A483" s="14" t="s">
        <v>139</v>
      </c>
      <c r="B483" s="28" t="s">
        <v>782</v>
      </c>
      <c r="C483" s="29" t="s">
        <v>779</v>
      </c>
      <c r="D483" s="31">
        <v>0.26600000000000001</v>
      </c>
      <c r="E483" s="31">
        <v>0.1</v>
      </c>
      <c r="F483" s="31">
        <v>6.6000000000000003E-2</v>
      </c>
      <c r="G483" s="18">
        <v>30</v>
      </c>
      <c r="H483" s="18">
        <v>4000000</v>
      </c>
      <c r="I483" s="18" t="b">
        <v>0</v>
      </c>
      <c r="J483" s="14" t="s">
        <v>244</v>
      </c>
      <c r="K483" s="15"/>
      <c r="L483" s="16"/>
      <c r="M483" s="17"/>
      <c r="N483" s="18">
        <v>133333.33333333331</v>
      </c>
      <c r="O483" s="15"/>
      <c r="P483" s="16"/>
      <c r="Q483" s="17"/>
      <c r="R483" s="18" t="b">
        <v>0</v>
      </c>
      <c r="S483" s="18" t="b">
        <v>0</v>
      </c>
      <c r="T483" s="18" t="b">
        <v>0</v>
      </c>
      <c r="U483" s="14" t="s">
        <v>248</v>
      </c>
    </row>
    <row r="484" spans="1:21" x14ac:dyDescent="0.3">
      <c r="A484" s="14" t="s">
        <v>139</v>
      </c>
      <c r="B484" s="28" t="s">
        <v>783</v>
      </c>
      <c r="C484" s="29" t="s">
        <v>781</v>
      </c>
      <c r="D484" s="31">
        <v>0.26500000000000001</v>
      </c>
      <c r="E484" s="31">
        <v>0.1</v>
      </c>
      <c r="F484" s="31">
        <v>0.04</v>
      </c>
      <c r="G484" s="18">
        <v>49</v>
      </c>
      <c r="H484" s="18">
        <v>7800000</v>
      </c>
      <c r="I484" s="18" t="b">
        <v>0</v>
      </c>
      <c r="J484" s="14" t="s">
        <v>244</v>
      </c>
      <c r="K484" s="15"/>
      <c r="L484" s="16"/>
      <c r="M484" s="17"/>
      <c r="N484" s="18">
        <v>159183.67346938781</v>
      </c>
      <c r="O484" s="15"/>
      <c r="P484" s="16"/>
      <c r="Q484" s="17"/>
      <c r="R484" s="18" t="b">
        <v>0</v>
      </c>
      <c r="S484" s="18" t="b">
        <v>0</v>
      </c>
      <c r="T484" s="18" t="b">
        <v>0</v>
      </c>
      <c r="U484" s="14" t="s">
        <v>248</v>
      </c>
    </row>
    <row r="485" spans="1:21" s="26" customFormat="1" x14ac:dyDescent="0.3">
      <c r="A485" s="14" t="s">
        <v>523</v>
      </c>
      <c r="B485" s="28" t="s">
        <v>784</v>
      </c>
      <c r="C485" s="22" t="s">
        <v>785</v>
      </c>
      <c r="F485" s="26">
        <v>0.05</v>
      </c>
      <c r="G485" s="31">
        <v>40</v>
      </c>
      <c r="H485" s="26">
        <v>600000</v>
      </c>
      <c r="I485" s="26" t="b">
        <v>0</v>
      </c>
      <c r="J485" s="20" t="s">
        <v>244</v>
      </c>
      <c r="M485" s="26">
        <v>1</v>
      </c>
      <c r="N485" s="26">
        <v>30000</v>
      </c>
      <c r="Q485" s="26">
        <v>30000</v>
      </c>
      <c r="R485" s="26" t="b">
        <v>0</v>
      </c>
      <c r="S485" s="26" t="b">
        <v>0</v>
      </c>
      <c r="T485" s="26" t="b">
        <v>1</v>
      </c>
      <c r="U485" s="20" t="s">
        <v>383</v>
      </c>
    </row>
    <row r="486" spans="1:21" s="34" customFormat="1" x14ac:dyDescent="0.3">
      <c r="A486" s="14" t="s">
        <v>523</v>
      </c>
      <c r="B486" s="28" t="s">
        <v>786</v>
      </c>
      <c r="C486" s="22" t="s">
        <v>787</v>
      </c>
      <c r="F486" s="34">
        <v>0.05</v>
      </c>
      <c r="G486" s="31">
        <v>40</v>
      </c>
      <c r="H486" s="34">
        <v>600000</v>
      </c>
      <c r="I486" s="34" t="b">
        <v>0</v>
      </c>
      <c r="J486" s="19" t="s">
        <v>244</v>
      </c>
      <c r="M486" s="34">
        <v>1</v>
      </c>
      <c r="N486" s="34">
        <v>30000</v>
      </c>
      <c r="Q486" s="34">
        <v>30000</v>
      </c>
      <c r="R486" s="34" t="b">
        <v>0</v>
      </c>
      <c r="S486" s="34" t="b">
        <v>0</v>
      </c>
      <c r="T486" s="34" t="b">
        <v>1</v>
      </c>
      <c r="U486" s="19" t="s">
        <v>383</v>
      </c>
    </row>
    <row r="487" spans="1:21" s="26" customFormat="1" x14ac:dyDescent="0.3">
      <c r="A487" s="14" t="s">
        <v>523</v>
      </c>
      <c r="B487" s="92" t="s">
        <v>788</v>
      </c>
      <c r="C487" s="22" t="s">
        <v>741</v>
      </c>
      <c r="G487" s="26">
        <v>1</v>
      </c>
      <c r="H487" s="26">
        <v>360000</v>
      </c>
      <c r="I487" s="26" t="b">
        <v>0</v>
      </c>
      <c r="J487" s="20" t="s">
        <v>244</v>
      </c>
      <c r="N487" s="26">
        <v>360000</v>
      </c>
      <c r="R487" s="26" t="b">
        <v>0</v>
      </c>
      <c r="S487" s="26" t="b">
        <v>0</v>
      </c>
      <c r="T487" s="26" t="b">
        <v>0</v>
      </c>
      <c r="U487" s="20" t="s">
        <v>245</v>
      </c>
    </row>
    <row r="488" spans="1:21" x14ac:dyDescent="0.3">
      <c r="A488" s="14" t="s">
        <v>217</v>
      </c>
      <c r="B488" s="40" t="s">
        <v>789</v>
      </c>
      <c r="C488" s="22" t="s">
        <v>790</v>
      </c>
      <c r="D488" s="15"/>
      <c r="E488" s="16">
        <v>0</v>
      </c>
      <c r="F488" s="17">
        <v>0</v>
      </c>
      <c r="G488" s="18">
        <v>5</v>
      </c>
      <c r="H488" s="18">
        <v>250000</v>
      </c>
      <c r="I488" s="18" t="b">
        <v>0</v>
      </c>
      <c r="J488" s="14" t="s">
        <v>256</v>
      </c>
      <c r="K488" s="15"/>
      <c r="L488" s="16"/>
      <c r="M488" s="17"/>
      <c r="N488" s="18">
        <v>50000</v>
      </c>
      <c r="O488" s="15"/>
      <c r="P488" s="16"/>
      <c r="Q488" s="17"/>
      <c r="R488" s="18" t="b">
        <v>0</v>
      </c>
      <c r="S488" s="18" t="b">
        <v>0</v>
      </c>
      <c r="T488" s="18" t="b">
        <v>0</v>
      </c>
      <c r="U488" s="14" t="s">
        <v>383</v>
      </c>
    </row>
    <row r="489" spans="1:21" s="26" customFormat="1" x14ac:dyDescent="0.3">
      <c r="A489" s="14" t="s">
        <v>548</v>
      </c>
      <c r="B489" s="25" t="s">
        <v>791</v>
      </c>
      <c r="C489" s="22" t="s">
        <v>741</v>
      </c>
      <c r="G489" s="26">
        <v>1</v>
      </c>
      <c r="H489" s="26">
        <v>472868</v>
      </c>
      <c r="I489" s="26" t="b">
        <v>0</v>
      </c>
      <c r="J489" s="20" t="s">
        <v>256</v>
      </c>
      <c r="N489" s="26">
        <v>472868</v>
      </c>
      <c r="R489" s="26" t="b">
        <v>0</v>
      </c>
      <c r="S489" s="26" t="b">
        <v>0</v>
      </c>
      <c r="T489" s="26" t="b">
        <v>0</v>
      </c>
      <c r="U489" s="20" t="s">
        <v>248</v>
      </c>
    </row>
    <row r="490" spans="1:21" s="26" customFormat="1" x14ac:dyDescent="0.3">
      <c r="A490" s="14" t="s">
        <v>158</v>
      </c>
      <c r="B490" s="25" t="s">
        <v>792</v>
      </c>
      <c r="C490" s="22" t="s">
        <v>793</v>
      </c>
      <c r="F490" s="26">
        <v>1</v>
      </c>
      <c r="G490" s="26">
        <v>26</v>
      </c>
      <c r="H490" s="26">
        <v>350272</v>
      </c>
      <c r="I490" s="26" t="b">
        <v>0</v>
      </c>
      <c r="J490" s="20" t="s">
        <v>256</v>
      </c>
      <c r="M490" s="26">
        <v>26</v>
      </c>
      <c r="N490" s="26">
        <v>13472</v>
      </c>
      <c r="Q490" s="26">
        <v>350272</v>
      </c>
      <c r="R490" s="26" t="b">
        <v>0</v>
      </c>
      <c r="S490" s="26" t="b">
        <v>0</v>
      </c>
      <c r="T490" s="26" t="b">
        <v>1</v>
      </c>
      <c r="U490" s="20" t="s">
        <v>248</v>
      </c>
    </row>
    <row r="491" spans="1:21" x14ac:dyDescent="0.3">
      <c r="A491" s="14" t="s">
        <v>158</v>
      </c>
      <c r="B491" s="19" t="s">
        <v>794</v>
      </c>
      <c r="C491" s="22" t="s">
        <v>254</v>
      </c>
      <c r="D491" s="15">
        <v>0</v>
      </c>
      <c r="E491" s="16">
        <v>0</v>
      </c>
      <c r="F491" s="17">
        <v>0</v>
      </c>
      <c r="G491" s="18">
        <v>48</v>
      </c>
      <c r="H491" s="18">
        <v>1622228.16</v>
      </c>
      <c r="I491" s="18" t="b">
        <v>0</v>
      </c>
      <c r="J491" s="14" t="s">
        <v>256</v>
      </c>
      <c r="K491" s="15"/>
      <c r="L491" s="16"/>
      <c r="M491" s="17"/>
      <c r="N491" s="18">
        <v>33796.42</v>
      </c>
      <c r="O491" s="15"/>
      <c r="P491" s="16"/>
      <c r="Q491" s="17"/>
      <c r="R491" s="18" t="b">
        <v>0</v>
      </c>
      <c r="S491" s="18" t="b">
        <v>0</v>
      </c>
      <c r="T491" s="18" t="b">
        <v>0</v>
      </c>
      <c r="U491" s="14" t="s">
        <v>253</v>
      </c>
    </row>
    <row r="492" spans="1:21" x14ac:dyDescent="0.3">
      <c r="A492" s="14" t="s">
        <v>158</v>
      </c>
      <c r="B492" s="19" t="s">
        <v>163</v>
      </c>
      <c r="C492" s="22" t="s">
        <v>254</v>
      </c>
      <c r="D492" s="15">
        <v>0</v>
      </c>
      <c r="E492" s="16">
        <v>0</v>
      </c>
      <c r="F492" s="17">
        <v>0</v>
      </c>
      <c r="G492" s="18">
        <v>12</v>
      </c>
      <c r="H492" s="18">
        <v>523104.55</v>
      </c>
      <c r="I492" s="18" t="b">
        <v>0</v>
      </c>
      <c r="J492" s="14" t="s">
        <v>256</v>
      </c>
      <c r="K492" s="15"/>
      <c r="L492" s="16"/>
      <c r="M492" s="17"/>
      <c r="N492" s="18">
        <v>43592.04583333333</v>
      </c>
      <c r="O492" s="15"/>
      <c r="P492" s="16"/>
      <c r="Q492" s="17"/>
      <c r="R492" s="18" t="b">
        <v>0</v>
      </c>
      <c r="S492" s="18" t="b">
        <v>0</v>
      </c>
      <c r="T492" s="18" t="b">
        <v>0</v>
      </c>
      <c r="U492" s="14" t="s">
        <v>248</v>
      </c>
    </row>
    <row r="493" spans="1:21" s="26" customFormat="1" x14ac:dyDescent="0.3">
      <c r="A493" s="14" t="s">
        <v>158</v>
      </c>
      <c r="B493" s="20" t="s">
        <v>795</v>
      </c>
      <c r="C493" s="22" t="s">
        <v>741</v>
      </c>
      <c r="D493" s="26">
        <v>0</v>
      </c>
      <c r="E493" s="26">
        <v>0</v>
      </c>
      <c r="F493" s="26">
        <v>0</v>
      </c>
      <c r="G493" s="26">
        <v>3</v>
      </c>
      <c r="H493" s="26">
        <v>1600000</v>
      </c>
      <c r="I493" s="26" t="b">
        <v>0</v>
      </c>
      <c r="J493" s="20" t="s">
        <v>256</v>
      </c>
      <c r="N493" s="26">
        <v>533333.33333333337</v>
      </c>
      <c r="R493" s="26" t="b">
        <v>0</v>
      </c>
      <c r="S493" s="26" t="b">
        <v>0</v>
      </c>
      <c r="T493" s="26" t="b">
        <v>0</v>
      </c>
      <c r="U493" s="20" t="s">
        <v>248</v>
      </c>
    </row>
    <row r="494" spans="1:21" s="26" customFormat="1" x14ac:dyDescent="0.3">
      <c r="A494" s="14" t="s">
        <v>616</v>
      </c>
      <c r="B494" s="20" t="s">
        <v>796</v>
      </c>
      <c r="C494" s="22" t="s">
        <v>741</v>
      </c>
      <c r="D494" s="26">
        <v>0</v>
      </c>
      <c r="E494" s="26">
        <v>0</v>
      </c>
      <c r="F494" s="26">
        <v>0</v>
      </c>
      <c r="G494" s="26">
        <v>1</v>
      </c>
      <c r="H494" s="26">
        <v>780000</v>
      </c>
      <c r="I494" s="26" t="b">
        <v>0</v>
      </c>
      <c r="J494" s="20" t="s">
        <v>256</v>
      </c>
      <c r="N494" s="26">
        <v>780000</v>
      </c>
      <c r="R494" s="26" t="b">
        <v>0</v>
      </c>
      <c r="S494" s="26" t="b">
        <v>0</v>
      </c>
      <c r="T494" s="26" t="b">
        <v>0</v>
      </c>
      <c r="U494" s="20" t="s">
        <v>245</v>
      </c>
    </row>
    <row r="495" spans="1:21" x14ac:dyDescent="0.3">
      <c r="A495" s="14" t="s">
        <v>186</v>
      </c>
      <c r="B495" s="19" t="s">
        <v>797</v>
      </c>
      <c r="C495" s="22" t="s">
        <v>254</v>
      </c>
      <c r="D495" s="15">
        <v>0</v>
      </c>
      <c r="E495" s="16">
        <v>1</v>
      </c>
      <c r="F495" s="17">
        <v>0</v>
      </c>
      <c r="G495" s="18">
        <v>22</v>
      </c>
      <c r="H495" s="18">
        <v>220000</v>
      </c>
      <c r="I495" s="18" t="b">
        <v>0</v>
      </c>
      <c r="J495" s="14" t="s">
        <v>256</v>
      </c>
      <c r="K495" s="15"/>
      <c r="L495" s="16">
        <v>22</v>
      </c>
      <c r="M495" s="17"/>
      <c r="N495" s="18">
        <v>10000</v>
      </c>
      <c r="O495" s="15"/>
      <c r="P495" s="16">
        <v>220000</v>
      </c>
      <c r="Q495" s="17"/>
      <c r="R495" s="18" t="b">
        <v>0</v>
      </c>
      <c r="S495" s="18" t="b">
        <v>1</v>
      </c>
      <c r="T495" s="18" t="b">
        <v>0</v>
      </c>
      <c r="U495" s="14" t="s">
        <v>253</v>
      </c>
    </row>
    <row r="496" spans="1:21" s="26" customFormat="1" x14ac:dyDescent="0.3">
      <c r="A496" s="14" t="s">
        <v>211</v>
      </c>
      <c r="B496" s="20" t="s">
        <v>798</v>
      </c>
      <c r="C496" s="22" t="s">
        <v>741</v>
      </c>
      <c r="G496" s="26">
        <v>1</v>
      </c>
      <c r="H496" s="26">
        <v>600000</v>
      </c>
      <c r="I496" s="26" t="b">
        <v>0</v>
      </c>
      <c r="J496" s="20" t="s">
        <v>256</v>
      </c>
      <c r="N496" s="26">
        <v>600000</v>
      </c>
      <c r="R496" s="26" t="b">
        <v>0</v>
      </c>
      <c r="S496" s="26" t="b">
        <v>0</v>
      </c>
      <c r="T496" s="26" t="b">
        <v>0</v>
      </c>
      <c r="U496" s="20" t="s">
        <v>245</v>
      </c>
    </row>
    <row r="497" spans="1:21" x14ac:dyDescent="0.3">
      <c r="A497" s="14" t="s">
        <v>649</v>
      </c>
      <c r="B497" s="20" t="s">
        <v>799</v>
      </c>
      <c r="C497" s="22" t="s">
        <v>741</v>
      </c>
      <c r="D497" s="15">
        <v>0</v>
      </c>
      <c r="E497" s="16">
        <v>0</v>
      </c>
      <c r="F497" s="17">
        <v>0</v>
      </c>
      <c r="G497" s="18">
        <v>4</v>
      </c>
      <c r="H497" s="18">
        <v>300000</v>
      </c>
      <c r="I497" s="18" t="b">
        <v>0</v>
      </c>
      <c r="J497" s="14" t="s">
        <v>256</v>
      </c>
      <c r="K497" s="15"/>
      <c r="L497" s="16"/>
      <c r="M497" s="17"/>
      <c r="N497" s="18">
        <v>75000</v>
      </c>
      <c r="O497" s="15"/>
      <c r="P497" s="16"/>
      <c r="Q497" s="17"/>
      <c r="R497" s="18" t="b">
        <v>0</v>
      </c>
      <c r="S497" s="18" t="b">
        <v>0</v>
      </c>
      <c r="T497" s="18" t="b">
        <v>0</v>
      </c>
      <c r="U497" s="14" t="s">
        <v>248</v>
      </c>
    </row>
    <row r="498" spans="1:21" x14ac:dyDescent="0.3">
      <c r="A498" s="14" t="s">
        <v>196</v>
      </c>
      <c r="B498" s="19" t="s">
        <v>201</v>
      </c>
      <c r="C498" s="22" t="s">
        <v>254</v>
      </c>
      <c r="D498" s="15">
        <v>0</v>
      </c>
      <c r="E498" s="16">
        <v>0</v>
      </c>
      <c r="F498" s="17">
        <v>0</v>
      </c>
      <c r="G498" s="18"/>
      <c r="H498" s="18">
        <v>13700000</v>
      </c>
      <c r="I498" s="18" t="b">
        <v>1</v>
      </c>
      <c r="J498" s="14" t="s">
        <v>256</v>
      </c>
      <c r="K498" s="15"/>
      <c r="L498" s="16"/>
      <c r="M498" s="17"/>
      <c r="N498" s="18"/>
      <c r="O498" s="15"/>
      <c r="P498" s="16"/>
      <c r="Q498" s="17"/>
      <c r="R498" s="18" t="b">
        <v>0</v>
      </c>
      <c r="S498" s="18" t="b">
        <v>0</v>
      </c>
      <c r="T498" s="18" t="b">
        <v>0</v>
      </c>
      <c r="U498" s="14" t="s">
        <v>248</v>
      </c>
    </row>
    <row r="499" spans="1:21" x14ac:dyDescent="0.3">
      <c r="A499" s="14" t="s">
        <v>196</v>
      </c>
      <c r="B499" s="19" t="s">
        <v>197</v>
      </c>
      <c r="C499" s="22" t="s">
        <v>254</v>
      </c>
      <c r="D499" s="15">
        <v>0</v>
      </c>
      <c r="E499" s="16">
        <v>0</v>
      </c>
      <c r="F499" s="17">
        <v>0</v>
      </c>
      <c r="G499" s="31">
        <v>15</v>
      </c>
      <c r="H499" s="18">
        <v>2500000</v>
      </c>
      <c r="I499" s="18" t="b">
        <v>1</v>
      </c>
      <c r="J499" s="14" t="s">
        <v>256</v>
      </c>
      <c r="K499" s="15"/>
      <c r="L499" s="16"/>
      <c r="M499" s="17"/>
      <c r="N499" s="18"/>
      <c r="O499" s="15"/>
      <c r="P499" s="16"/>
      <c r="Q499" s="17"/>
      <c r="R499" s="18" t="b">
        <v>0</v>
      </c>
      <c r="S499" s="18" t="b">
        <v>0</v>
      </c>
      <c r="T499" s="18" t="b">
        <v>0</v>
      </c>
      <c r="U499" s="14" t="s">
        <v>248</v>
      </c>
    </row>
  </sheetData>
  <hyperlinks>
    <hyperlink ref="B27" r:id="rId1" xr:uid="{830EA606-F7B7-403B-8E7A-05F32C2E1D3B}"/>
    <hyperlink ref="B32" r:id="rId2" xr:uid="{2044A1A0-EEE5-43E6-991A-4FEB7CC9E812}"/>
    <hyperlink ref="B458" r:id="rId3" xr:uid="{48095E53-C465-4321-8232-5669F929CF76}"/>
    <hyperlink ref="B486" r:id="rId4" xr:uid="{68504F57-FD31-4EDC-B59E-11AFD642DFB9}"/>
    <hyperlink ref="B485" r:id="rId5" xr:uid="{D432C89C-73D3-49C4-9628-D93A6AC6365A}"/>
    <hyperlink ref="B459" r:id="rId6" xr:uid="{79B7252F-D812-4D7E-874D-03DAC5E2FD8A}"/>
    <hyperlink ref="B460" r:id="rId7" xr:uid="{0A673ABD-9D69-4749-87E8-BD1867425C02}"/>
    <hyperlink ref="B472" r:id="rId8" xr:uid="{50C5AA2C-49F0-4AF8-B7FC-DB5B8EA6BBC7}"/>
    <hyperlink ref="B473" r:id="rId9" xr:uid="{DA101931-E2AC-481F-8EBF-B6167467682A}"/>
    <hyperlink ref="B477" r:id="rId10" xr:uid="{A033D748-6186-4348-AAAA-4F05BEFBF1B2}"/>
    <hyperlink ref="B480" r:id="rId11" xr:uid="{FC35F32B-B574-4B7B-BF04-8C946D3238B6}"/>
    <hyperlink ref="B481" r:id="rId12" xr:uid="{7CF850BB-0403-492C-905B-C0FEA451F6B9}"/>
    <hyperlink ref="B482" r:id="rId13" xr:uid="{2D2A4976-B9F5-4FA8-8ADD-7A074C6BAB18}"/>
    <hyperlink ref="B483" r:id="rId14" xr:uid="{D3E05376-1862-4CF5-ABDB-05CA12469ECD}"/>
    <hyperlink ref="B484" r:id="rId15" xr:uid="{F309028F-0318-4DB6-A614-A4B00D4A47F2}"/>
    <hyperlink ref="B24" r:id="rId16" xr:uid="{2167E3EC-6A06-435E-9DE8-307D6A147BD7}"/>
  </hyperlinks>
  <pageMargins left="0.7" right="0.7" top="0.75" bottom="0.75" header="0.3" footer="0.3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QUADRO GERAL </vt:lpstr>
      <vt:lpstr>PARECER</vt:lpstr>
      <vt:lpstr>Resultado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Ribeiro Bizerril</cp:lastModifiedBy>
  <cp:revision/>
  <dcterms:created xsi:type="dcterms:W3CDTF">2025-12-17T18:39:27Z</dcterms:created>
  <dcterms:modified xsi:type="dcterms:W3CDTF">2026-01-07T20:22:35Z</dcterms:modified>
  <cp:category/>
  <cp:contentStatus/>
</cp:coreProperties>
</file>